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helw\Downloads\CRM\Marts Accounts\"/>
    </mc:Choice>
  </mc:AlternateContent>
  <xr:revisionPtr revIDLastSave="0" documentId="13_ncr:1_{643FB751-2602-4BA5-B3C0-7468A9BA00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mah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joYCd9csLLZY1MNWdjEwUSrOI7VnBjccXgOVsLzRdYE="/>
    </ext>
  </extLst>
</workbook>
</file>

<file path=xl/calcChain.xml><?xml version="1.0" encoding="utf-8"?>
<calcChain xmlns="http://schemas.openxmlformats.org/spreadsheetml/2006/main">
  <c r="C49" i="2" l="1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G2" i="2"/>
  <c r="H2" i="2" s="1"/>
  <c r="F2" i="2"/>
</calcChain>
</file>

<file path=xl/sharedStrings.xml><?xml version="1.0" encoding="utf-8"?>
<sst xmlns="http://schemas.openxmlformats.org/spreadsheetml/2006/main" count="153" uniqueCount="85">
  <si>
    <t>date</t>
  </si>
  <si>
    <t>withdraw</t>
  </si>
  <si>
    <t>deposit</t>
  </si>
  <si>
    <t>note</t>
  </si>
  <si>
    <t>Balance</t>
  </si>
  <si>
    <t>total withdraw</t>
  </si>
  <si>
    <t>total deposit</t>
  </si>
  <si>
    <t>diffrance</t>
  </si>
  <si>
    <t>رصيد اول المدة</t>
  </si>
  <si>
    <t>Diffrance 2024</t>
  </si>
  <si>
    <t>1\1\2025</t>
  </si>
  <si>
    <t>working cash 2025</t>
  </si>
  <si>
    <t>3\2\2025</t>
  </si>
  <si>
    <t>Deposit</t>
  </si>
  <si>
    <t>1\6\2025</t>
  </si>
  <si>
    <t>2\6\2025</t>
  </si>
  <si>
    <t>8\7\2025</t>
  </si>
  <si>
    <t>13\7\2025</t>
  </si>
  <si>
    <t>30\7\2025</t>
  </si>
  <si>
    <t>31\7\2025</t>
  </si>
  <si>
    <t>17\8\2025</t>
  </si>
  <si>
    <t>30\8\2025</t>
  </si>
  <si>
    <t>31\8\2025</t>
  </si>
  <si>
    <t>3\9\2025</t>
  </si>
  <si>
    <t>5\10\2025</t>
  </si>
  <si>
    <t>15\12\2025</t>
  </si>
  <si>
    <t>10\9\2025</t>
  </si>
  <si>
    <t>26\10\2025</t>
  </si>
  <si>
    <t>30\10\2025</t>
  </si>
  <si>
    <t>29\12\2026</t>
  </si>
  <si>
    <t>25\1\2025</t>
  </si>
  <si>
    <t>6\1\2026</t>
  </si>
  <si>
    <t>10\1\2026</t>
  </si>
  <si>
    <t>21\1\2026</t>
  </si>
  <si>
    <t>26\1\2026</t>
  </si>
  <si>
    <t>27\1\2026</t>
  </si>
  <si>
    <t>28\1\2026</t>
  </si>
  <si>
    <t>11\2\2026</t>
  </si>
  <si>
    <t>16\3\2026</t>
  </si>
  <si>
    <t>24\3\2026</t>
  </si>
  <si>
    <t>2\4\2026</t>
  </si>
  <si>
    <t>شهر يناير2025</t>
  </si>
  <si>
    <t>samaher deposit</t>
  </si>
  <si>
    <t>8\1\2025</t>
  </si>
  <si>
    <t>samaher withdraw</t>
  </si>
  <si>
    <t>Samaher deposit</t>
  </si>
  <si>
    <t>11\3\2025</t>
  </si>
  <si>
    <t>25\3\2025</t>
  </si>
  <si>
    <t>15\4\2025</t>
  </si>
  <si>
    <t>salaries</t>
  </si>
  <si>
    <t>28\5\2025</t>
  </si>
  <si>
    <t xml:space="preserve">samaher salary </t>
  </si>
  <si>
    <t>26\7\2025</t>
  </si>
  <si>
    <t>28\7\2025</t>
  </si>
  <si>
    <t>Sameher withdraw</t>
  </si>
  <si>
    <t>28\8\2025</t>
  </si>
  <si>
    <t>Sameher withdraw 3`aram mardev</t>
  </si>
  <si>
    <t>1\10\2025</t>
  </si>
  <si>
    <t>naseeb samaher mardev</t>
  </si>
  <si>
    <t>18\11\2025</t>
  </si>
  <si>
    <t>sheek mohamed talaat</t>
  </si>
  <si>
    <t>1\12\2025</t>
  </si>
  <si>
    <t>7\12\2025</t>
  </si>
  <si>
    <t xml:space="preserve">insteve taby3a </t>
  </si>
  <si>
    <t xml:space="preserve">insentive zaya ebrahim </t>
  </si>
  <si>
    <t>12\3\2026</t>
  </si>
  <si>
    <t>samaher commission palm</t>
  </si>
  <si>
    <t>samaher le garden</t>
  </si>
  <si>
    <t>samaher evora cuts</t>
  </si>
  <si>
    <t>samaher eagles cuts</t>
  </si>
  <si>
    <t>samaher cuts leaders 2 sales</t>
  </si>
  <si>
    <t>samaher cuts westline 2 sales</t>
  </si>
  <si>
    <t>samaher cuts mountain view</t>
  </si>
  <si>
    <t xml:space="preserve">segmanet 4 samaher cuts </t>
  </si>
  <si>
    <t>nasdak/ tabeaa samaher cuts</t>
  </si>
  <si>
    <t>el ola / ori samaher cuts</t>
  </si>
  <si>
    <t>tesla residance samaher cuts</t>
  </si>
  <si>
    <t>hom zaya samaher cuts</t>
  </si>
  <si>
    <t>top kapi /vira samaher cuts</t>
  </si>
  <si>
    <t>genesta / el amaken samaher cuts</t>
  </si>
  <si>
    <t>eagles \ via samaher commission</t>
  </si>
  <si>
    <t>villaria / mirad  samaher commission</t>
  </si>
  <si>
    <t>madenet masr /butterfly samaher cuts</t>
  </si>
  <si>
    <t>samaher deposit insentive eagles</t>
  </si>
  <si>
    <t>5osara naseeb samaher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</si>
</sst>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yy"/>
    <numFmt numFmtId="165" formatCode="dd/mm/yyyy"/>
    <numFmt numFmtId="166" formatCode="&quot;$&quot;#,##0"/>
    <numFmt numFmtId="167" formatCode="d\-m\-yyyy"/>
    <numFmt numFmtId="168" formatCode="m\-d\-yyyy"/>
  </numFmts>
  <fonts count="23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rgb="FF000000"/>
      <name val="Comfortaa"/>
    </font>
    <font>
      <b/>
      <sz val="10"/>
      <color rgb="FF000000"/>
      <name val="Comfortaa"/>
    </font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Comfortaa"/>
    </font>
    <font>
      <sz val="11"/>
      <color theme="1"/>
      <name val="Arial"/>
    </font>
    <font>
      <b/>
      <sz val="11"/>
      <color theme="1"/>
      <name val="Arial"/>
    </font>
    <font>
      <sz val="16"/>
      <color rgb="FF000000"/>
      <name val="Comfortaa"/>
    </font>
    <font>
      <b/>
      <sz val="11"/>
      <color theme="1"/>
      <name val="Comfortaa"/>
    </font>
    <font>
      <b/>
      <sz val="11"/>
      <color rgb="FF000000"/>
      <name val="Comfortaa"/>
    </font>
    <font>
      <b/>
      <sz val="11"/>
      <color rgb="FF000000"/>
      <name val="Arial"/>
    </font>
    <font>
      <b/>
      <sz val="14"/>
      <color rgb="FF000000"/>
      <name val="Comfortaa"/>
    </font>
    <font>
      <sz val="11"/>
      <color rgb="FF000000"/>
      <name val="Comfortaa"/>
    </font>
    <font>
      <sz val="11"/>
      <color rgb="FF000000"/>
      <name val="Arial"/>
    </font>
    <font>
      <sz val="11"/>
      <color theme="1"/>
      <name val="Comfortaa"/>
    </font>
    <font>
      <sz val="12"/>
      <color rgb="FF000000"/>
      <name val="Arial"/>
    </font>
    <font>
      <b/>
      <sz val="12"/>
      <color rgb="FF000000"/>
      <name val="Comfortaa"/>
    </font>
    <font>
      <b/>
      <sz val="10"/>
      <color theme="1"/>
      <name val="Comfortaa"/>
    </font>
    <font>
      <sz val="13"/>
      <color rgb="FF000000"/>
      <name val="Comfortaa"/>
    </font>
  </fonts>
  <fills count="9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F9000"/>
        <bgColor rgb="FFBF9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 applyAlignment="1">
      <alignment horizontal="center"/>
    </xf>
    <xf numFmtId="0" fontId="7" fillId="6" borderId="1" xfId="0" applyFont="1" applyFill="1" applyBorder="1"/>
    <xf numFmtId="0" fontId="6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6" borderId="1" xfId="0" applyFont="1" applyFill="1" applyBorder="1"/>
    <xf numFmtId="0" fontId="7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2" borderId="0" xfId="0" applyFont="1" applyFill="1"/>
    <xf numFmtId="0" fontId="11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4" fontId="13" fillId="4" borderId="1" xfId="0" applyNumberFormat="1" applyFont="1" applyFill="1" applyBorder="1" applyAlignment="1">
      <alignment horizontal="center"/>
    </xf>
    <xf numFmtId="4" fontId="14" fillId="4" borderId="1" xfId="0" applyNumberFormat="1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8" fillId="0" borderId="0" xfId="0" applyFont="1"/>
    <xf numFmtId="0" fontId="7" fillId="0" borderId="0" xfId="0" applyFont="1"/>
    <xf numFmtId="0" fontId="9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8" fillId="4" borderId="0" xfId="0" applyFont="1" applyFill="1"/>
    <xf numFmtId="0" fontId="7" fillId="4" borderId="0" xfId="0" applyFont="1" applyFill="1"/>
    <xf numFmtId="0" fontId="9" fillId="6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left"/>
    </xf>
    <xf numFmtId="0" fontId="9" fillId="6" borderId="0" xfId="0" applyFont="1" applyFill="1" applyAlignment="1">
      <alignment horizontal="left"/>
    </xf>
    <xf numFmtId="0" fontId="15" fillId="7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164" fontId="14" fillId="4" borderId="1" xfId="0" applyNumberFormat="1" applyFont="1" applyFill="1" applyBorder="1" applyAlignment="1">
      <alignment horizontal="left"/>
    </xf>
    <xf numFmtId="0" fontId="14" fillId="4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164" fontId="9" fillId="6" borderId="1" xfId="0" applyNumberFormat="1" applyFont="1" applyFill="1" applyBorder="1" applyAlignment="1">
      <alignment horizontal="left"/>
    </xf>
    <xf numFmtId="0" fontId="16" fillId="0" borderId="1" xfId="0" applyFont="1" applyBorder="1" applyAlignment="1">
      <alignment horizontal="left"/>
    </xf>
    <xf numFmtId="164" fontId="17" fillId="0" borderId="1" xfId="0" applyNumberFormat="1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164" fontId="14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164" fontId="18" fillId="6" borderId="1" xfId="0" applyNumberFormat="1" applyFont="1" applyFill="1" applyBorder="1" applyAlignment="1">
      <alignment horizontal="left"/>
    </xf>
    <xf numFmtId="0" fontId="18" fillId="6" borderId="1" xfId="0" applyFont="1" applyFill="1" applyBorder="1" applyAlignment="1">
      <alignment horizontal="center"/>
    </xf>
    <xf numFmtId="0" fontId="10" fillId="6" borderId="1" xfId="0" applyFont="1" applyFill="1" applyBorder="1"/>
    <xf numFmtId="0" fontId="9" fillId="6" borderId="1" xfId="0" applyFont="1" applyFill="1" applyBorder="1"/>
    <xf numFmtId="164" fontId="7" fillId="6" borderId="1" xfId="0" applyNumberFormat="1" applyFont="1" applyFill="1" applyBorder="1" applyAlignment="1">
      <alignment horizontal="left"/>
    </xf>
    <xf numFmtId="0" fontId="8" fillId="6" borderId="0" xfId="0" applyFont="1" applyFill="1"/>
    <xf numFmtId="0" fontId="19" fillId="4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left"/>
    </xf>
    <xf numFmtId="164" fontId="20" fillId="5" borderId="2" xfId="0" applyNumberFormat="1" applyFont="1" applyFill="1" applyBorder="1" applyAlignment="1">
      <alignment horizontal="left"/>
    </xf>
    <xf numFmtId="0" fontId="15" fillId="5" borderId="3" xfId="0" applyFont="1" applyFill="1" applyBorder="1" applyAlignment="1">
      <alignment horizontal="center"/>
    </xf>
    <xf numFmtId="0" fontId="15" fillId="4" borderId="3" xfId="0" applyFont="1" applyFill="1" applyBorder="1" applyAlignment="1">
      <alignment horizontal="center"/>
    </xf>
    <xf numFmtId="164" fontId="13" fillId="7" borderId="1" xfId="0" applyNumberFormat="1" applyFont="1" applyFill="1" applyBorder="1" applyAlignment="1">
      <alignment horizontal="left"/>
    </xf>
    <xf numFmtId="0" fontId="7" fillId="6" borderId="0" xfId="0" applyFont="1" applyFill="1"/>
    <xf numFmtId="0" fontId="7" fillId="7" borderId="1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center"/>
    </xf>
    <xf numFmtId="164" fontId="9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7" fillId="6" borderId="0" xfId="0" applyNumberFormat="1" applyFont="1" applyFill="1" applyAlignment="1">
      <alignment horizontal="left"/>
    </xf>
    <xf numFmtId="0" fontId="20" fillId="7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164" fontId="10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21" fillId="6" borderId="1" xfId="0" applyFont="1" applyFill="1" applyBorder="1" applyAlignment="1">
      <alignment horizontal="center"/>
    </xf>
    <xf numFmtId="164" fontId="10" fillId="6" borderId="0" xfId="0" applyNumberFormat="1" applyFont="1" applyFill="1" applyAlignment="1">
      <alignment horizontal="left"/>
    </xf>
    <xf numFmtId="0" fontId="13" fillId="6" borderId="2" xfId="0" applyFont="1" applyFill="1" applyBorder="1" applyAlignment="1">
      <alignment horizontal="left"/>
    </xf>
    <xf numFmtId="0" fontId="20" fillId="6" borderId="1" xfId="0" applyFont="1" applyFill="1" applyBorder="1" applyAlignment="1">
      <alignment horizontal="center"/>
    </xf>
    <xf numFmtId="0" fontId="20" fillId="4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left"/>
    </xf>
    <xf numFmtId="0" fontId="16" fillId="6" borderId="1" xfId="0" applyFont="1" applyFill="1" applyBorder="1" applyAlignment="1">
      <alignment horizontal="right"/>
    </xf>
    <xf numFmtId="0" fontId="13" fillId="6" borderId="1" xfId="0" applyFont="1" applyFill="1" applyBorder="1" applyAlignment="1">
      <alignment horizontal="center"/>
    </xf>
    <xf numFmtId="167" fontId="13" fillId="6" borderId="1" xfId="0" applyNumberFormat="1" applyFont="1" applyFill="1" applyBorder="1" applyAlignment="1">
      <alignment horizontal="left"/>
    </xf>
    <xf numFmtId="164" fontId="13" fillId="6" borderId="1" xfId="0" applyNumberFormat="1" applyFont="1" applyFill="1" applyBorder="1" applyAlignment="1">
      <alignment horizontal="left"/>
    </xf>
    <xf numFmtId="0" fontId="16" fillId="6" borderId="1" xfId="0" applyFont="1" applyFill="1" applyBorder="1" applyAlignment="1">
      <alignment horizontal="center"/>
    </xf>
    <xf numFmtId="0" fontId="21" fillId="6" borderId="1" xfId="0" applyFont="1" applyFill="1" applyBorder="1"/>
    <xf numFmtId="0" fontId="13" fillId="6" borderId="1" xfId="0" applyFont="1" applyFill="1" applyBorder="1"/>
    <xf numFmtId="0" fontId="22" fillId="6" borderId="1" xfId="0" applyFont="1" applyFill="1" applyBorder="1" applyAlignment="1">
      <alignment horizontal="center"/>
    </xf>
    <xf numFmtId="166" fontId="10" fillId="6" borderId="1" xfId="0" applyNumberFormat="1" applyFont="1" applyFill="1" applyBorder="1" applyAlignment="1">
      <alignment horizontal="center"/>
    </xf>
    <xf numFmtId="0" fontId="9" fillId="0" borderId="1" xfId="0" applyFont="1" applyBorder="1"/>
    <xf numFmtId="166" fontId="15" fillId="6" borderId="1" xfId="0" applyNumberFormat="1" applyFont="1" applyFill="1" applyBorder="1" applyAlignment="1">
      <alignment horizontal="center"/>
    </xf>
    <xf numFmtId="166" fontId="10" fillId="0" borderId="1" xfId="0" applyNumberFormat="1" applyFont="1" applyBorder="1" applyAlignment="1">
      <alignment horizontal="center"/>
    </xf>
    <xf numFmtId="0" fontId="13" fillId="6" borderId="1" xfId="0" applyFont="1" applyFill="1" applyBorder="1" applyAlignment="1">
      <alignment horizontal="center" vertical="center"/>
    </xf>
    <xf numFmtId="165" fontId="7" fillId="0" borderId="1" xfId="0" applyNumberFormat="1" applyFont="1" applyBorder="1"/>
    <xf numFmtId="166" fontId="10" fillId="0" borderId="5" xfId="0" applyNumberFormat="1" applyFont="1" applyBorder="1" applyAlignment="1">
      <alignment horizontal="center"/>
    </xf>
    <xf numFmtId="165" fontId="7" fillId="0" borderId="6" xfId="0" applyNumberFormat="1" applyFont="1" applyBorder="1"/>
    <xf numFmtId="0" fontId="8" fillId="6" borderId="2" xfId="0" applyFont="1" applyFill="1" applyBorder="1" applyAlignment="1">
      <alignment horizontal="center"/>
    </xf>
    <xf numFmtId="168" fontId="1" fillId="0" borderId="6" xfId="0" applyNumberFormat="1" applyFont="1" applyBorder="1" applyAlignment="1">
      <alignment horizontal="left"/>
    </xf>
    <xf numFmtId="0" fontId="21" fillId="6" borderId="2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6" borderId="6" xfId="0" applyFont="1" applyFill="1" applyBorder="1" applyAlignment="1">
      <alignment horizontal="left"/>
    </xf>
    <xf numFmtId="167" fontId="4" fillId="6" borderId="1" xfId="0" applyNumberFormat="1" applyFont="1" applyFill="1" applyBorder="1" applyAlignment="1">
      <alignment horizontal="left"/>
    </xf>
    <xf numFmtId="0" fontId="13" fillId="6" borderId="6" xfId="0" applyFont="1" applyFill="1" applyBorder="1" applyAlignment="1">
      <alignment horizontal="center"/>
    </xf>
    <xf numFmtId="0" fontId="21" fillId="6" borderId="1" xfId="0" applyFont="1" applyFill="1" applyBorder="1" applyAlignment="1">
      <alignment horizontal="left"/>
    </xf>
    <xf numFmtId="166" fontId="15" fillId="4" borderId="1" xfId="0" applyNumberFormat="1" applyFont="1" applyFill="1" applyBorder="1" applyAlignment="1">
      <alignment horizontal="center"/>
    </xf>
    <xf numFmtId="167" fontId="7" fillId="6" borderId="1" xfId="0" applyNumberFormat="1" applyFont="1" applyFill="1" applyBorder="1" applyAlignment="1">
      <alignment horizontal="left"/>
    </xf>
    <xf numFmtId="167" fontId="16" fillId="6" borderId="1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167" fontId="15" fillId="6" borderId="1" xfId="0" applyNumberFormat="1" applyFont="1" applyFill="1" applyBorder="1" applyAlignment="1">
      <alignment horizontal="center"/>
    </xf>
    <xf numFmtId="0" fontId="16" fillId="6" borderId="1" xfId="0" applyFont="1" applyFill="1" applyBorder="1"/>
    <xf numFmtId="0" fontId="16" fillId="6" borderId="1" xfId="0" applyFont="1" applyFill="1" applyBorder="1" applyAlignment="1">
      <alignment horizontal="left"/>
    </xf>
    <xf numFmtId="166" fontId="9" fillId="6" borderId="1" xfId="0" applyNumberFormat="1" applyFont="1" applyFill="1" applyBorder="1" applyAlignment="1">
      <alignment horizontal="center" vertical="center"/>
    </xf>
    <xf numFmtId="165" fontId="16" fillId="6" borderId="1" xfId="0" applyNumberFormat="1" applyFont="1" applyFill="1" applyBorder="1"/>
    <xf numFmtId="165" fontId="16" fillId="0" borderId="1" xfId="0" applyNumberFormat="1" applyFont="1" applyBorder="1"/>
    <xf numFmtId="0" fontId="8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15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16"/>
  <sheetViews>
    <sheetView tabSelected="1" workbookViewId="0">
      <pane ySplit="2" topLeftCell="A3" activePane="bottomLeft" state="frozen"/>
      <selection pane="bottomLeft" activeCell="B4" sqref="B4"/>
    </sheetView>
  </sheetViews>
  <sheetFormatPr defaultColWidth="12.5703125" defaultRowHeight="15" customHeight="1"/>
  <cols>
    <col min="3" max="3" width="14.28515625" customWidth="1"/>
    <col min="4" max="4" width="31.42578125" customWidth="1"/>
    <col min="5" max="5" width="14.42578125" customWidth="1"/>
    <col min="6" max="6" width="20.5703125" customWidth="1"/>
    <col min="7" max="7" width="18.7109375" customWidth="1"/>
    <col min="8" max="8" width="15" customWidth="1"/>
  </cols>
  <sheetData>
    <row r="1" spans="1:26" ht="20.25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2" t="s">
        <v>6</v>
      </c>
      <c r="H1" s="22" t="s">
        <v>7</v>
      </c>
    </row>
    <row r="2" spans="1:26" ht="22.5" customHeight="1">
      <c r="A2" s="23"/>
      <c r="B2" s="24"/>
      <c r="C2" s="24"/>
      <c r="D2" s="23" t="s">
        <v>8</v>
      </c>
      <c r="E2" s="2" t="s">
        <v>9</v>
      </c>
      <c r="F2" s="25">
        <f>SUM(B2:B1993)</f>
        <v>590082</v>
      </c>
      <c r="G2" s="25">
        <f>SUM(C2:C1993)</f>
        <v>2093736.6410000001</v>
      </c>
      <c r="H2" s="26">
        <f>G2-F2+E3</f>
        <v>1594109.6410000001</v>
      </c>
    </row>
    <row r="3" spans="1:26" ht="18">
      <c r="A3" s="125" t="s">
        <v>41</v>
      </c>
      <c r="B3" s="123"/>
      <c r="C3" s="123"/>
      <c r="D3" s="124"/>
      <c r="E3" s="27">
        <v>90455</v>
      </c>
      <c r="F3" s="28"/>
      <c r="G3" s="28"/>
      <c r="H3" s="29"/>
    </row>
    <row r="4" spans="1:26" ht="15.75" customHeight="1">
      <c r="A4" s="30" t="s">
        <v>10</v>
      </c>
      <c r="B4" s="31"/>
      <c r="C4" s="32">
        <v>130000</v>
      </c>
      <c r="D4" s="1" t="s">
        <v>42</v>
      </c>
      <c r="E4" s="33">
        <f t="shared" ref="E4:E180" si="0">E3+C4-B4</f>
        <v>220455</v>
      </c>
      <c r="F4" s="34"/>
      <c r="G4" s="34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5.75" customHeight="1">
      <c r="A5" s="36" t="s">
        <v>10</v>
      </c>
      <c r="B5" s="37">
        <v>41007</v>
      </c>
      <c r="C5" s="38"/>
      <c r="D5" s="3" t="s">
        <v>11</v>
      </c>
      <c r="E5" s="39">
        <f t="shared" si="0"/>
        <v>179448</v>
      </c>
      <c r="F5" s="28"/>
      <c r="G5" s="28"/>
      <c r="H5" s="29"/>
    </row>
    <row r="6" spans="1:26" ht="15.75" customHeight="1">
      <c r="A6" s="40" t="s">
        <v>43</v>
      </c>
      <c r="B6" s="32"/>
      <c r="C6" s="32">
        <v>20000</v>
      </c>
      <c r="D6" s="1" t="s">
        <v>42</v>
      </c>
      <c r="E6" s="33">
        <f t="shared" si="0"/>
        <v>199448</v>
      </c>
      <c r="F6" s="34"/>
      <c r="G6" s="34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8" customHeight="1">
      <c r="A7" s="41" t="s">
        <v>12</v>
      </c>
      <c r="B7" s="18">
        <v>20000</v>
      </c>
      <c r="C7" s="42"/>
      <c r="D7" s="43" t="s">
        <v>44</v>
      </c>
      <c r="E7" s="39">
        <f t="shared" si="0"/>
        <v>179448</v>
      </c>
      <c r="F7" s="28"/>
      <c r="G7" s="28"/>
      <c r="H7" s="29"/>
    </row>
    <row r="8" spans="1:26" ht="15.75" customHeight="1">
      <c r="A8" s="44">
        <v>45693</v>
      </c>
      <c r="B8" s="45"/>
      <c r="C8" s="45">
        <v>5000</v>
      </c>
      <c r="D8" s="45" t="s">
        <v>45</v>
      </c>
      <c r="E8" s="33">
        <f t="shared" si="0"/>
        <v>184448</v>
      </c>
      <c r="F8" s="34"/>
      <c r="G8" s="34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5.75" customHeight="1">
      <c r="A9" s="30" t="s">
        <v>46</v>
      </c>
      <c r="B9" s="31"/>
      <c r="C9" s="32">
        <v>19000</v>
      </c>
      <c r="D9" s="46" t="s">
        <v>42</v>
      </c>
      <c r="E9" s="33">
        <f t="shared" si="0"/>
        <v>203448</v>
      </c>
      <c r="F9" s="34"/>
      <c r="G9" s="34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5.75" customHeight="1">
      <c r="A10" s="47">
        <v>45740</v>
      </c>
      <c r="B10" s="18"/>
      <c r="C10" s="32">
        <v>3000</v>
      </c>
      <c r="D10" s="43" t="s">
        <v>45</v>
      </c>
      <c r="E10" s="39">
        <f t="shared" si="0"/>
        <v>206448</v>
      </c>
      <c r="F10" s="28"/>
      <c r="G10" s="28"/>
      <c r="H10" s="29"/>
    </row>
    <row r="11" spans="1:26" ht="15.75" customHeight="1">
      <c r="A11" s="41" t="s">
        <v>47</v>
      </c>
      <c r="B11" s="18"/>
      <c r="C11" s="32">
        <v>5000</v>
      </c>
      <c r="D11" s="43" t="s">
        <v>45</v>
      </c>
      <c r="E11" s="39">
        <f t="shared" si="0"/>
        <v>211448</v>
      </c>
      <c r="F11" s="28"/>
      <c r="G11" s="28"/>
      <c r="H11" s="29"/>
    </row>
    <row r="12" spans="1:26" ht="15.75" customHeight="1">
      <c r="A12" s="48" t="s">
        <v>48</v>
      </c>
      <c r="B12" s="38"/>
      <c r="C12" s="32">
        <v>15000</v>
      </c>
      <c r="D12" s="3" t="s">
        <v>45</v>
      </c>
      <c r="E12" s="39">
        <f t="shared" si="0"/>
        <v>226448</v>
      </c>
      <c r="F12" s="28"/>
      <c r="G12" s="28"/>
      <c r="H12" s="29"/>
    </row>
    <row r="13" spans="1:26" ht="15.75" customHeight="1">
      <c r="A13" s="49">
        <v>45798</v>
      </c>
      <c r="B13" s="50"/>
      <c r="C13" s="46">
        <v>80</v>
      </c>
      <c r="D13" s="3" t="s">
        <v>45</v>
      </c>
      <c r="E13" s="39">
        <f t="shared" si="0"/>
        <v>226528</v>
      </c>
      <c r="F13" s="28"/>
      <c r="G13" s="28"/>
      <c r="H13" s="29"/>
    </row>
    <row r="14" spans="1:26" ht="15.75" customHeight="1">
      <c r="A14" s="49">
        <v>45799</v>
      </c>
      <c r="B14" s="50"/>
      <c r="C14" s="46">
        <v>500</v>
      </c>
      <c r="D14" s="3" t="s">
        <v>45</v>
      </c>
      <c r="E14" s="39">
        <f t="shared" si="0"/>
        <v>227028</v>
      </c>
      <c r="F14" s="28" t="s">
        <v>49</v>
      </c>
      <c r="G14" s="28">
        <v>384000</v>
      </c>
      <c r="H14" s="29"/>
    </row>
    <row r="15" spans="1:26" ht="15.75" customHeight="1">
      <c r="A15" s="51">
        <v>45801</v>
      </c>
      <c r="B15" s="52"/>
      <c r="C15" s="45">
        <v>200</v>
      </c>
      <c r="D15" s="3" t="s">
        <v>45</v>
      </c>
      <c r="E15" s="39">
        <f t="shared" si="0"/>
        <v>227228</v>
      </c>
      <c r="F15" s="28"/>
      <c r="G15" s="28"/>
      <c r="H15" s="29"/>
    </row>
    <row r="16" spans="1:26" ht="15.75" customHeight="1">
      <c r="A16" s="53">
        <v>45803</v>
      </c>
      <c r="B16" s="54"/>
      <c r="C16" s="46">
        <v>150</v>
      </c>
      <c r="D16" s="3" t="s">
        <v>45</v>
      </c>
      <c r="E16" s="39">
        <f t="shared" si="0"/>
        <v>227378</v>
      </c>
      <c r="F16" s="28"/>
      <c r="G16" s="28"/>
      <c r="H16" s="29"/>
    </row>
    <row r="17" spans="1:8" ht="15.75" customHeight="1">
      <c r="A17" s="47">
        <v>45805</v>
      </c>
      <c r="B17" s="18"/>
      <c r="C17" s="12">
        <v>20000</v>
      </c>
      <c r="D17" s="3" t="s">
        <v>45</v>
      </c>
      <c r="E17" s="39">
        <f t="shared" si="0"/>
        <v>247378</v>
      </c>
      <c r="F17" s="28"/>
      <c r="G17" s="28"/>
      <c r="H17" s="29"/>
    </row>
    <row r="18" spans="1:8" ht="15.75" customHeight="1">
      <c r="A18" s="55" t="s">
        <v>50</v>
      </c>
      <c r="B18" s="19"/>
      <c r="C18" s="11">
        <v>32000</v>
      </c>
      <c r="D18" s="3" t="s">
        <v>51</v>
      </c>
      <c r="E18" s="39">
        <f t="shared" si="0"/>
        <v>279378</v>
      </c>
      <c r="F18" s="28"/>
      <c r="G18" s="28"/>
      <c r="H18" s="29"/>
    </row>
    <row r="19" spans="1:8" ht="15.75" customHeight="1">
      <c r="A19" s="56" t="s">
        <v>14</v>
      </c>
      <c r="B19" s="18"/>
      <c r="C19" s="14">
        <v>32000</v>
      </c>
      <c r="D19" s="3" t="s">
        <v>51</v>
      </c>
      <c r="E19" s="39">
        <f t="shared" si="0"/>
        <v>311378</v>
      </c>
      <c r="F19" s="28"/>
      <c r="G19" s="28"/>
      <c r="H19" s="29"/>
    </row>
    <row r="20" spans="1:8" ht="15.75" customHeight="1">
      <c r="A20" s="10" t="s">
        <v>15</v>
      </c>
      <c r="B20" s="7"/>
      <c r="C20" s="12">
        <v>44000</v>
      </c>
      <c r="D20" s="3" t="s">
        <v>45</v>
      </c>
      <c r="E20" s="39">
        <f t="shared" si="0"/>
        <v>355378</v>
      </c>
      <c r="F20" s="28"/>
      <c r="G20" s="28"/>
      <c r="H20" s="29"/>
    </row>
    <row r="21" spans="1:8" ht="15.75" customHeight="1">
      <c r="A21" s="57">
        <v>45820</v>
      </c>
      <c r="B21" s="7"/>
      <c r="C21" s="46">
        <v>1000</v>
      </c>
      <c r="D21" s="3" t="s">
        <v>45</v>
      </c>
      <c r="E21" s="39">
        <f t="shared" si="0"/>
        <v>356378</v>
      </c>
      <c r="F21" s="58"/>
      <c r="G21" s="28"/>
      <c r="H21" s="29"/>
    </row>
    <row r="22" spans="1:8" ht="15.75" customHeight="1">
      <c r="A22" s="57">
        <v>45826</v>
      </c>
      <c r="B22" s="18"/>
      <c r="C22" s="59">
        <v>119000</v>
      </c>
      <c r="D22" s="3" t="s">
        <v>45</v>
      </c>
      <c r="E22" s="39">
        <f t="shared" si="0"/>
        <v>475378</v>
      </c>
      <c r="F22" s="28"/>
      <c r="G22" s="28"/>
      <c r="H22" s="29"/>
    </row>
    <row r="23" spans="1:8" ht="15.75" customHeight="1">
      <c r="A23" s="60">
        <v>45840</v>
      </c>
      <c r="B23" s="50"/>
      <c r="C23" s="15">
        <v>300</v>
      </c>
      <c r="D23" s="3" t="s">
        <v>45</v>
      </c>
      <c r="E23" s="39">
        <f t="shared" si="0"/>
        <v>475678</v>
      </c>
      <c r="F23" s="28"/>
      <c r="G23" s="28"/>
      <c r="H23" s="29"/>
    </row>
    <row r="24" spans="1:8" ht="15.75" customHeight="1">
      <c r="A24" s="61">
        <v>45841</v>
      </c>
      <c r="B24" s="62"/>
      <c r="C24" s="63">
        <v>500</v>
      </c>
      <c r="D24" s="3" t="s">
        <v>45</v>
      </c>
      <c r="E24" s="39">
        <f t="shared" si="0"/>
        <v>476178</v>
      </c>
      <c r="F24" s="28"/>
      <c r="G24" s="28"/>
      <c r="H24" s="29"/>
    </row>
    <row r="25" spans="1:8" ht="15.75" customHeight="1">
      <c r="A25" s="64">
        <v>45844</v>
      </c>
      <c r="B25" s="50"/>
      <c r="C25" s="15">
        <v>500</v>
      </c>
      <c r="D25" s="3" t="s">
        <v>45</v>
      </c>
      <c r="E25" s="39">
        <f t="shared" si="0"/>
        <v>476678</v>
      </c>
      <c r="F25" s="28"/>
      <c r="G25" s="28"/>
      <c r="H25" s="29"/>
    </row>
    <row r="26" spans="1:8" ht="15.75" customHeight="1">
      <c r="A26" s="65" t="s">
        <v>16</v>
      </c>
      <c r="B26" s="7"/>
      <c r="C26" s="12">
        <v>180</v>
      </c>
      <c r="D26" s="3" t="s">
        <v>45</v>
      </c>
      <c r="E26" s="39">
        <f t="shared" si="0"/>
        <v>476858</v>
      </c>
      <c r="F26" s="28"/>
      <c r="G26" s="28"/>
      <c r="H26" s="29"/>
    </row>
    <row r="27" spans="1:8" ht="15.75" customHeight="1">
      <c r="A27" s="66" t="s">
        <v>17</v>
      </c>
      <c r="B27" s="67"/>
      <c r="C27" s="12">
        <v>37000</v>
      </c>
      <c r="D27" s="3" t="s">
        <v>45</v>
      </c>
      <c r="E27" s="39">
        <f t="shared" si="0"/>
        <v>513858</v>
      </c>
      <c r="F27" s="28"/>
      <c r="G27" s="28"/>
      <c r="H27" s="29"/>
    </row>
    <row r="28" spans="1:8" ht="15.75" customHeight="1">
      <c r="A28" s="65" t="s">
        <v>17</v>
      </c>
      <c r="B28" s="7"/>
      <c r="C28" s="14">
        <v>32000</v>
      </c>
      <c r="D28" s="3" t="s">
        <v>51</v>
      </c>
      <c r="E28" s="39">
        <f t="shared" si="0"/>
        <v>545858</v>
      </c>
      <c r="F28" s="28"/>
      <c r="G28" s="28"/>
      <c r="H28" s="29"/>
    </row>
    <row r="29" spans="1:8" ht="15.75" customHeight="1">
      <c r="A29" s="68">
        <v>45858</v>
      </c>
      <c r="B29" s="14"/>
      <c r="C29" s="12">
        <v>1095</v>
      </c>
      <c r="D29" s="3" t="s">
        <v>45</v>
      </c>
      <c r="E29" s="39">
        <f t="shared" si="0"/>
        <v>546953</v>
      </c>
      <c r="F29" s="28"/>
      <c r="G29" s="28"/>
      <c r="H29" s="29"/>
    </row>
    <row r="30" spans="1:8" ht="15.75" customHeight="1">
      <c r="A30" s="69" t="s">
        <v>52</v>
      </c>
      <c r="B30" s="11"/>
      <c r="C30" s="15">
        <v>500</v>
      </c>
      <c r="D30" s="3" t="s">
        <v>45</v>
      </c>
      <c r="E30" s="39">
        <f t="shared" si="0"/>
        <v>547453</v>
      </c>
      <c r="F30" s="28"/>
      <c r="G30" s="28"/>
      <c r="H30" s="29"/>
    </row>
    <row r="31" spans="1:8" ht="15.75" customHeight="1">
      <c r="A31" s="70" t="s">
        <v>53</v>
      </c>
      <c r="B31" s="14"/>
      <c r="C31" s="12">
        <v>850</v>
      </c>
      <c r="D31" s="3" t="s">
        <v>45</v>
      </c>
      <c r="E31" s="39">
        <f t="shared" si="0"/>
        <v>548303</v>
      </c>
      <c r="F31" s="28"/>
      <c r="G31" s="28"/>
      <c r="H31" s="29"/>
    </row>
    <row r="32" spans="1:8" ht="15.75" customHeight="1">
      <c r="A32" s="71" t="s">
        <v>18</v>
      </c>
      <c r="B32" s="14"/>
      <c r="C32" s="12">
        <v>90</v>
      </c>
      <c r="D32" s="3" t="s">
        <v>45</v>
      </c>
      <c r="E32" s="39">
        <f t="shared" si="0"/>
        <v>548393</v>
      </c>
      <c r="F32" s="28"/>
      <c r="G32" s="28"/>
      <c r="H32" s="29"/>
    </row>
    <row r="33" spans="1:8" ht="15.75" customHeight="1">
      <c r="A33" s="65" t="s">
        <v>19</v>
      </c>
      <c r="B33" s="7"/>
      <c r="C33" s="12">
        <v>60</v>
      </c>
      <c r="D33" s="3" t="s">
        <v>45</v>
      </c>
      <c r="E33" s="39">
        <f t="shared" si="0"/>
        <v>548453</v>
      </c>
      <c r="F33" s="28"/>
      <c r="G33" s="28"/>
      <c r="H33" s="29"/>
    </row>
    <row r="34" spans="1:8" ht="15.75" customHeight="1">
      <c r="A34" s="57">
        <v>45871</v>
      </c>
      <c r="B34" s="7"/>
      <c r="C34" s="12">
        <v>2500</v>
      </c>
      <c r="D34" s="3" t="s">
        <v>45</v>
      </c>
      <c r="E34" s="39">
        <f t="shared" si="0"/>
        <v>550953</v>
      </c>
      <c r="F34" s="28"/>
      <c r="G34" s="28"/>
      <c r="H34" s="29"/>
    </row>
    <row r="35" spans="1:8" ht="15.75" customHeight="1">
      <c r="A35" s="72">
        <v>45875</v>
      </c>
      <c r="B35" s="7"/>
      <c r="C35" s="73">
        <v>32000</v>
      </c>
      <c r="D35" s="3" t="s">
        <v>45</v>
      </c>
      <c r="E35" s="39">
        <f t="shared" si="0"/>
        <v>582953</v>
      </c>
      <c r="F35" s="28"/>
      <c r="G35" s="28"/>
      <c r="H35" s="29"/>
    </row>
    <row r="36" spans="1:8" ht="15.75" customHeight="1">
      <c r="A36" s="5" t="s">
        <v>20</v>
      </c>
      <c r="B36" s="14">
        <v>10000</v>
      </c>
      <c r="C36" s="14"/>
      <c r="D36" s="3" t="s">
        <v>54</v>
      </c>
      <c r="E36" s="39">
        <f t="shared" si="0"/>
        <v>572953</v>
      </c>
      <c r="F36" s="28"/>
      <c r="G36" s="28"/>
      <c r="H36" s="29"/>
    </row>
    <row r="37" spans="1:8" ht="15.75" customHeight="1">
      <c r="A37" s="74" t="s">
        <v>55</v>
      </c>
      <c r="B37" s="14"/>
      <c r="C37" s="12">
        <v>496</v>
      </c>
      <c r="D37" s="3" t="s">
        <v>45</v>
      </c>
      <c r="E37" s="39">
        <f t="shared" si="0"/>
        <v>573449</v>
      </c>
      <c r="F37" s="28"/>
      <c r="G37" s="28"/>
      <c r="H37" s="29"/>
    </row>
    <row r="38" spans="1:8" ht="15.75" customHeight="1">
      <c r="A38" s="71" t="s">
        <v>21</v>
      </c>
      <c r="B38" s="14"/>
      <c r="C38" s="12">
        <v>90</v>
      </c>
      <c r="D38" s="3" t="s">
        <v>45</v>
      </c>
      <c r="E38" s="39">
        <f t="shared" si="0"/>
        <v>573539</v>
      </c>
      <c r="F38" s="28"/>
      <c r="G38" s="28"/>
      <c r="H38" s="29"/>
    </row>
    <row r="39" spans="1:8" ht="15.75" customHeight="1">
      <c r="A39" s="16" t="s">
        <v>22</v>
      </c>
      <c r="B39" s="16"/>
      <c r="C39" s="4">
        <v>32000</v>
      </c>
      <c r="D39" s="3" t="s">
        <v>45</v>
      </c>
      <c r="E39" s="39">
        <f t="shared" si="0"/>
        <v>605539</v>
      </c>
      <c r="F39" s="28"/>
      <c r="G39" s="28"/>
      <c r="H39" s="29"/>
    </row>
    <row r="40" spans="1:8" ht="15.75" customHeight="1">
      <c r="A40" s="75" t="s">
        <v>23</v>
      </c>
      <c r="B40" s="11">
        <v>5000</v>
      </c>
      <c r="C40" s="11"/>
      <c r="D40" s="3" t="s">
        <v>56</v>
      </c>
      <c r="E40" s="39">
        <f t="shared" si="0"/>
        <v>600539</v>
      </c>
      <c r="F40" s="28"/>
      <c r="G40" s="28"/>
      <c r="H40" s="29"/>
    </row>
    <row r="41" spans="1:8" ht="15.75" customHeight="1">
      <c r="A41" s="71" t="s">
        <v>23</v>
      </c>
      <c r="B41" s="14">
        <v>3600</v>
      </c>
      <c r="C41" s="14"/>
      <c r="D41" s="3" t="s">
        <v>54</v>
      </c>
      <c r="E41" s="39">
        <f t="shared" si="0"/>
        <v>596939</v>
      </c>
      <c r="F41" s="28"/>
      <c r="G41" s="28"/>
      <c r="H41" s="29"/>
    </row>
    <row r="42" spans="1:8" ht="15.75" customHeight="1">
      <c r="A42" s="71" t="s">
        <v>23</v>
      </c>
      <c r="B42" s="14"/>
      <c r="C42" s="12">
        <v>250000</v>
      </c>
      <c r="D42" s="3" t="s">
        <v>45</v>
      </c>
      <c r="E42" s="39">
        <f t="shared" si="0"/>
        <v>846939</v>
      </c>
      <c r="F42" s="28"/>
      <c r="G42" s="28"/>
      <c r="H42" s="29"/>
    </row>
    <row r="43" spans="1:8" ht="15.75" customHeight="1">
      <c r="A43" s="75" t="s">
        <v>26</v>
      </c>
      <c r="B43" s="14">
        <v>4475</v>
      </c>
      <c r="C43" s="11"/>
      <c r="D43" s="11" t="s">
        <v>44</v>
      </c>
      <c r="E43" s="39">
        <f t="shared" si="0"/>
        <v>842464</v>
      </c>
      <c r="F43" s="28"/>
      <c r="G43" s="28"/>
      <c r="H43" s="29"/>
    </row>
    <row r="44" spans="1:8" ht="15.75" customHeight="1">
      <c r="A44" s="76">
        <v>45927</v>
      </c>
      <c r="B44" s="14"/>
      <c r="C44" s="12">
        <v>193</v>
      </c>
      <c r="D44" s="14" t="s">
        <v>45</v>
      </c>
      <c r="E44" s="39">
        <f t="shared" si="0"/>
        <v>842657</v>
      </c>
      <c r="F44" s="28"/>
      <c r="G44" s="28"/>
      <c r="H44" s="29"/>
    </row>
    <row r="45" spans="1:8" ht="15.75" customHeight="1">
      <c r="A45" s="77">
        <v>45929</v>
      </c>
      <c r="B45" s="11"/>
      <c r="C45" s="15">
        <v>221</v>
      </c>
      <c r="D45" s="11" t="s">
        <v>45</v>
      </c>
      <c r="E45" s="39">
        <f t="shared" si="0"/>
        <v>842878</v>
      </c>
      <c r="F45" s="28"/>
      <c r="G45" s="28"/>
      <c r="H45" s="29"/>
    </row>
    <row r="46" spans="1:8" ht="15.75" customHeight="1">
      <c r="A46" s="78">
        <v>45932</v>
      </c>
      <c r="B46" s="14"/>
      <c r="C46" s="12">
        <v>1100</v>
      </c>
      <c r="D46" s="9" t="s">
        <v>13</v>
      </c>
      <c r="E46" s="39">
        <f t="shared" si="0"/>
        <v>843978</v>
      </c>
      <c r="F46" s="28"/>
      <c r="G46" s="28"/>
      <c r="H46" s="29"/>
    </row>
    <row r="47" spans="1:8" ht="15.75" customHeight="1">
      <c r="A47" s="69" t="s">
        <v>24</v>
      </c>
      <c r="B47" s="14"/>
      <c r="C47" s="14">
        <v>32000</v>
      </c>
      <c r="D47" s="14" t="s">
        <v>51</v>
      </c>
      <c r="E47" s="39">
        <f t="shared" si="0"/>
        <v>875978</v>
      </c>
      <c r="F47" s="28"/>
      <c r="G47" s="28"/>
      <c r="H47" s="29"/>
    </row>
    <row r="48" spans="1:8" ht="15.75" customHeight="1">
      <c r="A48" s="79" t="s">
        <v>57</v>
      </c>
      <c r="B48" s="38">
        <v>100000</v>
      </c>
      <c r="C48" s="38"/>
      <c r="D48" s="9" t="s">
        <v>44</v>
      </c>
      <c r="E48" s="39">
        <f t="shared" si="0"/>
        <v>775978</v>
      </c>
      <c r="F48" s="28"/>
      <c r="G48" s="28"/>
      <c r="H48" s="29"/>
    </row>
    <row r="49" spans="1:8" ht="15.75" customHeight="1">
      <c r="A49" s="51">
        <v>45950</v>
      </c>
      <c r="B49" s="6"/>
      <c r="C49" s="24">
        <f>148+498</f>
        <v>646</v>
      </c>
      <c r="D49" s="9" t="s">
        <v>13</v>
      </c>
      <c r="E49" s="39">
        <f t="shared" si="0"/>
        <v>776624</v>
      </c>
      <c r="F49" s="28"/>
      <c r="G49" s="28"/>
      <c r="H49" s="29"/>
    </row>
    <row r="50" spans="1:8" ht="15.75" customHeight="1">
      <c r="A50" s="78">
        <v>45951</v>
      </c>
      <c r="B50" s="80"/>
      <c r="C50" s="15">
        <v>100</v>
      </c>
      <c r="D50" s="11" t="s">
        <v>13</v>
      </c>
      <c r="E50" s="39">
        <f t="shared" si="0"/>
        <v>776724</v>
      </c>
      <c r="F50" s="28"/>
      <c r="G50" s="28"/>
      <c r="H50" s="29"/>
    </row>
    <row r="51" spans="1:8" ht="15.75" customHeight="1">
      <c r="A51" s="81">
        <v>45962</v>
      </c>
      <c r="B51" s="7"/>
      <c r="C51" s="17">
        <v>32000</v>
      </c>
      <c r="D51" s="9" t="s">
        <v>51</v>
      </c>
      <c r="E51" s="39">
        <f t="shared" si="0"/>
        <v>808724</v>
      </c>
      <c r="F51" s="28"/>
      <c r="G51" s="28"/>
      <c r="H51" s="29"/>
    </row>
    <row r="52" spans="1:8" ht="15.75" customHeight="1">
      <c r="A52" s="82" t="s">
        <v>25</v>
      </c>
      <c r="B52" s="83"/>
      <c r="C52" s="84">
        <v>364500</v>
      </c>
      <c r="D52" s="85" t="s">
        <v>58</v>
      </c>
      <c r="E52" s="39">
        <f t="shared" si="0"/>
        <v>1173224</v>
      </c>
      <c r="F52" s="28"/>
      <c r="G52" s="28"/>
      <c r="H52" s="29"/>
    </row>
    <row r="53" spans="1:8" ht="15.75" customHeight="1">
      <c r="A53" s="86" t="s">
        <v>59</v>
      </c>
      <c r="B53" s="37">
        <v>250000</v>
      </c>
      <c r="C53" s="87"/>
      <c r="D53" s="37" t="s">
        <v>60</v>
      </c>
      <c r="E53" s="39">
        <f t="shared" si="0"/>
        <v>923224</v>
      </c>
      <c r="F53" s="28"/>
      <c r="G53" s="28"/>
      <c r="H53" s="29"/>
    </row>
    <row r="54" spans="1:8" ht="15.75" customHeight="1">
      <c r="A54" s="86" t="s">
        <v>61</v>
      </c>
      <c r="B54" s="83"/>
      <c r="C54" s="39">
        <v>32000</v>
      </c>
      <c r="D54" s="9" t="s">
        <v>51</v>
      </c>
      <c r="E54" s="39">
        <f t="shared" si="0"/>
        <v>955224</v>
      </c>
      <c r="F54" s="28"/>
      <c r="G54" s="28"/>
      <c r="H54" s="29"/>
    </row>
    <row r="55" spans="1:8" ht="15.75" customHeight="1">
      <c r="A55" s="86" t="s">
        <v>62</v>
      </c>
      <c r="B55" s="80">
        <v>10000</v>
      </c>
      <c r="C55" s="88"/>
      <c r="D55" s="80" t="s">
        <v>44</v>
      </c>
      <c r="E55" s="39">
        <f t="shared" si="0"/>
        <v>945224</v>
      </c>
      <c r="F55" s="28"/>
      <c r="G55" s="28"/>
      <c r="H55" s="29"/>
    </row>
    <row r="56" spans="1:8" ht="15.75" customHeight="1">
      <c r="A56" s="89">
        <v>46036</v>
      </c>
      <c r="B56" s="80"/>
      <c r="C56" s="88">
        <v>5700</v>
      </c>
      <c r="D56" s="80" t="s">
        <v>63</v>
      </c>
      <c r="E56" s="39">
        <f t="shared" si="0"/>
        <v>950924</v>
      </c>
      <c r="F56" s="28"/>
      <c r="G56" s="28"/>
      <c r="H56" s="29"/>
    </row>
    <row r="57" spans="1:8" ht="15.75" customHeight="1">
      <c r="A57" s="90">
        <v>46036</v>
      </c>
      <c r="B57" s="80"/>
      <c r="C57" s="88">
        <v>32000</v>
      </c>
      <c r="D57" s="9" t="s">
        <v>51</v>
      </c>
      <c r="E57" s="39">
        <f t="shared" si="0"/>
        <v>982924</v>
      </c>
      <c r="F57" s="28"/>
      <c r="G57" s="28"/>
      <c r="H57" s="29"/>
    </row>
    <row r="58" spans="1:8" ht="15.75" customHeight="1">
      <c r="A58" s="89">
        <v>46054</v>
      </c>
      <c r="B58" s="39"/>
      <c r="C58" s="83">
        <v>32000</v>
      </c>
      <c r="D58" s="9" t="s">
        <v>51</v>
      </c>
      <c r="E58" s="39">
        <f t="shared" si="0"/>
        <v>1014924</v>
      </c>
      <c r="F58" s="28"/>
      <c r="G58" s="28"/>
      <c r="H58" s="29"/>
    </row>
    <row r="59" spans="1:8" ht="15.75" customHeight="1">
      <c r="A59" s="89">
        <v>46086</v>
      </c>
      <c r="B59" s="37"/>
      <c r="C59" s="91">
        <v>32000</v>
      </c>
      <c r="D59" s="37" t="s">
        <v>51</v>
      </c>
      <c r="E59" s="39">
        <f t="shared" si="0"/>
        <v>1046924</v>
      </c>
      <c r="F59" s="28"/>
      <c r="G59" s="28"/>
      <c r="H59" s="29"/>
    </row>
    <row r="60" spans="1:8" ht="15.75" customHeight="1">
      <c r="A60" s="89">
        <v>46086</v>
      </c>
      <c r="B60" s="92"/>
      <c r="C60" s="88">
        <v>12685</v>
      </c>
      <c r="D60" s="80" t="s">
        <v>64</v>
      </c>
      <c r="E60" s="39">
        <f t="shared" si="0"/>
        <v>1059609</v>
      </c>
      <c r="F60" s="28"/>
      <c r="G60" s="28"/>
      <c r="H60" s="29"/>
    </row>
    <row r="61" spans="1:8" ht="15.75" customHeight="1">
      <c r="A61" s="93" t="s">
        <v>65</v>
      </c>
      <c r="B61" s="94">
        <v>10000</v>
      </c>
      <c r="C61" s="88"/>
      <c r="D61" s="80" t="s">
        <v>44</v>
      </c>
      <c r="E61" s="39">
        <f t="shared" si="0"/>
        <v>1049609</v>
      </c>
      <c r="F61" s="28"/>
      <c r="G61" s="28"/>
      <c r="H61" s="29"/>
    </row>
    <row r="62" spans="1:8" ht="15.75" customHeight="1">
      <c r="A62" s="8"/>
      <c r="B62" s="39"/>
      <c r="C62" s="95">
        <v>113675</v>
      </c>
      <c r="D62" s="96" t="s">
        <v>66</v>
      </c>
      <c r="E62" s="97">
        <f t="shared" si="0"/>
        <v>1163284</v>
      </c>
      <c r="F62" s="28"/>
      <c r="G62" s="28"/>
      <c r="H62" s="29"/>
    </row>
    <row r="63" spans="1:8" ht="15.75" customHeight="1">
      <c r="A63" s="8"/>
      <c r="B63" s="80"/>
      <c r="C63" s="95">
        <v>99800</v>
      </c>
      <c r="D63" s="96" t="s">
        <v>67</v>
      </c>
      <c r="E63" s="97">
        <f t="shared" si="0"/>
        <v>1263084</v>
      </c>
      <c r="F63" s="28"/>
      <c r="G63" s="28"/>
      <c r="H63" s="29"/>
    </row>
    <row r="64" spans="1:8" ht="15.75" customHeight="1">
      <c r="A64" s="8"/>
      <c r="B64" s="39"/>
      <c r="C64" s="95">
        <v>3672</v>
      </c>
      <c r="D64" s="96" t="s">
        <v>68</v>
      </c>
      <c r="E64" s="97">
        <f t="shared" si="0"/>
        <v>1266756</v>
      </c>
      <c r="F64" s="28"/>
      <c r="G64" s="28"/>
      <c r="H64" s="29"/>
    </row>
    <row r="65" spans="1:8" ht="15.75" customHeight="1">
      <c r="A65" s="8"/>
      <c r="B65" s="39"/>
      <c r="C65" s="95">
        <v>11704</v>
      </c>
      <c r="D65" s="96" t="s">
        <v>69</v>
      </c>
      <c r="E65" s="97">
        <f t="shared" si="0"/>
        <v>1278460</v>
      </c>
      <c r="F65" s="28"/>
      <c r="G65" s="28"/>
      <c r="H65" s="29"/>
    </row>
    <row r="66" spans="1:8" ht="15.75" customHeight="1">
      <c r="A66" s="8"/>
      <c r="B66" s="39"/>
      <c r="C66" s="95">
        <v>21736</v>
      </c>
      <c r="D66" s="96" t="s">
        <v>70</v>
      </c>
      <c r="E66" s="97">
        <f t="shared" si="0"/>
        <v>1300196</v>
      </c>
      <c r="F66" s="28"/>
      <c r="G66" s="28"/>
      <c r="H66" s="29"/>
    </row>
    <row r="67" spans="1:8" ht="15.75" customHeight="1">
      <c r="A67" s="8"/>
      <c r="B67" s="80"/>
      <c r="C67" s="95">
        <v>38269</v>
      </c>
      <c r="D67" s="96" t="s">
        <v>71</v>
      </c>
      <c r="E67" s="97">
        <f t="shared" si="0"/>
        <v>1338465</v>
      </c>
      <c r="F67" s="28"/>
      <c r="G67" s="28"/>
      <c r="H67" s="29"/>
    </row>
    <row r="68" spans="1:8" ht="15.75" customHeight="1">
      <c r="A68" s="8"/>
      <c r="B68" s="80"/>
      <c r="C68" s="95">
        <v>14204.841</v>
      </c>
      <c r="D68" s="96" t="s">
        <v>72</v>
      </c>
      <c r="E68" s="97">
        <f t="shared" si="0"/>
        <v>1352669.841</v>
      </c>
      <c r="F68" s="28"/>
      <c r="G68" s="28"/>
      <c r="H68" s="29"/>
    </row>
    <row r="69" spans="1:8" ht="15.75" customHeight="1">
      <c r="A69" s="8" t="s">
        <v>27</v>
      </c>
      <c r="B69" s="80"/>
      <c r="C69" s="98">
        <v>2800</v>
      </c>
      <c r="D69" s="8" t="s">
        <v>73</v>
      </c>
      <c r="E69" s="97">
        <f t="shared" si="0"/>
        <v>1355469.841</v>
      </c>
      <c r="F69" s="28"/>
      <c r="G69" s="28"/>
      <c r="H69" s="29"/>
    </row>
    <row r="70" spans="1:8" ht="15.75" customHeight="1">
      <c r="A70" s="8" t="s">
        <v>27</v>
      </c>
      <c r="B70" s="37"/>
      <c r="C70" s="98">
        <v>2995</v>
      </c>
      <c r="D70" s="8" t="s">
        <v>73</v>
      </c>
      <c r="E70" s="97">
        <f t="shared" si="0"/>
        <v>1358464.841</v>
      </c>
      <c r="F70" s="28"/>
      <c r="G70" s="28"/>
      <c r="H70" s="29"/>
    </row>
    <row r="71" spans="1:8" ht="15.75" customHeight="1">
      <c r="A71" s="8" t="s">
        <v>28</v>
      </c>
      <c r="B71" s="99"/>
      <c r="C71" s="98">
        <v>3560</v>
      </c>
      <c r="D71" s="8" t="s">
        <v>73</v>
      </c>
      <c r="E71" s="97">
        <f t="shared" si="0"/>
        <v>1362024.841</v>
      </c>
      <c r="F71" s="28"/>
      <c r="G71" s="28"/>
      <c r="H71" s="29"/>
    </row>
    <row r="72" spans="1:8" ht="15.75" customHeight="1">
      <c r="A72" s="8" t="s">
        <v>29</v>
      </c>
      <c r="B72" s="80"/>
      <c r="C72" s="98">
        <v>5130</v>
      </c>
      <c r="D72" s="8" t="s">
        <v>74</v>
      </c>
      <c r="E72" s="97">
        <f t="shared" si="0"/>
        <v>1367154.841</v>
      </c>
      <c r="F72" s="28"/>
      <c r="G72" s="28"/>
      <c r="H72" s="29"/>
    </row>
    <row r="73" spans="1:8" ht="15.75" customHeight="1">
      <c r="A73" s="8" t="s">
        <v>30</v>
      </c>
      <c r="B73" s="88"/>
      <c r="C73" s="98">
        <v>9247.5</v>
      </c>
      <c r="D73" s="8" t="s">
        <v>75</v>
      </c>
      <c r="E73" s="97">
        <f t="shared" si="0"/>
        <v>1376402.341</v>
      </c>
      <c r="F73" s="28"/>
      <c r="G73" s="28"/>
      <c r="H73" s="29"/>
    </row>
    <row r="74" spans="1:8" ht="15.75" customHeight="1">
      <c r="A74" s="8" t="s">
        <v>31</v>
      </c>
      <c r="B74" s="88"/>
      <c r="C74" s="98">
        <v>6713.76</v>
      </c>
      <c r="D74" s="8" t="s">
        <v>76</v>
      </c>
      <c r="E74" s="97">
        <f t="shared" si="0"/>
        <v>1383116.101</v>
      </c>
      <c r="F74" s="28"/>
      <c r="G74" s="28"/>
      <c r="H74" s="29"/>
    </row>
    <row r="75" spans="1:8" ht="15.75" customHeight="1">
      <c r="A75" s="8" t="s">
        <v>32</v>
      </c>
      <c r="B75" s="99"/>
      <c r="C75" s="98">
        <v>3860.2249999999999</v>
      </c>
      <c r="D75" s="8" t="s">
        <v>77</v>
      </c>
      <c r="E75" s="97">
        <f t="shared" si="0"/>
        <v>1386976.3260000001</v>
      </c>
      <c r="F75" s="28"/>
      <c r="G75" s="28"/>
      <c r="H75" s="29"/>
    </row>
    <row r="76" spans="1:8" ht="15.75" customHeight="1">
      <c r="A76" s="8" t="s">
        <v>32</v>
      </c>
      <c r="B76" s="19"/>
      <c r="C76" s="98">
        <v>4286.1000000000004</v>
      </c>
      <c r="D76" s="8" t="s">
        <v>77</v>
      </c>
      <c r="E76" s="97">
        <f t="shared" si="0"/>
        <v>1391262.4260000002</v>
      </c>
      <c r="F76" s="28"/>
      <c r="G76" s="28"/>
      <c r="H76" s="29"/>
    </row>
    <row r="77" spans="1:8" ht="15.75" customHeight="1">
      <c r="A77" s="8" t="s">
        <v>32</v>
      </c>
      <c r="B77" s="37"/>
      <c r="C77" s="98">
        <v>4200</v>
      </c>
      <c r="D77" s="8" t="s">
        <v>77</v>
      </c>
      <c r="E77" s="97">
        <f t="shared" si="0"/>
        <v>1395462.4260000002</v>
      </c>
      <c r="F77" s="28"/>
      <c r="G77" s="28"/>
      <c r="H77" s="29"/>
    </row>
    <row r="78" spans="1:8" ht="15.75" customHeight="1">
      <c r="A78" s="8" t="s">
        <v>32</v>
      </c>
      <c r="B78" s="37"/>
      <c r="C78" s="98">
        <v>3360</v>
      </c>
      <c r="D78" s="8" t="s">
        <v>77</v>
      </c>
      <c r="E78" s="97">
        <f t="shared" si="0"/>
        <v>1398822.4260000002</v>
      </c>
      <c r="F78" s="28"/>
      <c r="G78" s="28"/>
      <c r="H78" s="29"/>
    </row>
    <row r="79" spans="1:8" ht="15.75" customHeight="1">
      <c r="A79" s="8" t="s">
        <v>32</v>
      </c>
      <c r="B79" s="37"/>
      <c r="C79" s="98">
        <v>4618.7510000000002</v>
      </c>
      <c r="D79" s="8" t="s">
        <v>78</v>
      </c>
      <c r="E79" s="97">
        <f t="shared" si="0"/>
        <v>1403441.1770000001</v>
      </c>
      <c r="F79" s="28"/>
      <c r="G79" s="28"/>
      <c r="H79" s="29"/>
    </row>
    <row r="80" spans="1:8" ht="15.75" customHeight="1">
      <c r="A80" s="8" t="s">
        <v>33</v>
      </c>
      <c r="B80" s="37"/>
      <c r="C80" s="98">
        <v>3609.6759999999999</v>
      </c>
      <c r="D80" s="8" t="s">
        <v>78</v>
      </c>
      <c r="E80" s="97">
        <f t="shared" si="0"/>
        <v>1407050.8530000001</v>
      </c>
      <c r="F80" s="28"/>
      <c r="G80" s="28"/>
      <c r="H80" s="29"/>
    </row>
    <row r="81" spans="1:26" ht="15.75" customHeight="1">
      <c r="A81" s="8" t="s">
        <v>34</v>
      </c>
      <c r="B81" s="37"/>
      <c r="C81" s="98">
        <v>4627.22</v>
      </c>
      <c r="D81" s="8" t="s">
        <v>77</v>
      </c>
      <c r="E81" s="97">
        <f t="shared" si="0"/>
        <v>1411678.0730000001</v>
      </c>
      <c r="F81" s="28"/>
      <c r="G81" s="28"/>
      <c r="H81" s="29"/>
    </row>
    <row r="82" spans="1:26" ht="15.75" customHeight="1">
      <c r="A82" s="100" t="s">
        <v>35</v>
      </c>
      <c r="B82" s="7"/>
      <c r="C82" s="98">
        <v>4013.4110000000001</v>
      </c>
      <c r="D82" s="8" t="s">
        <v>78</v>
      </c>
      <c r="E82" s="97">
        <f t="shared" si="0"/>
        <v>1415691.4840000002</v>
      </c>
      <c r="F82" s="28"/>
      <c r="G82" s="28"/>
      <c r="H82" s="29"/>
    </row>
    <row r="83" spans="1:26" ht="15.75" customHeight="1">
      <c r="A83" s="8" t="s">
        <v>36</v>
      </c>
      <c r="B83" s="37"/>
      <c r="C83" s="98">
        <v>3070.21</v>
      </c>
      <c r="D83" s="8" t="s">
        <v>77</v>
      </c>
      <c r="E83" s="97">
        <f t="shared" si="0"/>
        <v>1418761.6940000001</v>
      </c>
      <c r="F83" s="28"/>
      <c r="G83" s="28"/>
      <c r="H83" s="29"/>
    </row>
    <row r="84" spans="1:26" ht="15.75" customHeight="1">
      <c r="A84" s="8" t="s">
        <v>37</v>
      </c>
      <c r="B84" s="37"/>
      <c r="C84" s="101">
        <v>10276.5</v>
      </c>
      <c r="D84" s="8" t="s">
        <v>79</v>
      </c>
      <c r="E84" s="97">
        <f t="shared" si="0"/>
        <v>1429038.1940000001</v>
      </c>
      <c r="F84" s="28"/>
      <c r="G84" s="28"/>
      <c r="H84" s="29"/>
    </row>
    <row r="85" spans="1:26" ht="15.75" customHeight="1">
      <c r="A85" s="102" t="s">
        <v>38</v>
      </c>
      <c r="B85" s="103"/>
      <c r="C85" s="95">
        <v>68128.45</v>
      </c>
      <c r="D85" s="10" t="s">
        <v>80</v>
      </c>
      <c r="E85" s="97">
        <f t="shared" si="0"/>
        <v>1497166.6440000001</v>
      </c>
      <c r="F85" s="28"/>
      <c r="G85" s="28"/>
      <c r="H85" s="29"/>
    </row>
    <row r="86" spans="1:26" ht="15.75" customHeight="1">
      <c r="A86" s="104">
        <v>46177</v>
      </c>
      <c r="B86" s="105"/>
      <c r="C86" s="95">
        <v>54500</v>
      </c>
      <c r="D86" s="8" t="s">
        <v>81</v>
      </c>
      <c r="E86" s="97">
        <f t="shared" si="0"/>
        <v>1551666.6440000001</v>
      </c>
      <c r="F86" s="28"/>
      <c r="G86" s="28"/>
      <c r="H86" s="29"/>
    </row>
    <row r="87" spans="1:26" ht="15.75" customHeight="1">
      <c r="A87" s="106" t="s">
        <v>39</v>
      </c>
      <c r="B87" s="103"/>
      <c r="C87" s="95">
        <v>2067</v>
      </c>
      <c r="D87" s="8" t="s">
        <v>78</v>
      </c>
      <c r="E87" s="97">
        <f t="shared" si="0"/>
        <v>1553733.6440000001</v>
      </c>
      <c r="F87" s="28"/>
      <c r="G87" s="28"/>
      <c r="H87" s="29"/>
    </row>
    <row r="88" spans="1:26" ht="15.75" customHeight="1">
      <c r="A88" s="107" t="s">
        <v>40</v>
      </c>
      <c r="B88" s="103"/>
      <c r="C88" s="98">
        <v>9375.9969999999994</v>
      </c>
      <c r="D88" s="10" t="s">
        <v>82</v>
      </c>
      <c r="E88" s="97">
        <f t="shared" si="0"/>
        <v>1563109.6410000001</v>
      </c>
      <c r="F88" s="28"/>
      <c r="G88" s="28"/>
      <c r="H88" s="29"/>
    </row>
    <row r="89" spans="1:26" ht="15.75" customHeight="1">
      <c r="A89" s="108">
        <v>46117</v>
      </c>
      <c r="B89" s="80"/>
      <c r="C89" s="109">
        <v>32000</v>
      </c>
      <c r="D89" s="110" t="s">
        <v>51</v>
      </c>
      <c r="E89" s="111">
        <f t="shared" si="0"/>
        <v>1595109.6410000001</v>
      </c>
      <c r="F89" s="28"/>
      <c r="G89" s="28"/>
      <c r="H89" s="29"/>
    </row>
    <row r="90" spans="1:26" ht="15.75" customHeight="1">
      <c r="A90" s="108">
        <v>46114</v>
      </c>
      <c r="B90" s="13"/>
      <c r="C90" s="88">
        <v>135000</v>
      </c>
      <c r="D90" s="80" t="s">
        <v>83</v>
      </c>
      <c r="E90" s="97">
        <f t="shared" si="0"/>
        <v>1730109.6410000001</v>
      </c>
      <c r="F90" s="28"/>
      <c r="G90" s="28"/>
      <c r="H90" s="29"/>
    </row>
    <row r="91" spans="1:26" ht="15.75" customHeight="1">
      <c r="A91" s="112">
        <v>46158</v>
      </c>
      <c r="B91" s="37">
        <v>1000</v>
      </c>
      <c r="C91" s="91"/>
      <c r="D91" s="37" t="s">
        <v>44</v>
      </c>
      <c r="E91" s="97">
        <f t="shared" si="0"/>
        <v>1729109.6410000001</v>
      </c>
      <c r="F91" s="28"/>
      <c r="G91" s="28"/>
      <c r="H91" s="29"/>
    </row>
    <row r="92" spans="1:26" ht="15.75" customHeight="1">
      <c r="A92" s="113">
        <v>46159</v>
      </c>
      <c r="B92" s="114"/>
      <c r="C92" s="91"/>
      <c r="D92" s="115" t="s">
        <v>84</v>
      </c>
      <c r="E92" s="111">
        <f t="shared" si="0"/>
        <v>1729109.6410000001</v>
      </c>
      <c r="F92" s="34"/>
      <c r="G92" s="34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5.75" customHeight="1">
      <c r="A93" s="116">
        <v>46160</v>
      </c>
      <c r="B93" s="39">
        <v>135000</v>
      </c>
      <c r="C93" s="39"/>
      <c r="D93" s="39" t="s">
        <v>44</v>
      </c>
      <c r="E93" s="111">
        <f t="shared" si="0"/>
        <v>1594109.6410000001</v>
      </c>
      <c r="F93" s="34"/>
      <c r="G93" s="34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5.75" customHeight="1">
      <c r="A94" s="117"/>
      <c r="B94" s="37"/>
      <c r="C94" s="91"/>
      <c r="D94" s="37"/>
      <c r="E94" s="111">
        <f t="shared" si="0"/>
        <v>1594109.6410000001</v>
      </c>
      <c r="F94" s="34"/>
      <c r="G94" s="34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5.75" customHeight="1">
      <c r="A95" s="117"/>
      <c r="B95" s="37"/>
      <c r="C95" s="91"/>
      <c r="D95" s="37"/>
      <c r="E95" s="97">
        <f t="shared" si="0"/>
        <v>1594109.6410000001</v>
      </c>
      <c r="F95" s="28"/>
      <c r="G95" s="28"/>
      <c r="H95" s="29"/>
    </row>
    <row r="96" spans="1:26" ht="15.75" customHeight="1">
      <c r="A96" s="118"/>
      <c r="B96" s="37"/>
      <c r="C96" s="91"/>
      <c r="D96" s="37"/>
      <c r="E96" s="97">
        <f t="shared" si="0"/>
        <v>1594109.6410000001</v>
      </c>
      <c r="F96" s="28"/>
      <c r="G96" s="28"/>
      <c r="H96" s="29"/>
    </row>
    <row r="97" spans="1:26" ht="15.75" customHeight="1">
      <c r="A97" s="117"/>
      <c r="B97" s="37"/>
      <c r="C97" s="91"/>
      <c r="D97" s="37"/>
      <c r="E97" s="97">
        <f t="shared" si="0"/>
        <v>1594109.6410000001</v>
      </c>
      <c r="F97" s="28"/>
      <c r="G97" s="28"/>
      <c r="H97" s="29"/>
    </row>
    <row r="98" spans="1:26" ht="15.75" customHeight="1">
      <c r="A98" s="93"/>
      <c r="B98" s="92"/>
      <c r="C98" s="88"/>
      <c r="D98" s="80"/>
      <c r="E98" s="97">
        <f t="shared" si="0"/>
        <v>1594109.6410000001</v>
      </c>
      <c r="F98" s="28"/>
      <c r="G98" s="28"/>
      <c r="H98" s="29"/>
    </row>
    <row r="99" spans="1:26" ht="15.75" customHeight="1">
      <c r="A99" s="93"/>
      <c r="B99" s="80"/>
      <c r="C99" s="88"/>
      <c r="D99" s="37"/>
      <c r="E99" s="97">
        <f t="shared" si="0"/>
        <v>1594109.6410000001</v>
      </c>
      <c r="F99" s="28"/>
      <c r="G99" s="28"/>
      <c r="H99" s="29"/>
    </row>
    <row r="100" spans="1:26" ht="15.75" customHeight="1">
      <c r="A100" s="117"/>
      <c r="B100" s="37"/>
      <c r="C100" s="91"/>
      <c r="D100" s="37"/>
      <c r="E100" s="97">
        <f t="shared" si="0"/>
        <v>1594109.6410000001</v>
      </c>
      <c r="F100" s="28"/>
      <c r="G100" s="28"/>
      <c r="H100" s="29"/>
    </row>
    <row r="101" spans="1:26" ht="15.75" customHeight="1">
      <c r="A101" s="93"/>
      <c r="B101" s="92"/>
      <c r="C101" s="88"/>
      <c r="D101" s="80"/>
      <c r="E101" s="97">
        <f t="shared" si="0"/>
        <v>1594109.6410000001</v>
      </c>
      <c r="F101" s="28"/>
      <c r="G101" s="28"/>
      <c r="H101" s="29"/>
    </row>
    <row r="102" spans="1:26" ht="15.75" customHeight="1">
      <c r="A102" s="118"/>
      <c r="B102" s="37"/>
      <c r="C102" s="91"/>
      <c r="D102" s="37"/>
      <c r="E102" s="111">
        <f t="shared" si="0"/>
        <v>1594109.6410000001</v>
      </c>
      <c r="F102" s="34"/>
      <c r="G102" s="34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5.75" customHeight="1">
      <c r="A103" s="118"/>
      <c r="B103" s="37"/>
      <c r="C103" s="119"/>
      <c r="D103" s="37"/>
      <c r="E103" s="111">
        <f t="shared" si="0"/>
        <v>1594109.6410000001</v>
      </c>
      <c r="F103" s="34"/>
      <c r="G103" s="34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5.75" customHeight="1">
      <c r="A104" s="117"/>
      <c r="B104" s="37"/>
      <c r="C104" s="91"/>
      <c r="D104" s="37"/>
      <c r="E104" s="111">
        <f t="shared" si="0"/>
        <v>1594109.6410000001</v>
      </c>
      <c r="F104" s="34"/>
      <c r="G104" s="34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5.75" customHeight="1">
      <c r="A105" s="117"/>
      <c r="B105" s="37"/>
      <c r="C105" s="91"/>
      <c r="D105" s="37"/>
      <c r="E105" s="111">
        <f t="shared" si="0"/>
        <v>1594109.6410000001</v>
      </c>
      <c r="F105" s="34"/>
      <c r="G105" s="34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5.75" customHeight="1">
      <c r="A106" s="118"/>
      <c r="B106" s="37"/>
      <c r="C106" s="91"/>
      <c r="D106" s="37"/>
      <c r="E106" s="97">
        <f t="shared" si="0"/>
        <v>1594109.6410000001</v>
      </c>
      <c r="F106" s="28"/>
      <c r="G106" s="28"/>
      <c r="H106" s="29"/>
    </row>
    <row r="107" spans="1:26" ht="15.75" customHeight="1">
      <c r="A107" s="117"/>
      <c r="B107" s="13"/>
      <c r="C107" s="91"/>
      <c r="D107" s="13"/>
      <c r="E107" s="97">
        <f t="shared" si="0"/>
        <v>1594109.6410000001</v>
      </c>
      <c r="F107" s="28"/>
      <c r="G107" s="28"/>
      <c r="H107" s="29"/>
    </row>
    <row r="108" spans="1:26" ht="15.75" customHeight="1">
      <c r="A108" s="120"/>
      <c r="B108" s="13"/>
      <c r="C108" s="91"/>
      <c r="D108" s="13"/>
      <c r="E108" s="97">
        <f t="shared" si="0"/>
        <v>1594109.6410000001</v>
      </c>
      <c r="F108" s="28"/>
      <c r="G108" s="28"/>
      <c r="H108" s="29"/>
    </row>
    <row r="109" spans="1:26" ht="15.75" customHeight="1">
      <c r="A109" s="120"/>
      <c r="B109" s="13"/>
      <c r="C109" s="91"/>
      <c r="D109" s="13"/>
      <c r="E109" s="97">
        <f t="shared" si="0"/>
        <v>1594109.6410000001</v>
      </c>
      <c r="F109" s="28"/>
      <c r="G109" s="28"/>
      <c r="H109" s="29"/>
    </row>
    <row r="110" spans="1:26" ht="15.75" customHeight="1">
      <c r="A110" s="120"/>
      <c r="B110" s="13"/>
      <c r="C110" s="91"/>
      <c r="D110" s="13"/>
      <c r="E110" s="97">
        <f t="shared" si="0"/>
        <v>1594109.6410000001</v>
      </c>
      <c r="F110" s="28"/>
      <c r="G110" s="28"/>
      <c r="H110" s="29"/>
    </row>
    <row r="111" spans="1:26" ht="15.75" customHeight="1">
      <c r="A111" s="120"/>
      <c r="B111" s="13"/>
      <c r="C111" s="91"/>
      <c r="D111" s="13"/>
      <c r="E111" s="97">
        <f t="shared" si="0"/>
        <v>1594109.6410000001</v>
      </c>
      <c r="F111" s="28"/>
      <c r="G111" s="28"/>
      <c r="H111" s="29"/>
    </row>
    <row r="112" spans="1:26" ht="15.75" customHeight="1">
      <c r="A112" s="120"/>
      <c r="B112" s="13"/>
      <c r="C112" s="91"/>
      <c r="D112" s="13"/>
      <c r="E112" s="97">
        <f t="shared" si="0"/>
        <v>1594109.6410000001</v>
      </c>
      <c r="F112" s="28"/>
      <c r="G112" s="28"/>
      <c r="H112" s="29"/>
    </row>
    <row r="113" spans="1:8" ht="15.75" customHeight="1">
      <c r="A113" s="120"/>
      <c r="B113" s="13"/>
      <c r="C113" s="91"/>
      <c r="D113" s="13"/>
      <c r="E113" s="97">
        <f t="shared" si="0"/>
        <v>1594109.6410000001</v>
      </c>
      <c r="F113" s="28"/>
      <c r="G113" s="28"/>
      <c r="H113" s="29"/>
    </row>
    <row r="114" spans="1:8" ht="15.75" customHeight="1">
      <c r="A114" s="120"/>
      <c r="B114" s="13"/>
      <c r="C114" s="91"/>
      <c r="D114" s="13"/>
      <c r="E114" s="97">
        <f t="shared" si="0"/>
        <v>1594109.6410000001</v>
      </c>
      <c r="F114" s="28"/>
      <c r="G114" s="28"/>
      <c r="H114" s="29"/>
    </row>
    <row r="115" spans="1:8" ht="15.75" customHeight="1">
      <c r="A115" s="120"/>
      <c r="B115" s="13"/>
      <c r="C115" s="91"/>
      <c r="D115" s="13"/>
      <c r="E115" s="97">
        <f t="shared" si="0"/>
        <v>1594109.6410000001</v>
      </c>
      <c r="F115" s="28"/>
      <c r="G115" s="28"/>
      <c r="H115" s="29"/>
    </row>
    <row r="116" spans="1:8" ht="15.75" customHeight="1">
      <c r="A116" s="120"/>
      <c r="B116" s="13"/>
      <c r="C116" s="91"/>
      <c r="D116" s="13"/>
      <c r="E116" s="97">
        <f t="shared" si="0"/>
        <v>1594109.6410000001</v>
      </c>
      <c r="F116" s="28"/>
      <c r="G116" s="28"/>
      <c r="H116" s="29"/>
    </row>
    <row r="117" spans="1:8" ht="15.75" customHeight="1">
      <c r="A117" s="120"/>
      <c r="B117" s="13"/>
      <c r="C117" s="91"/>
      <c r="D117" s="13"/>
      <c r="E117" s="97">
        <f t="shared" si="0"/>
        <v>1594109.6410000001</v>
      </c>
      <c r="F117" s="28"/>
      <c r="G117" s="28"/>
      <c r="H117" s="29"/>
    </row>
    <row r="118" spans="1:8" ht="15.75" customHeight="1">
      <c r="A118" s="120"/>
      <c r="B118" s="13"/>
      <c r="C118" s="91"/>
      <c r="D118" s="13"/>
      <c r="E118" s="97">
        <f t="shared" si="0"/>
        <v>1594109.6410000001</v>
      </c>
      <c r="F118" s="28"/>
      <c r="G118" s="28"/>
      <c r="H118" s="29"/>
    </row>
    <row r="119" spans="1:8" ht="15.75" customHeight="1">
      <c r="A119" s="120"/>
      <c r="B119" s="13"/>
      <c r="C119" s="91"/>
      <c r="D119" s="13"/>
      <c r="E119" s="97">
        <f t="shared" si="0"/>
        <v>1594109.6410000001</v>
      </c>
      <c r="F119" s="28"/>
      <c r="G119" s="28"/>
      <c r="H119" s="29"/>
    </row>
    <row r="120" spans="1:8" ht="15.75" customHeight="1">
      <c r="A120" s="120"/>
      <c r="B120" s="13"/>
      <c r="C120" s="91"/>
      <c r="D120" s="13"/>
      <c r="E120" s="97">
        <f t="shared" si="0"/>
        <v>1594109.6410000001</v>
      </c>
      <c r="F120" s="28"/>
      <c r="G120" s="28"/>
      <c r="H120" s="29"/>
    </row>
    <row r="121" spans="1:8" ht="15.75" customHeight="1">
      <c r="A121" s="120"/>
      <c r="B121" s="13"/>
      <c r="C121" s="91"/>
      <c r="D121" s="13"/>
      <c r="E121" s="97">
        <f t="shared" si="0"/>
        <v>1594109.6410000001</v>
      </c>
      <c r="F121" s="28"/>
      <c r="G121" s="28"/>
      <c r="H121" s="29"/>
    </row>
    <row r="122" spans="1:8" ht="15.75" customHeight="1">
      <c r="A122" s="120"/>
      <c r="B122" s="13"/>
      <c r="C122" s="91"/>
      <c r="D122" s="13"/>
      <c r="E122" s="97">
        <f t="shared" si="0"/>
        <v>1594109.6410000001</v>
      </c>
      <c r="F122" s="28"/>
      <c r="G122" s="28"/>
      <c r="H122" s="29"/>
    </row>
    <row r="123" spans="1:8" ht="15.75" customHeight="1">
      <c r="A123" s="121"/>
      <c r="B123" s="122"/>
      <c r="C123" s="38"/>
      <c r="D123" s="122"/>
      <c r="E123" s="97">
        <f t="shared" si="0"/>
        <v>1594109.6410000001</v>
      </c>
      <c r="F123" s="28"/>
      <c r="G123" s="28"/>
      <c r="H123" s="29"/>
    </row>
    <row r="124" spans="1:8" ht="15.75" customHeight="1">
      <c r="A124" s="121"/>
      <c r="B124" s="122"/>
      <c r="C124" s="38"/>
      <c r="D124" s="122"/>
      <c r="E124" s="97">
        <f t="shared" si="0"/>
        <v>1594109.6410000001</v>
      </c>
      <c r="F124" s="28"/>
      <c r="G124" s="28"/>
      <c r="H124" s="29"/>
    </row>
    <row r="125" spans="1:8" ht="15.75" customHeight="1">
      <c r="A125" s="121"/>
      <c r="B125" s="122"/>
      <c r="C125" s="38"/>
      <c r="D125" s="122"/>
      <c r="E125" s="97">
        <f t="shared" si="0"/>
        <v>1594109.6410000001</v>
      </c>
      <c r="F125" s="28"/>
      <c r="G125" s="28"/>
      <c r="H125" s="29"/>
    </row>
    <row r="126" spans="1:8" ht="15.75" customHeight="1">
      <c r="A126" s="121"/>
      <c r="B126" s="122"/>
      <c r="C126" s="38"/>
      <c r="D126" s="122"/>
      <c r="E126" s="97">
        <f t="shared" si="0"/>
        <v>1594109.6410000001</v>
      </c>
      <c r="F126" s="28"/>
      <c r="G126" s="28"/>
      <c r="H126" s="29"/>
    </row>
    <row r="127" spans="1:8" ht="15.75" customHeight="1">
      <c r="A127" s="121"/>
      <c r="B127" s="122"/>
      <c r="C127" s="38"/>
      <c r="D127" s="122"/>
      <c r="E127" s="97">
        <f t="shared" si="0"/>
        <v>1594109.6410000001</v>
      </c>
      <c r="F127" s="28"/>
      <c r="G127" s="28"/>
      <c r="H127" s="29"/>
    </row>
    <row r="128" spans="1:8" ht="15.75" customHeight="1">
      <c r="A128" s="121"/>
      <c r="B128" s="122"/>
      <c r="C128" s="38"/>
      <c r="D128" s="122"/>
      <c r="E128" s="97">
        <f t="shared" si="0"/>
        <v>1594109.6410000001</v>
      </c>
      <c r="F128" s="28"/>
      <c r="G128" s="28"/>
      <c r="H128" s="29"/>
    </row>
    <row r="129" spans="1:8" ht="15.75" customHeight="1">
      <c r="A129" s="121"/>
      <c r="B129" s="122"/>
      <c r="C129" s="38"/>
      <c r="D129" s="122"/>
      <c r="E129" s="97">
        <f t="shared" si="0"/>
        <v>1594109.6410000001</v>
      </c>
      <c r="F129" s="28"/>
      <c r="G129" s="28"/>
      <c r="H129" s="29"/>
    </row>
    <row r="130" spans="1:8" ht="15.75" customHeight="1">
      <c r="A130" s="121"/>
      <c r="B130" s="122"/>
      <c r="C130" s="38"/>
      <c r="D130" s="122"/>
      <c r="E130" s="97">
        <f t="shared" si="0"/>
        <v>1594109.6410000001</v>
      </c>
      <c r="F130" s="28"/>
      <c r="G130" s="28"/>
      <c r="H130" s="29"/>
    </row>
    <row r="131" spans="1:8" ht="15.75" customHeight="1">
      <c r="A131" s="121"/>
      <c r="B131" s="122"/>
      <c r="C131" s="38"/>
      <c r="D131" s="122"/>
      <c r="E131" s="97">
        <f t="shared" si="0"/>
        <v>1594109.6410000001</v>
      </c>
      <c r="F131" s="28"/>
      <c r="G131" s="28"/>
      <c r="H131" s="29"/>
    </row>
    <row r="132" spans="1:8" ht="15.75" customHeight="1">
      <c r="A132" s="121"/>
      <c r="B132" s="122"/>
      <c r="C132" s="38"/>
      <c r="D132" s="122"/>
      <c r="E132" s="97">
        <f t="shared" si="0"/>
        <v>1594109.6410000001</v>
      </c>
      <c r="F132" s="28"/>
      <c r="G132" s="28"/>
      <c r="H132" s="29"/>
    </row>
    <row r="133" spans="1:8" ht="15.75" customHeight="1">
      <c r="A133" s="121"/>
      <c r="B133" s="122"/>
      <c r="C133" s="38"/>
      <c r="D133" s="122"/>
      <c r="E133" s="97">
        <f t="shared" si="0"/>
        <v>1594109.6410000001</v>
      </c>
      <c r="F133" s="28"/>
      <c r="G133" s="28"/>
      <c r="H133" s="29"/>
    </row>
    <row r="134" spans="1:8" ht="15.75" customHeight="1">
      <c r="A134" s="121"/>
      <c r="B134" s="122"/>
      <c r="C134" s="38"/>
      <c r="D134" s="122"/>
      <c r="E134" s="97">
        <f t="shared" si="0"/>
        <v>1594109.6410000001</v>
      </c>
      <c r="F134" s="28"/>
      <c r="G134" s="28"/>
      <c r="H134" s="29"/>
    </row>
    <row r="135" spans="1:8" ht="15.75" customHeight="1">
      <c r="A135" s="121"/>
      <c r="B135" s="122"/>
      <c r="C135" s="38"/>
      <c r="D135" s="122"/>
      <c r="E135" s="97">
        <f t="shared" si="0"/>
        <v>1594109.6410000001</v>
      </c>
      <c r="F135" s="28"/>
      <c r="G135" s="28"/>
      <c r="H135" s="29"/>
    </row>
    <row r="136" spans="1:8" ht="15.75" customHeight="1">
      <c r="A136" s="121"/>
      <c r="B136" s="122"/>
      <c r="C136" s="38"/>
      <c r="D136" s="122"/>
      <c r="E136" s="97">
        <f t="shared" si="0"/>
        <v>1594109.6410000001</v>
      </c>
      <c r="F136" s="28"/>
      <c r="G136" s="28"/>
      <c r="H136" s="29"/>
    </row>
    <row r="137" spans="1:8" ht="15.75" customHeight="1">
      <c r="A137" s="121"/>
      <c r="B137" s="122"/>
      <c r="C137" s="38"/>
      <c r="D137" s="122"/>
      <c r="E137" s="97">
        <f t="shared" si="0"/>
        <v>1594109.6410000001</v>
      </c>
      <c r="F137" s="28"/>
      <c r="G137" s="28"/>
      <c r="H137" s="29"/>
    </row>
    <row r="138" spans="1:8" ht="15.75" customHeight="1">
      <c r="A138" s="121"/>
      <c r="B138" s="122"/>
      <c r="C138" s="38"/>
      <c r="D138" s="122"/>
      <c r="E138" s="97">
        <f t="shared" si="0"/>
        <v>1594109.6410000001</v>
      </c>
      <c r="F138" s="28"/>
      <c r="G138" s="28"/>
      <c r="H138" s="29"/>
    </row>
    <row r="139" spans="1:8" ht="15.75" customHeight="1">
      <c r="A139" s="121"/>
      <c r="B139" s="122"/>
      <c r="C139" s="38"/>
      <c r="D139" s="122"/>
      <c r="E139" s="97">
        <f t="shared" si="0"/>
        <v>1594109.6410000001</v>
      </c>
      <c r="F139" s="28"/>
      <c r="G139" s="28"/>
      <c r="H139" s="29"/>
    </row>
    <row r="140" spans="1:8" ht="15.75" customHeight="1">
      <c r="A140" s="121"/>
      <c r="B140" s="122"/>
      <c r="C140" s="38"/>
      <c r="D140" s="122"/>
      <c r="E140" s="97">
        <f t="shared" si="0"/>
        <v>1594109.6410000001</v>
      </c>
      <c r="F140" s="28"/>
      <c r="G140" s="28"/>
      <c r="H140" s="29"/>
    </row>
    <row r="141" spans="1:8" ht="15.75" customHeight="1">
      <c r="A141" s="121"/>
      <c r="B141" s="122"/>
      <c r="C141" s="38"/>
      <c r="D141" s="122"/>
      <c r="E141" s="97">
        <f t="shared" si="0"/>
        <v>1594109.6410000001</v>
      </c>
      <c r="F141" s="28"/>
      <c r="G141" s="28"/>
      <c r="H141" s="29"/>
    </row>
    <row r="142" spans="1:8" ht="15.75" customHeight="1">
      <c r="A142" s="121"/>
      <c r="B142" s="122"/>
      <c r="C142" s="38"/>
      <c r="D142" s="122"/>
      <c r="E142" s="97">
        <f t="shared" si="0"/>
        <v>1594109.6410000001</v>
      </c>
      <c r="F142" s="28"/>
      <c r="G142" s="28"/>
      <c r="H142" s="29"/>
    </row>
    <row r="143" spans="1:8" ht="15.75" customHeight="1">
      <c r="A143" s="121"/>
      <c r="B143" s="122"/>
      <c r="C143" s="38"/>
      <c r="D143" s="122"/>
      <c r="E143" s="97">
        <f t="shared" si="0"/>
        <v>1594109.6410000001</v>
      </c>
      <c r="F143" s="28"/>
      <c r="G143" s="28"/>
      <c r="H143" s="29"/>
    </row>
    <row r="144" spans="1:8" ht="15.75" customHeight="1">
      <c r="A144" s="121"/>
      <c r="B144" s="122"/>
      <c r="C144" s="38"/>
      <c r="D144" s="122"/>
      <c r="E144" s="97">
        <f t="shared" si="0"/>
        <v>1594109.6410000001</v>
      </c>
      <c r="F144" s="28"/>
      <c r="G144" s="28"/>
      <c r="H144" s="29"/>
    </row>
    <row r="145" spans="1:8" ht="15.75" customHeight="1">
      <c r="A145" s="121"/>
      <c r="B145" s="122"/>
      <c r="C145" s="38"/>
      <c r="D145" s="122"/>
      <c r="E145" s="97">
        <f t="shared" si="0"/>
        <v>1594109.6410000001</v>
      </c>
      <c r="F145" s="28"/>
      <c r="G145" s="28"/>
      <c r="H145" s="29"/>
    </row>
    <row r="146" spans="1:8" ht="15.75" customHeight="1">
      <c r="A146" s="121"/>
      <c r="B146" s="122"/>
      <c r="C146" s="38"/>
      <c r="D146" s="122"/>
      <c r="E146" s="97">
        <f t="shared" si="0"/>
        <v>1594109.6410000001</v>
      </c>
      <c r="F146" s="28"/>
      <c r="G146" s="28"/>
      <c r="H146" s="29"/>
    </row>
    <row r="147" spans="1:8" ht="15.75" customHeight="1">
      <c r="A147" s="121"/>
      <c r="B147" s="122"/>
      <c r="C147" s="38"/>
      <c r="D147" s="122"/>
      <c r="E147" s="97">
        <f t="shared" si="0"/>
        <v>1594109.6410000001</v>
      </c>
      <c r="F147" s="28"/>
      <c r="G147" s="28"/>
      <c r="H147" s="29"/>
    </row>
    <row r="148" spans="1:8" ht="15.75" customHeight="1">
      <c r="A148" s="121"/>
      <c r="B148" s="122"/>
      <c r="C148" s="38"/>
      <c r="D148" s="122"/>
      <c r="E148" s="97">
        <f t="shared" si="0"/>
        <v>1594109.6410000001</v>
      </c>
      <c r="F148" s="28"/>
      <c r="G148" s="28"/>
      <c r="H148" s="29"/>
    </row>
    <row r="149" spans="1:8" ht="15.75" customHeight="1">
      <c r="A149" s="121"/>
      <c r="B149" s="122"/>
      <c r="C149" s="38"/>
      <c r="D149" s="122"/>
      <c r="E149" s="97">
        <f t="shared" si="0"/>
        <v>1594109.6410000001</v>
      </c>
      <c r="F149" s="28"/>
      <c r="G149" s="28"/>
      <c r="H149" s="29"/>
    </row>
    <row r="150" spans="1:8" ht="15.75" customHeight="1">
      <c r="A150" s="121"/>
      <c r="B150" s="122"/>
      <c r="C150" s="38"/>
      <c r="D150" s="122"/>
      <c r="E150" s="97">
        <f t="shared" si="0"/>
        <v>1594109.6410000001</v>
      </c>
      <c r="F150" s="28"/>
      <c r="G150" s="28"/>
      <c r="H150" s="29"/>
    </row>
    <row r="151" spans="1:8" ht="15.75" customHeight="1">
      <c r="A151" s="121"/>
      <c r="B151" s="122"/>
      <c r="C151" s="38"/>
      <c r="D151" s="122"/>
      <c r="E151" s="97">
        <f t="shared" si="0"/>
        <v>1594109.6410000001</v>
      </c>
      <c r="F151" s="28"/>
      <c r="G151" s="28"/>
      <c r="H151" s="29"/>
    </row>
    <row r="152" spans="1:8" ht="15.75" customHeight="1">
      <c r="A152" s="121"/>
      <c r="B152" s="122"/>
      <c r="C152" s="38"/>
      <c r="D152" s="122"/>
      <c r="E152" s="97">
        <f t="shared" si="0"/>
        <v>1594109.6410000001</v>
      </c>
      <c r="F152" s="28"/>
      <c r="G152" s="28"/>
      <c r="H152" s="29"/>
    </row>
    <row r="153" spans="1:8" ht="15.75" customHeight="1">
      <c r="A153" s="121"/>
      <c r="B153" s="122"/>
      <c r="C153" s="38"/>
      <c r="D153" s="122"/>
      <c r="E153" s="97">
        <f t="shared" si="0"/>
        <v>1594109.6410000001</v>
      </c>
      <c r="F153" s="28"/>
      <c r="G153" s="28"/>
      <c r="H153" s="29"/>
    </row>
    <row r="154" spans="1:8" ht="15.75" customHeight="1">
      <c r="A154" s="121"/>
      <c r="B154" s="122"/>
      <c r="C154" s="38"/>
      <c r="D154" s="122"/>
      <c r="E154" s="97">
        <f t="shared" si="0"/>
        <v>1594109.6410000001</v>
      </c>
      <c r="F154" s="28"/>
      <c r="G154" s="28"/>
      <c r="H154" s="29"/>
    </row>
    <row r="155" spans="1:8" ht="15.75" customHeight="1">
      <c r="A155" s="121"/>
      <c r="B155" s="122"/>
      <c r="C155" s="38"/>
      <c r="D155" s="122"/>
      <c r="E155" s="97">
        <f t="shared" si="0"/>
        <v>1594109.6410000001</v>
      </c>
      <c r="F155" s="28"/>
      <c r="G155" s="28"/>
      <c r="H155" s="29"/>
    </row>
    <row r="156" spans="1:8" ht="15.75" customHeight="1">
      <c r="A156" s="121"/>
      <c r="B156" s="122"/>
      <c r="C156" s="38"/>
      <c r="D156" s="122"/>
      <c r="E156" s="97">
        <f t="shared" si="0"/>
        <v>1594109.6410000001</v>
      </c>
      <c r="F156" s="28"/>
      <c r="G156" s="28"/>
      <c r="H156" s="29"/>
    </row>
    <row r="157" spans="1:8" ht="15.75" customHeight="1">
      <c r="A157" s="121"/>
      <c r="B157" s="122"/>
      <c r="C157" s="38"/>
      <c r="D157" s="122"/>
      <c r="E157" s="97">
        <f t="shared" si="0"/>
        <v>1594109.6410000001</v>
      </c>
      <c r="F157" s="28"/>
      <c r="G157" s="28"/>
      <c r="H157" s="29"/>
    </row>
    <row r="158" spans="1:8" ht="15.75" customHeight="1">
      <c r="A158" s="121"/>
      <c r="B158" s="122"/>
      <c r="C158" s="38"/>
      <c r="D158" s="122"/>
      <c r="E158" s="97">
        <f t="shared" si="0"/>
        <v>1594109.6410000001</v>
      </c>
      <c r="F158" s="28"/>
      <c r="G158" s="28"/>
      <c r="H158" s="29"/>
    </row>
    <row r="159" spans="1:8" ht="15.75" customHeight="1">
      <c r="A159" s="121"/>
      <c r="B159" s="122"/>
      <c r="C159" s="38"/>
      <c r="D159" s="122"/>
      <c r="E159" s="97">
        <f t="shared" si="0"/>
        <v>1594109.6410000001</v>
      </c>
      <c r="F159" s="28"/>
      <c r="G159" s="28"/>
      <c r="H159" s="29"/>
    </row>
    <row r="160" spans="1:8" ht="15.75" customHeight="1">
      <c r="A160" s="121"/>
      <c r="B160" s="122"/>
      <c r="C160" s="38"/>
      <c r="D160" s="122"/>
      <c r="E160" s="97">
        <f t="shared" si="0"/>
        <v>1594109.6410000001</v>
      </c>
      <c r="F160" s="28"/>
      <c r="G160" s="28"/>
      <c r="H160" s="29"/>
    </row>
    <row r="161" spans="1:8" ht="15.75" customHeight="1">
      <c r="A161" s="121"/>
      <c r="B161" s="122"/>
      <c r="C161" s="38"/>
      <c r="D161" s="122"/>
      <c r="E161" s="97">
        <f t="shared" si="0"/>
        <v>1594109.6410000001</v>
      </c>
      <c r="F161" s="28"/>
      <c r="G161" s="28"/>
      <c r="H161" s="29"/>
    </row>
    <row r="162" spans="1:8" ht="15.75" customHeight="1">
      <c r="A162" s="121"/>
      <c r="B162" s="122"/>
      <c r="C162" s="38"/>
      <c r="D162" s="122"/>
      <c r="E162" s="97">
        <f t="shared" si="0"/>
        <v>1594109.6410000001</v>
      </c>
      <c r="F162" s="28"/>
      <c r="G162" s="28"/>
      <c r="H162" s="29"/>
    </row>
    <row r="163" spans="1:8" ht="15.75" customHeight="1">
      <c r="A163" s="121"/>
      <c r="B163" s="122"/>
      <c r="C163" s="38"/>
      <c r="D163" s="122"/>
      <c r="E163" s="97">
        <f t="shared" si="0"/>
        <v>1594109.6410000001</v>
      </c>
      <c r="F163" s="28"/>
      <c r="G163" s="28"/>
      <c r="H163" s="29"/>
    </row>
    <row r="164" spans="1:8" ht="15.75" customHeight="1">
      <c r="A164" s="121"/>
      <c r="B164" s="122"/>
      <c r="C164" s="38"/>
      <c r="D164" s="122"/>
      <c r="E164" s="97">
        <f t="shared" si="0"/>
        <v>1594109.6410000001</v>
      </c>
      <c r="F164" s="28"/>
      <c r="G164" s="28"/>
      <c r="H164" s="29"/>
    </row>
    <row r="165" spans="1:8" ht="15.75" customHeight="1">
      <c r="A165" s="121"/>
      <c r="B165" s="122"/>
      <c r="C165" s="38"/>
      <c r="D165" s="122"/>
      <c r="E165" s="97">
        <f t="shared" si="0"/>
        <v>1594109.6410000001</v>
      </c>
      <c r="F165" s="28"/>
      <c r="G165" s="28"/>
      <c r="H165" s="29"/>
    </row>
    <row r="166" spans="1:8" ht="15.75" customHeight="1">
      <c r="A166" s="121"/>
      <c r="B166" s="122"/>
      <c r="C166" s="38"/>
      <c r="D166" s="122"/>
      <c r="E166" s="97">
        <f t="shared" si="0"/>
        <v>1594109.6410000001</v>
      </c>
      <c r="F166" s="28"/>
      <c r="G166" s="28"/>
      <c r="H166" s="29"/>
    </row>
    <row r="167" spans="1:8" ht="15.75" customHeight="1">
      <c r="A167" s="121"/>
      <c r="B167" s="122"/>
      <c r="C167" s="38"/>
      <c r="D167" s="122"/>
      <c r="E167" s="97">
        <f t="shared" si="0"/>
        <v>1594109.6410000001</v>
      </c>
      <c r="F167" s="28"/>
      <c r="G167" s="28"/>
      <c r="H167" s="29"/>
    </row>
    <row r="168" spans="1:8" ht="15.75" customHeight="1">
      <c r="A168" s="121"/>
      <c r="B168" s="122"/>
      <c r="C168" s="38"/>
      <c r="D168" s="122"/>
      <c r="E168" s="97">
        <f t="shared" si="0"/>
        <v>1594109.6410000001</v>
      </c>
      <c r="F168" s="28"/>
      <c r="G168" s="28"/>
      <c r="H168" s="29"/>
    </row>
    <row r="169" spans="1:8" ht="15.75" customHeight="1">
      <c r="A169" s="121"/>
      <c r="B169" s="122"/>
      <c r="C169" s="38"/>
      <c r="D169" s="122"/>
      <c r="E169" s="97">
        <f t="shared" si="0"/>
        <v>1594109.6410000001</v>
      </c>
      <c r="F169" s="28"/>
      <c r="G169" s="28"/>
      <c r="H169" s="29"/>
    </row>
    <row r="170" spans="1:8" ht="15.75" customHeight="1">
      <c r="A170" s="121"/>
      <c r="B170" s="122"/>
      <c r="C170" s="38"/>
      <c r="D170" s="122"/>
      <c r="E170" s="97">
        <f t="shared" si="0"/>
        <v>1594109.6410000001</v>
      </c>
      <c r="F170" s="28"/>
      <c r="G170" s="28"/>
      <c r="H170" s="29"/>
    </row>
    <row r="171" spans="1:8" ht="15.75" customHeight="1">
      <c r="A171" s="121"/>
      <c r="B171" s="122"/>
      <c r="C171" s="38"/>
      <c r="D171" s="122"/>
      <c r="E171" s="97">
        <f t="shared" si="0"/>
        <v>1594109.6410000001</v>
      </c>
      <c r="F171" s="28"/>
      <c r="G171" s="28"/>
      <c r="H171" s="29"/>
    </row>
    <row r="172" spans="1:8" ht="15.75" customHeight="1">
      <c r="A172" s="121"/>
      <c r="B172" s="122"/>
      <c r="C172" s="38"/>
      <c r="D172" s="122"/>
      <c r="E172" s="97">
        <f t="shared" si="0"/>
        <v>1594109.6410000001</v>
      </c>
      <c r="F172" s="28"/>
      <c r="G172" s="28"/>
      <c r="H172" s="29"/>
    </row>
    <row r="173" spans="1:8" ht="15.75" customHeight="1">
      <c r="A173" s="121"/>
      <c r="B173" s="122"/>
      <c r="C173" s="38"/>
      <c r="D173" s="122"/>
      <c r="E173" s="97">
        <f t="shared" si="0"/>
        <v>1594109.6410000001</v>
      </c>
      <c r="F173" s="28"/>
      <c r="G173" s="28"/>
      <c r="H173" s="29"/>
    </row>
    <row r="174" spans="1:8" ht="15.75" customHeight="1">
      <c r="A174" s="121"/>
      <c r="B174" s="122"/>
      <c r="C174" s="38"/>
      <c r="D174" s="122"/>
      <c r="E174" s="97">
        <f t="shared" si="0"/>
        <v>1594109.6410000001</v>
      </c>
      <c r="F174" s="28"/>
      <c r="G174" s="28"/>
      <c r="H174" s="29"/>
    </row>
    <row r="175" spans="1:8" ht="15.75" customHeight="1">
      <c r="A175" s="121"/>
      <c r="B175" s="122"/>
      <c r="C175" s="38"/>
      <c r="D175" s="122"/>
      <c r="E175" s="97">
        <f t="shared" si="0"/>
        <v>1594109.6410000001</v>
      </c>
      <c r="F175" s="28"/>
      <c r="G175" s="28"/>
      <c r="H175" s="29"/>
    </row>
    <row r="176" spans="1:8" ht="15.75" customHeight="1">
      <c r="A176" s="121"/>
      <c r="B176" s="122"/>
      <c r="C176" s="38"/>
      <c r="D176" s="122"/>
      <c r="E176" s="97">
        <f t="shared" si="0"/>
        <v>1594109.6410000001</v>
      </c>
      <c r="F176" s="28"/>
      <c r="G176" s="28"/>
      <c r="H176" s="29"/>
    </row>
    <row r="177" spans="1:8" ht="15.75" customHeight="1">
      <c r="A177" s="121"/>
      <c r="B177" s="122"/>
      <c r="C177" s="38"/>
      <c r="D177" s="122"/>
      <c r="E177" s="97">
        <f t="shared" si="0"/>
        <v>1594109.6410000001</v>
      </c>
      <c r="F177" s="28"/>
      <c r="G177" s="28"/>
      <c r="H177" s="29"/>
    </row>
    <row r="178" spans="1:8" ht="15.75" customHeight="1">
      <c r="A178" s="121"/>
      <c r="B178" s="122"/>
      <c r="C178" s="38"/>
      <c r="D178" s="122"/>
      <c r="E178" s="97">
        <f t="shared" si="0"/>
        <v>1594109.6410000001</v>
      </c>
      <c r="F178" s="28"/>
      <c r="G178" s="28"/>
      <c r="H178" s="29"/>
    </row>
    <row r="179" spans="1:8" ht="15.75" customHeight="1">
      <c r="A179" s="121"/>
      <c r="B179" s="122"/>
      <c r="C179" s="38"/>
      <c r="D179" s="122"/>
      <c r="E179" s="97">
        <f t="shared" si="0"/>
        <v>1594109.6410000001</v>
      </c>
      <c r="F179" s="28"/>
      <c r="G179" s="28"/>
      <c r="H179" s="29"/>
    </row>
    <row r="180" spans="1:8" ht="15.75" customHeight="1">
      <c r="A180" s="121"/>
      <c r="B180" s="122"/>
      <c r="C180" s="38"/>
      <c r="D180" s="122"/>
      <c r="E180" s="97">
        <f t="shared" si="0"/>
        <v>1594109.6410000001</v>
      </c>
      <c r="F180" s="28"/>
      <c r="G180" s="28"/>
      <c r="H180" s="29"/>
    </row>
    <row r="181" spans="1:8" ht="15.75" customHeight="1"/>
    <row r="182" spans="1:8" ht="15.75" customHeight="1"/>
    <row r="183" spans="1:8" ht="15.75" customHeight="1"/>
    <row r="184" spans="1:8" ht="15.75" customHeight="1"/>
    <row r="185" spans="1:8" ht="15.75" customHeight="1"/>
    <row r="186" spans="1:8" ht="15.75" customHeight="1"/>
    <row r="187" spans="1:8" ht="15.75" customHeight="1"/>
    <row r="188" spans="1:8" ht="15.75" customHeight="1"/>
    <row r="189" spans="1:8" ht="15.75" customHeight="1"/>
    <row r="190" spans="1:8" ht="15.75" customHeight="1"/>
    <row r="191" spans="1:8" ht="15.75" customHeight="1"/>
    <row r="192" spans="1:8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samaher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Khaled Elwakkad</cp:lastModifiedBy>
  <dcterms:modified xsi:type="dcterms:W3CDTF">2026-07-18T19:01:56Z</dcterms:modified>
</cp:coreProperties>
</file>