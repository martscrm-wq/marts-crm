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elw\Downloads\CRM\Marts Accounts\"/>
    </mc:Choice>
  </mc:AlternateContent>
  <xr:revisionPtr revIDLastSave="0" documentId="13_ncr:1_{E16DCDB9-54F1-4ED3-8CCC-DE86AACD12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med seli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joYCd9csLLZY1MNWdjEwUSrOI7VnBjccXgOVsLzRdYE="/>
    </ext>
  </extLst>
</workbook>
</file>

<file path=xl/calcChain.xml><?xml version="1.0" encoding="utf-8"?>
<calcChain xmlns="http://schemas.openxmlformats.org/spreadsheetml/2006/main">
  <c r="C125" i="1" l="1"/>
  <c r="C83" i="1"/>
  <c r="C75" i="1"/>
  <c r="C60" i="1"/>
  <c r="C56" i="1"/>
  <c r="C51" i="1"/>
  <c r="C25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G2" i="1"/>
  <c r="H2" i="1" s="1"/>
  <c r="F2" i="1"/>
</calcChain>
</file>

<file path=xl/sharedStrings.xml><?xml version="1.0" encoding="utf-8"?>
<sst xmlns="http://schemas.openxmlformats.org/spreadsheetml/2006/main" count="280" uniqueCount="137">
  <si>
    <t>date</t>
  </si>
  <si>
    <t>withdraw</t>
  </si>
  <si>
    <t>deposit</t>
  </si>
  <si>
    <t>note</t>
  </si>
  <si>
    <t>Balance</t>
  </si>
  <si>
    <t>total withdraw</t>
  </si>
  <si>
    <t>total deposit</t>
  </si>
  <si>
    <t>diffrance</t>
  </si>
  <si>
    <t>رصيد اول المدة</t>
  </si>
  <si>
    <t>Diffrance 2024</t>
  </si>
  <si>
    <t>شهر يناير 2025</t>
  </si>
  <si>
    <t>1\1\2025</t>
  </si>
  <si>
    <t>Selim Deposit</t>
  </si>
  <si>
    <t>working cash 2025</t>
  </si>
  <si>
    <t>23\1\2025</t>
  </si>
  <si>
    <t>sa7b selim</t>
  </si>
  <si>
    <t>3\2\2025</t>
  </si>
  <si>
    <t xml:space="preserve">deposit selim </t>
  </si>
  <si>
    <t>4\2\2025</t>
  </si>
  <si>
    <t xml:space="preserve">Deposit selim </t>
  </si>
  <si>
    <t>13\2\2025</t>
  </si>
  <si>
    <t>depsit selim</t>
  </si>
  <si>
    <t>17\2\2025</t>
  </si>
  <si>
    <t>selim withdraw</t>
  </si>
  <si>
    <t>22\2\2025</t>
  </si>
  <si>
    <t>27\2\2025</t>
  </si>
  <si>
    <t>1\4\2025</t>
  </si>
  <si>
    <t>16\4\2025</t>
  </si>
  <si>
    <t>10\4\2025</t>
  </si>
  <si>
    <t>19\4\2025</t>
  </si>
  <si>
    <t>23\4\2025</t>
  </si>
  <si>
    <t>Deposit</t>
  </si>
  <si>
    <t>30\4\2025</t>
  </si>
  <si>
    <t>Selim deposit</t>
  </si>
  <si>
    <t>1\5\2025</t>
  </si>
  <si>
    <t xml:space="preserve">Selim deposit mardev </t>
  </si>
  <si>
    <t>8\5\2025</t>
  </si>
  <si>
    <t>13\5\2025</t>
  </si>
  <si>
    <t>14\5\2025</t>
  </si>
  <si>
    <t>15\5\2025</t>
  </si>
  <si>
    <t>17\5\2025</t>
  </si>
  <si>
    <t>29\5\2025</t>
  </si>
  <si>
    <t>selim salary</t>
  </si>
  <si>
    <t>1\6\2025</t>
  </si>
  <si>
    <t>2\6\2025</t>
  </si>
  <si>
    <t>3\6\2025</t>
  </si>
  <si>
    <t>Selim Withdraw</t>
  </si>
  <si>
    <t>8\7\2025</t>
  </si>
  <si>
    <t>12\7\2025</t>
  </si>
  <si>
    <t>سحب 3135</t>
  </si>
  <si>
    <t>13\7\2025</t>
  </si>
  <si>
    <t>19/7/2025)</t>
  </si>
  <si>
    <t>30\7\2025</t>
  </si>
  <si>
    <t>31\7\2025</t>
  </si>
  <si>
    <t xml:space="preserve">selim salary </t>
  </si>
  <si>
    <t>10\8\2025</t>
  </si>
  <si>
    <t>15\8\2025</t>
  </si>
  <si>
    <t>17\8\2025</t>
  </si>
  <si>
    <t>27\8\2025</t>
  </si>
  <si>
    <t>30\8\2025</t>
  </si>
  <si>
    <t>31\8\2025</t>
  </si>
  <si>
    <t>3\9\2025</t>
  </si>
  <si>
    <t>selimwithdraw</t>
  </si>
  <si>
    <t>Selim deposit domain</t>
  </si>
  <si>
    <t>17\9\2025</t>
  </si>
  <si>
    <t>Selim withdraw</t>
  </si>
  <si>
    <t>20\9\2025</t>
  </si>
  <si>
    <t>2\10\2025</t>
  </si>
  <si>
    <t xml:space="preserve">installments paymnets </t>
  </si>
  <si>
    <t>5\10\2025</t>
  </si>
  <si>
    <t>7\10\2025</t>
  </si>
  <si>
    <t>selim deposit</t>
  </si>
  <si>
    <t>16\10\2025</t>
  </si>
  <si>
    <t>19\10\2025</t>
  </si>
  <si>
    <t>23\10\2025</t>
  </si>
  <si>
    <t xml:space="preserve">withdraw selim est raya </t>
  </si>
  <si>
    <t xml:space="preserve">est halan we contact we raya  ba2y shabana </t>
  </si>
  <si>
    <t>15\12\2025</t>
  </si>
  <si>
    <t>naseeb selim mardev</t>
  </si>
  <si>
    <t xml:space="preserve">Withdraw </t>
  </si>
  <si>
    <t>Withdraw</t>
  </si>
  <si>
    <t>16\11\2025</t>
  </si>
  <si>
    <t>25\11\2025</t>
  </si>
  <si>
    <t xml:space="preserve">selim withdraw dion </t>
  </si>
  <si>
    <t>raya instalment</t>
  </si>
  <si>
    <t>26\11\2025</t>
  </si>
  <si>
    <t>4\12\2025</t>
  </si>
  <si>
    <t>selim le samaher</t>
  </si>
  <si>
    <t>11\12\2025</t>
  </si>
  <si>
    <t>marts installments selim</t>
  </si>
  <si>
    <t>est shabana selim</t>
  </si>
  <si>
    <t>rad solfet mada selim</t>
  </si>
  <si>
    <t>5\3\2026</t>
  </si>
  <si>
    <t>5\4\2026</t>
  </si>
  <si>
    <t xml:space="preserve">Selim salary we eda3 </t>
  </si>
  <si>
    <t>selim</t>
  </si>
  <si>
    <t>21\1\2025</t>
  </si>
  <si>
    <t xml:space="preserve">badya  unit selim cuts </t>
  </si>
  <si>
    <t>12\5\2025</t>
  </si>
  <si>
    <t>Le gardin selim cuts</t>
  </si>
  <si>
    <t>10\7\2025</t>
  </si>
  <si>
    <t>15\7\2025</t>
  </si>
  <si>
    <t>evora ( rud ) selim cuts</t>
  </si>
  <si>
    <t>5\8\2025</t>
  </si>
  <si>
    <t>west line selim cuts</t>
  </si>
  <si>
    <t>8\8\2025</t>
  </si>
  <si>
    <t>25\8\2025</t>
  </si>
  <si>
    <t>via ( eagles ) selim cuts</t>
  </si>
  <si>
    <t>leaders (calma) selim cuts</t>
  </si>
  <si>
    <t>10\9\2025</t>
  </si>
  <si>
    <t>mountain view selim cuts</t>
  </si>
  <si>
    <t>26\10\2025</t>
  </si>
  <si>
    <t>segmanet 4 selim cuts</t>
  </si>
  <si>
    <t>30\10\2025</t>
  </si>
  <si>
    <t>29\12\2026</t>
  </si>
  <si>
    <t>nasdak/ tabeaa selim cuts</t>
  </si>
  <si>
    <t>25\1\2025</t>
  </si>
  <si>
    <t>el ola / ori selim cuts</t>
  </si>
  <si>
    <t>6\1\2026</t>
  </si>
  <si>
    <t>tesla residance selim cuts</t>
  </si>
  <si>
    <t>10\1\2026</t>
  </si>
  <si>
    <t>hom zaya selim cuts</t>
  </si>
  <si>
    <t>top kapi /vira selim cuts</t>
  </si>
  <si>
    <t>21\1\2026</t>
  </si>
  <si>
    <t>26\1\2026</t>
  </si>
  <si>
    <t>27\1\2026</t>
  </si>
  <si>
    <t>28\1\2026</t>
  </si>
  <si>
    <t>11\2\2026</t>
  </si>
  <si>
    <t>genesta / el amaken  selim cuts</t>
  </si>
  <si>
    <t>miqaat / o nine selim cuts</t>
  </si>
  <si>
    <t>16\3\2026</t>
  </si>
  <si>
    <t>eagles \ via selim cuts</t>
  </si>
  <si>
    <t>villaria / mirad selim cuts</t>
  </si>
  <si>
    <t>24\3\2026</t>
  </si>
  <si>
    <t>2\4\2026</t>
  </si>
  <si>
    <t>madenet masr /butterfly selim cuts</t>
  </si>
  <si>
    <t xml:space="preserve">5osara naseeb selim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</si>
</sst>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dd/mm/yyyy"/>
    <numFmt numFmtId="166" formatCode="&quot;$&quot;#,##0"/>
    <numFmt numFmtId="167" formatCode="d\-m\-yyyy"/>
    <numFmt numFmtId="168" formatCode="m\-d\-yyyy"/>
    <numFmt numFmtId="169" formatCode="0.0"/>
  </numFmts>
  <fonts count="19">
    <font>
      <sz val="10"/>
      <color rgb="FF000000"/>
      <name val="Arial"/>
      <scheme val="minor"/>
    </font>
    <font>
      <b/>
      <sz val="13"/>
      <color rgb="FF000000"/>
      <name val="Comfortaa"/>
    </font>
    <font>
      <sz val="10"/>
      <color theme="1"/>
      <name val="Arial"/>
    </font>
    <font>
      <b/>
      <sz val="13"/>
      <color theme="1"/>
      <name val="Comfortaa"/>
    </font>
    <font>
      <b/>
      <sz val="13"/>
      <color rgb="FF000000"/>
      <name val="Arial"/>
    </font>
    <font>
      <sz val="10"/>
      <name val="Arial"/>
    </font>
    <font>
      <b/>
      <sz val="13"/>
      <color theme="1"/>
      <name val="Arial"/>
    </font>
    <font>
      <sz val="10"/>
      <color rgb="FF000000"/>
      <name val="Comfortaa"/>
    </font>
    <font>
      <b/>
      <sz val="10"/>
      <color rgb="FF000000"/>
      <name val="Comfortaa"/>
    </font>
    <font>
      <sz val="10"/>
      <color theme="1"/>
      <name val="Comfortaa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omfortaa"/>
    </font>
    <font>
      <b/>
      <sz val="10"/>
      <color theme="1"/>
      <name val="Arial"/>
    </font>
    <font>
      <b/>
      <sz val="10"/>
      <color theme="1"/>
      <name val="Comfortaa"/>
    </font>
    <font>
      <sz val="11"/>
      <color theme="1"/>
      <name val="Arial"/>
    </font>
    <font>
      <b/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4" borderId="1" xfId="0" applyFont="1" applyFill="1" applyBorder="1" applyAlignment="1">
      <alignment horizontal="center"/>
    </xf>
    <xf numFmtId="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0" xfId="0" applyFont="1" applyFill="1"/>
    <xf numFmtId="0" fontId="2" fillId="4" borderId="0" xfId="0" applyFont="1" applyFill="1"/>
    <xf numFmtId="0" fontId="2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0" borderId="0" xfId="0" applyFont="1"/>
    <xf numFmtId="0" fontId="7" fillId="0" borderId="1" xfId="0" applyFont="1" applyBorder="1" applyAlignment="1">
      <alignment horizontal="left"/>
    </xf>
    <xf numFmtId="0" fontId="9" fillId="6" borderId="0" xfId="0" applyFont="1" applyFill="1"/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left"/>
    </xf>
    <xf numFmtId="0" fontId="2" fillId="6" borderId="0" xfId="0" applyFont="1" applyFill="1"/>
    <xf numFmtId="0" fontId="2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12" fillId="0" borderId="1" xfId="0" applyFont="1" applyBorder="1"/>
    <xf numFmtId="0" fontId="13" fillId="6" borderId="1" xfId="0" applyFont="1" applyFill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 applyAlignment="1">
      <alignment horizontal="center"/>
    </xf>
    <xf numFmtId="0" fontId="13" fillId="6" borderId="1" xfId="0" applyFont="1" applyFill="1" applyBorder="1"/>
    <xf numFmtId="0" fontId="12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4" fillId="6" borderId="1" xfId="0" applyFont="1" applyFill="1" applyBorder="1"/>
    <xf numFmtId="0" fontId="13" fillId="0" borderId="1" xfId="0" applyFont="1" applyBorder="1" applyAlignment="1">
      <alignment horizontal="center"/>
    </xf>
    <xf numFmtId="0" fontId="12" fillId="6" borderId="1" xfId="0" applyFont="1" applyFill="1" applyBorder="1"/>
    <xf numFmtId="164" fontId="2" fillId="6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164" fontId="15" fillId="7" borderId="1" xfId="0" applyNumberFormat="1" applyFont="1" applyFill="1" applyBorder="1" applyAlignment="1">
      <alignment horizontal="left"/>
    </xf>
    <xf numFmtId="0" fontId="15" fillId="7" borderId="1" xfId="0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164" fontId="2" fillId="6" borderId="0" xfId="0" applyNumberFormat="1" applyFont="1" applyFill="1" applyAlignment="1">
      <alignment horizontal="left"/>
    </xf>
    <xf numFmtId="0" fontId="2" fillId="6" borderId="1" xfId="0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15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164" fontId="8" fillId="6" borderId="2" xfId="0" applyNumberFormat="1" applyFont="1" applyFill="1" applyBorder="1" applyAlignment="1">
      <alignment horizontal="left"/>
    </xf>
    <xf numFmtId="0" fontId="8" fillId="6" borderId="3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right"/>
    </xf>
    <xf numFmtId="0" fontId="8" fillId="6" borderId="1" xfId="0" applyFont="1" applyFill="1" applyBorder="1"/>
    <xf numFmtId="0" fontId="16" fillId="6" borderId="1" xfId="0" applyFont="1" applyFill="1" applyBorder="1"/>
    <xf numFmtId="0" fontId="8" fillId="6" borderId="1" xfId="0" applyFont="1" applyFill="1" applyBorder="1" applyAlignment="1">
      <alignment horizontal="left"/>
    </xf>
    <xf numFmtId="0" fontId="7" fillId="6" borderId="1" xfId="0" applyFont="1" applyFill="1" applyBorder="1"/>
    <xf numFmtId="0" fontId="8" fillId="6" borderId="2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/>
    </xf>
    <xf numFmtId="0" fontId="15" fillId="6" borderId="4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left"/>
    </xf>
    <xf numFmtId="165" fontId="13" fillId="6" borderId="1" xfId="0" applyNumberFormat="1" applyFont="1" applyFill="1" applyBorder="1" applyAlignment="1">
      <alignment horizontal="left"/>
    </xf>
    <xf numFmtId="0" fontId="13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right"/>
    </xf>
    <xf numFmtId="165" fontId="7" fillId="6" borderId="1" xfId="0" applyNumberFormat="1" applyFont="1" applyFill="1" applyBorder="1" applyAlignment="1">
      <alignment horizontal="left"/>
    </xf>
    <xf numFmtId="166" fontId="13" fillId="6" borderId="1" xfId="0" applyNumberFormat="1" applyFont="1" applyFill="1" applyBorder="1" applyAlignment="1">
      <alignment horizontal="center"/>
    </xf>
    <xf numFmtId="166" fontId="8" fillId="6" borderId="1" xfId="0" applyNumberFormat="1" applyFont="1" applyFill="1" applyBorder="1" applyAlignment="1">
      <alignment horizontal="center"/>
    </xf>
    <xf numFmtId="0" fontId="9" fillId="6" borderId="1" xfId="0" applyFont="1" applyFill="1" applyBorder="1"/>
    <xf numFmtId="166" fontId="2" fillId="6" borderId="0" xfId="0" applyNumberFormat="1" applyFont="1" applyFill="1" applyAlignment="1">
      <alignment horizontal="center" vertical="center"/>
    </xf>
    <xf numFmtId="3" fontId="9" fillId="6" borderId="1" xfId="0" applyNumberFormat="1" applyFont="1" applyFill="1" applyBorder="1" applyAlignment="1">
      <alignment horizontal="center"/>
    </xf>
    <xf numFmtId="167" fontId="2" fillId="6" borderId="1" xfId="0" applyNumberFormat="1" applyFont="1" applyFill="1" applyBorder="1" applyAlignment="1">
      <alignment horizontal="left"/>
    </xf>
    <xf numFmtId="0" fontId="17" fillId="6" borderId="1" xfId="0" applyFont="1" applyFill="1" applyBorder="1" applyAlignment="1">
      <alignment horizontal="center"/>
    </xf>
    <xf numFmtId="164" fontId="18" fillId="6" borderId="1" xfId="0" applyNumberFormat="1" applyFont="1" applyFill="1" applyBorder="1" applyAlignment="1">
      <alignment horizontal="left"/>
    </xf>
    <xf numFmtId="0" fontId="18" fillId="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166" fontId="13" fillId="0" borderId="1" xfId="0" applyNumberFormat="1" applyFont="1" applyBorder="1" applyAlignment="1">
      <alignment horizontal="center"/>
    </xf>
    <xf numFmtId="166" fontId="17" fillId="6" borderId="1" xfId="0" applyNumberFormat="1" applyFont="1" applyFill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168" fontId="13" fillId="0" borderId="1" xfId="0" applyNumberFormat="1" applyFont="1" applyBorder="1" applyAlignment="1">
      <alignment horizontal="left"/>
    </xf>
    <xf numFmtId="169" fontId="17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8" borderId="1" xfId="0" applyFont="1" applyFill="1" applyBorder="1"/>
    <xf numFmtId="165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/>
    <xf numFmtId="0" fontId="1" fillId="5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3" max="3" width="14.28515625" customWidth="1"/>
    <col min="4" max="4" width="34.42578125" customWidth="1"/>
    <col min="5" max="5" width="17.42578125" customWidth="1"/>
    <col min="6" max="6" width="20.5703125" customWidth="1"/>
    <col min="7" max="7" width="18.7109375" customWidth="1"/>
    <col min="8" max="8" width="1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2.5" customHeight="1">
      <c r="A2" s="5"/>
      <c r="B2" s="6"/>
      <c r="C2" s="6"/>
      <c r="D2" s="5" t="s">
        <v>8</v>
      </c>
      <c r="E2" s="7" t="s">
        <v>9</v>
      </c>
      <c r="F2" s="6">
        <f>SUM(B2:B2079)</f>
        <v>2649328.5</v>
      </c>
      <c r="G2" s="6">
        <f>SUM(C2:C2079)</f>
        <v>4442730.9920000006</v>
      </c>
      <c r="H2" s="8">
        <f>G2-F2+E3</f>
        <v>1875416.4920000006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>
      <c r="A3" s="109" t="s">
        <v>10</v>
      </c>
      <c r="B3" s="110"/>
      <c r="C3" s="110"/>
      <c r="D3" s="111"/>
      <c r="E3" s="9">
        <v>82014</v>
      </c>
      <c r="F3" s="10"/>
      <c r="G3" s="10"/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12" t="s">
        <v>11</v>
      </c>
      <c r="B4" s="13"/>
      <c r="C4" s="14">
        <v>400000</v>
      </c>
      <c r="D4" s="14" t="s">
        <v>12</v>
      </c>
      <c r="E4" s="15">
        <f t="shared" ref="E4:E258" si="0">E3+C4-B4</f>
        <v>482014</v>
      </c>
      <c r="F4" s="16"/>
      <c r="G4" s="1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8" t="s">
        <v>11</v>
      </c>
      <c r="B5" s="19">
        <v>82014</v>
      </c>
      <c r="C5" s="20"/>
      <c r="D5" s="20" t="s">
        <v>13</v>
      </c>
      <c r="E5" s="21">
        <f t="shared" si="0"/>
        <v>400000</v>
      </c>
      <c r="F5" s="22"/>
      <c r="G5" s="2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23" t="s">
        <v>14</v>
      </c>
      <c r="B6" s="20">
        <v>100000</v>
      </c>
      <c r="C6" s="20"/>
      <c r="D6" s="20" t="s">
        <v>15</v>
      </c>
      <c r="E6" s="21">
        <f t="shared" si="0"/>
        <v>300000</v>
      </c>
      <c r="F6" s="24"/>
      <c r="G6" s="2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>
      <c r="A7" s="17" t="s">
        <v>16</v>
      </c>
      <c r="B7" s="13"/>
      <c r="C7" s="15">
        <v>150000</v>
      </c>
      <c r="D7" s="25" t="s">
        <v>17</v>
      </c>
      <c r="E7" s="15">
        <f t="shared" si="0"/>
        <v>450000</v>
      </c>
      <c r="F7" s="16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26" t="s">
        <v>18</v>
      </c>
      <c r="B8" s="27"/>
      <c r="C8" s="27">
        <v>20000</v>
      </c>
      <c r="D8" s="27" t="s">
        <v>17</v>
      </c>
      <c r="E8" s="15">
        <f t="shared" si="0"/>
        <v>470000</v>
      </c>
      <c r="F8" s="16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28">
        <v>45693</v>
      </c>
      <c r="B9" s="13"/>
      <c r="C9" s="14">
        <v>20000</v>
      </c>
      <c r="D9" s="25" t="s">
        <v>19</v>
      </c>
      <c r="E9" s="15">
        <f t="shared" si="0"/>
        <v>490000</v>
      </c>
      <c r="F9" s="16"/>
      <c r="G9" s="16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12" t="s">
        <v>20</v>
      </c>
      <c r="B10" s="13"/>
      <c r="C10" s="14">
        <v>10000</v>
      </c>
      <c r="D10" s="25" t="s">
        <v>21</v>
      </c>
      <c r="E10" s="15">
        <f t="shared" si="0"/>
        <v>500000</v>
      </c>
      <c r="F10" s="16"/>
      <c r="G10" s="1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29" t="s">
        <v>22</v>
      </c>
      <c r="B11" s="30">
        <v>50000</v>
      </c>
      <c r="C11" s="20"/>
      <c r="D11" s="31" t="s">
        <v>23</v>
      </c>
      <c r="E11" s="21">
        <f t="shared" si="0"/>
        <v>450000</v>
      </c>
      <c r="F11" s="22"/>
      <c r="G11" s="2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32" t="s">
        <v>24</v>
      </c>
      <c r="B12" s="14"/>
      <c r="C12" s="14">
        <v>10000</v>
      </c>
      <c r="D12" s="14" t="s">
        <v>12</v>
      </c>
      <c r="E12" s="15">
        <f t="shared" si="0"/>
        <v>460000</v>
      </c>
      <c r="F12" s="16"/>
      <c r="G12" s="1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33" t="s">
        <v>25</v>
      </c>
      <c r="B13" s="34">
        <v>100000</v>
      </c>
      <c r="C13" s="34"/>
      <c r="D13" s="20" t="s">
        <v>23</v>
      </c>
      <c r="E13" s="21">
        <f t="shared" si="0"/>
        <v>360000</v>
      </c>
      <c r="F13" s="22"/>
      <c r="G13" s="2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35" t="s">
        <v>26</v>
      </c>
      <c r="B14" s="25"/>
      <c r="C14" s="25">
        <v>505500</v>
      </c>
      <c r="D14" s="25" t="s">
        <v>12</v>
      </c>
      <c r="E14" s="15">
        <f t="shared" si="0"/>
        <v>865500</v>
      </c>
      <c r="F14" s="16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36" t="s">
        <v>27</v>
      </c>
      <c r="B15" s="37">
        <v>89890</v>
      </c>
      <c r="C15" s="38"/>
      <c r="D15" s="39" t="s">
        <v>23</v>
      </c>
      <c r="E15" s="21">
        <f t="shared" si="0"/>
        <v>775610</v>
      </c>
      <c r="F15" s="22"/>
      <c r="G15" s="2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36" t="s">
        <v>28</v>
      </c>
      <c r="B16" s="40"/>
      <c r="C16" s="41">
        <v>5500</v>
      </c>
      <c r="D16" s="42" t="s">
        <v>12</v>
      </c>
      <c r="E16" s="21">
        <f t="shared" si="0"/>
        <v>781110</v>
      </c>
      <c r="F16" s="22"/>
      <c r="G16" s="2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3" t="s">
        <v>27</v>
      </c>
      <c r="B17" s="40"/>
      <c r="C17" s="44">
        <v>5586</v>
      </c>
      <c r="D17" s="42" t="s">
        <v>12</v>
      </c>
      <c r="E17" s="21">
        <f t="shared" si="0"/>
        <v>786696</v>
      </c>
      <c r="F17" s="22"/>
      <c r="G17" s="2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0" t="s">
        <v>29</v>
      </c>
      <c r="B18" s="40"/>
      <c r="C18" s="44">
        <v>1160</v>
      </c>
      <c r="D18" s="42" t="s">
        <v>12</v>
      </c>
      <c r="E18" s="21">
        <f t="shared" si="0"/>
        <v>787856</v>
      </c>
      <c r="F18" s="22"/>
      <c r="G18" s="2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5" t="s">
        <v>30</v>
      </c>
      <c r="B19" s="40"/>
      <c r="C19" s="41">
        <v>6000</v>
      </c>
      <c r="D19" s="42" t="s">
        <v>12</v>
      </c>
      <c r="E19" s="21">
        <f t="shared" si="0"/>
        <v>793856</v>
      </c>
      <c r="F19" s="22"/>
      <c r="G19" s="2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6">
        <v>45775</v>
      </c>
      <c r="B20" s="30"/>
      <c r="C20" s="47">
        <v>5000</v>
      </c>
      <c r="D20" s="34" t="s">
        <v>31</v>
      </c>
      <c r="E20" s="21">
        <f t="shared" si="0"/>
        <v>798856</v>
      </c>
      <c r="F20" s="22"/>
      <c r="G20" s="2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8" t="s">
        <v>32</v>
      </c>
      <c r="B21" s="30"/>
      <c r="C21" s="34">
        <v>25300</v>
      </c>
      <c r="D21" s="48" t="s">
        <v>33</v>
      </c>
      <c r="E21" s="21">
        <f t="shared" si="0"/>
        <v>824156</v>
      </c>
      <c r="F21" s="24"/>
      <c r="G21" s="2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8" t="s">
        <v>34</v>
      </c>
      <c r="B22" s="30"/>
      <c r="C22" s="49">
        <v>10900</v>
      </c>
      <c r="D22" s="48" t="s">
        <v>33</v>
      </c>
      <c r="E22" s="21">
        <f t="shared" si="0"/>
        <v>835056</v>
      </c>
      <c r="F22" s="22"/>
      <c r="G22" s="2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50">
        <v>45784</v>
      </c>
      <c r="B23" s="34"/>
      <c r="C23" s="51">
        <v>5228</v>
      </c>
      <c r="D23" s="48" t="s">
        <v>33</v>
      </c>
      <c r="E23" s="21">
        <f t="shared" si="0"/>
        <v>840284</v>
      </c>
      <c r="F23" s="22"/>
      <c r="G23" s="2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52">
        <v>45785</v>
      </c>
      <c r="B24" s="21"/>
      <c r="C24" s="21">
        <v>16000</v>
      </c>
      <c r="D24" s="48" t="s">
        <v>35</v>
      </c>
      <c r="E24" s="21">
        <f t="shared" si="0"/>
        <v>856284</v>
      </c>
      <c r="F24" s="22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53" t="s">
        <v>36</v>
      </c>
      <c r="B25" s="34"/>
      <c r="C25" s="37">
        <f>2746.5+1000</f>
        <v>3746.5</v>
      </c>
      <c r="D25" s="48" t="s">
        <v>33</v>
      </c>
      <c r="E25" s="21">
        <f t="shared" si="0"/>
        <v>860030.5</v>
      </c>
      <c r="F25" s="22"/>
      <c r="G25" s="2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29" t="s">
        <v>37</v>
      </c>
      <c r="B26" s="30"/>
      <c r="C26" s="47">
        <v>1600</v>
      </c>
      <c r="D26" s="48" t="s">
        <v>33</v>
      </c>
      <c r="E26" s="21">
        <f t="shared" si="0"/>
        <v>861630.5</v>
      </c>
      <c r="F26" s="22"/>
      <c r="G26" s="2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54" t="s">
        <v>38</v>
      </c>
      <c r="B27" s="55"/>
      <c r="C27" s="47">
        <v>3000</v>
      </c>
      <c r="D27" s="48" t="s">
        <v>33</v>
      </c>
      <c r="E27" s="21">
        <f t="shared" si="0"/>
        <v>864630.5</v>
      </c>
      <c r="F27" s="22"/>
      <c r="G27" s="2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9" t="s">
        <v>39</v>
      </c>
      <c r="B28" s="30"/>
      <c r="C28" s="47">
        <v>2000</v>
      </c>
      <c r="D28" s="48" t="s">
        <v>33</v>
      </c>
      <c r="E28" s="21">
        <f t="shared" si="0"/>
        <v>866630.5</v>
      </c>
      <c r="F28" s="22"/>
      <c r="G28" s="2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56" t="s">
        <v>40</v>
      </c>
      <c r="B29" s="47"/>
      <c r="C29" s="47">
        <v>800</v>
      </c>
      <c r="D29" s="48" t="s">
        <v>33</v>
      </c>
      <c r="E29" s="21">
        <f t="shared" si="0"/>
        <v>867430.5</v>
      </c>
      <c r="F29" s="22"/>
      <c r="G29" s="2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57">
        <v>45796</v>
      </c>
      <c r="B30" s="58"/>
      <c r="C30" s="58">
        <v>1000</v>
      </c>
      <c r="D30" s="48" t="s">
        <v>33</v>
      </c>
      <c r="E30" s="21">
        <f t="shared" si="0"/>
        <v>868430.5</v>
      </c>
      <c r="F30" s="22"/>
      <c r="G30" s="2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59">
        <v>45799</v>
      </c>
      <c r="B31" s="47"/>
      <c r="C31" s="47">
        <v>1676</v>
      </c>
      <c r="D31" s="48" t="s">
        <v>33</v>
      </c>
      <c r="E31" s="21">
        <f t="shared" si="0"/>
        <v>870106.5</v>
      </c>
      <c r="F31" s="22"/>
      <c r="G31" s="2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59">
        <v>45802</v>
      </c>
      <c r="B32" s="47"/>
      <c r="C32" s="47">
        <v>1000</v>
      </c>
      <c r="D32" s="48" t="s">
        <v>33</v>
      </c>
      <c r="E32" s="21">
        <f t="shared" si="0"/>
        <v>871106.5</v>
      </c>
      <c r="F32" s="22"/>
      <c r="G32" s="2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60">
        <v>45804</v>
      </c>
      <c r="B33" s="30"/>
      <c r="C33" s="47">
        <v>320.75</v>
      </c>
      <c r="D33" s="48" t="s">
        <v>33</v>
      </c>
      <c r="E33" s="21">
        <f t="shared" si="0"/>
        <v>871427.25</v>
      </c>
      <c r="F33" s="22"/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61" t="s">
        <v>41</v>
      </c>
      <c r="B34" s="30"/>
      <c r="C34" s="47">
        <v>100000</v>
      </c>
      <c r="D34" s="48" t="s">
        <v>42</v>
      </c>
      <c r="E34" s="21">
        <f t="shared" si="0"/>
        <v>971427.25</v>
      </c>
      <c r="F34" s="22"/>
      <c r="G34" s="2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6">
        <v>45837</v>
      </c>
      <c r="B35" s="30"/>
      <c r="C35" s="47">
        <v>207</v>
      </c>
      <c r="D35" s="48" t="s">
        <v>33</v>
      </c>
      <c r="E35" s="21">
        <f t="shared" si="0"/>
        <v>971634.25</v>
      </c>
      <c r="F35" s="22"/>
      <c r="G35" s="2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33" t="s">
        <v>43</v>
      </c>
      <c r="B36" s="47"/>
      <c r="C36" s="47">
        <v>100000</v>
      </c>
      <c r="D36" s="48" t="s">
        <v>42</v>
      </c>
      <c r="E36" s="21">
        <f t="shared" si="0"/>
        <v>1071634.25</v>
      </c>
      <c r="F36" s="22"/>
      <c r="G36" s="2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33" t="s">
        <v>44</v>
      </c>
      <c r="B37" s="47"/>
      <c r="C37" s="47">
        <v>20000</v>
      </c>
      <c r="D37" s="48" t="s">
        <v>33</v>
      </c>
      <c r="E37" s="21">
        <f t="shared" si="0"/>
        <v>1091634.25</v>
      </c>
      <c r="F37" s="22"/>
      <c r="G37" s="2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56" t="s">
        <v>45</v>
      </c>
      <c r="B38" s="47"/>
      <c r="C38" s="47">
        <v>13540</v>
      </c>
      <c r="D38" s="48" t="s">
        <v>33</v>
      </c>
      <c r="E38" s="21">
        <f t="shared" si="0"/>
        <v>1105174.25</v>
      </c>
      <c r="F38" s="22"/>
      <c r="G38" s="2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52">
        <v>45820</v>
      </c>
      <c r="B39" s="21"/>
      <c r="C39" s="21">
        <v>1000</v>
      </c>
      <c r="D39" s="48" t="s">
        <v>33</v>
      </c>
      <c r="E39" s="21">
        <f t="shared" si="0"/>
        <v>1106174.25</v>
      </c>
      <c r="F39" s="22"/>
      <c r="G39" s="2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57">
        <v>45822</v>
      </c>
      <c r="B40" s="58"/>
      <c r="C40" s="58">
        <v>3700</v>
      </c>
      <c r="D40" s="48" t="s">
        <v>33</v>
      </c>
      <c r="E40" s="21">
        <f t="shared" si="0"/>
        <v>1109874.25</v>
      </c>
      <c r="F40" s="22"/>
      <c r="G40" s="2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59">
        <v>45825</v>
      </c>
      <c r="B41" s="47"/>
      <c r="C41" s="47">
        <v>2000</v>
      </c>
      <c r="D41" s="48" t="s">
        <v>33</v>
      </c>
      <c r="E41" s="21">
        <f t="shared" si="0"/>
        <v>1111874.25</v>
      </c>
      <c r="F41" s="22"/>
      <c r="G41" s="2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62">
        <v>45826</v>
      </c>
      <c r="B42" s="47"/>
      <c r="C42" s="37">
        <v>1000</v>
      </c>
      <c r="D42" s="48" t="s">
        <v>33</v>
      </c>
      <c r="E42" s="21">
        <f t="shared" si="0"/>
        <v>1112874.25</v>
      </c>
      <c r="F42" s="22"/>
      <c r="G42" s="2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62">
        <v>45827</v>
      </c>
      <c r="B43" s="47">
        <v>200</v>
      </c>
      <c r="C43" s="47"/>
      <c r="D43" s="30" t="s">
        <v>46</v>
      </c>
      <c r="E43" s="21">
        <f t="shared" si="0"/>
        <v>1112674.25</v>
      </c>
      <c r="F43" s="22"/>
      <c r="G43" s="2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62">
        <v>45827</v>
      </c>
      <c r="B44" s="47"/>
      <c r="C44" s="63">
        <v>2468</v>
      </c>
      <c r="D44" s="48" t="s">
        <v>33</v>
      </c>
      <c r="E44" s="21">
        <f t="shared" si="0"/>
        <v>1115142.25</v>
      </c>
      <c r="F44" s="22"/>
      <c r="G44" s="2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59">
        <v>45829</v>
      </c>
      <c r="B45" s="47"/>
      <c r="C45" s="47">
        <v>556</v>
      </c>
      <c r="D45" s="48" t="s">
        <v>33</v>
      </c>
      <c r="E45" s="21">
        <f t="shared" si="0"/>
        <v>1115698.25</v>
      </c>
      <c r="F45" s="22"/>
      <c r="G45" s="2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57">
        <v>45833</v>
      </c>
      <c r="B46" s="58"/>
      <c r="C46" s="58">
        <v>500</v>
      </c>
      <c r="D46" s="48" t="s">
        <v>33</v>
      </c>
      <c r="E46" s="21">
        <f t="shared" si="0"/>
        <v>1116198.25</v>
      </c>
      <c r="F46" s="22"/>
      <c r="G46" s="2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59">
        <v>45837</v>
      </c>
      <c r="B47" s="47"/>
      <c r="C47" s="47">
        <v>500</v>
      </c>
      <c r="D47" s="48" t="s">
        <v>33</v>
      </c>
      <c r="E47" s="21">
        <f t="shared" si="0"/>
        <v>1116698.25</v>
      </c>
      <c r="F47" s="22"/>
      <c r="G47" s="2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59">
        <v>45839</v>
      </c>
      <c r="B48" s="47"/>
      <c r="C48" s="58">
        <v>500</v>
      </c>
      <c r="D48" s="48" t="s">
        <v>33</v>
      </c>
      <c r="E48" s="21">
        <f t="shared" si="0"/>
        <v>1117198.25</v>
      </c>
      <c r="F48" s="22"/>
      <c r="G48" s="2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57">
        <v>45843</v>
      </c>
      <c r="B49" s="58"/>
      <c r="C49" s="58">
        <v>170</v>
      </c>
      <c r="D49" s="48" t="s">
        <v>33</v>
      </c>
      <c r="E49" s="21">
        <f t="shared" si="0"/>
        <v>1117368.25</v>
      </c>
      <c r="F49" s="22"/>
      <c r="G49" s="2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56" t="s">
        <v>47</v>
      </c>
      <c r="B50" s="47"/>
      <c r="C50" s="47">
        <v>1000</v>
      </c>
      <c r="D50" s="48" t="s">
        <v>33</v>
      </c>
      <c r="E50" s="21">
        <f t="shared" si="0"/>
        <v>1118368.25</v>
      </c>
      <c r="F50" s="22"/>
      <c r="G50" s="2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64" t="s">
        <v>48</v>
      </c>
      <c r="B51" s="58"/>
      <c r="C51" s="58">
        <f>51660-3135</f>
        <v>48525</v>
      </c>
      <c r="D51" s="48" t="s">
        <v>33</v>
      </c>
      <c r="E51" s="21">
        <f t="shared" si="0"/>
        <v>1166893.25</v>
      </c>
      <c r="F51" s="22" t="s">
        <v>49</v>
      </c>
      <c r="G51" s="2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56" t="s">
        <v>50</v>
      </c>
      <c r="B52" s="47"/>
      <c r="C52" s="47">
        <v>100000</v>
      </c>
      <c r="D52" s="48" t="s">
        <v>42</v>
      </c>
      <c r="E52" s="21">
        <f t="shared" si="0"/>
        <v>1266893.25</v>
      </c>
      <c r="F52" s="22"/>
      <c r="G52" s="2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56" t="s">
        <v>50</v>
      </c>
      <c r="B53" s="47"/>
      <c r="C53" s="47">
        <v>5000</v>
      </c>
      <c r="D53" s="48" t="s">
        <v>33</v>
      </c>
      <c r="E53" s="21">
        <f t="shared" si="0"/>
        <v>1271893.25</v>
      </c>
      <c r="F53" s="22"/>
      <c r="G53" s="2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33" t="s">
        <v>50</v>
      </c>
      <c r="B54" s="20"/>
      <c r="C54" s="47">
        <v>3075</v>
      </c>
      <c r="D54" s="48" t="s">
        <v>33</v>
      </c>
      <c r="E54" s="21">
        <f t="shared" si="0"/>
        <v>1274968.25</v>
      </c>
      <c r="F54" s="22"/>
      <c r="G54" s="2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33" t="s">
        <v>51</v>
      </c>
      <c r="B55" s="34"/>
      <c r="C55" s="65">
        <v>4000</v>
      </c>
      <c r="D55" s="48" t="s">
        <v>33</v>
      </c>
      <c r="E55" s="21">
        <f t="shared" si="0"/>
        <v>1278968.25</v>
      </c>
      <c r="F55" s="22"/>
      <c r="G55" s="2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57">
        <v>45858</v>
      </c>
      <c r="B56" s="66"/>
      <c r="C56" s="67">
        <f>22000+20000</f>
        <v>42000</v>
      </c>
      <c r="D56" s="48" t="s">
        <v>33</v>
      </c>
      <c r="E56" s="21">
        <f t="shared" si="0"/>
        <v>1320968.25</v>
      </c>
      <c r="F56" s="22"/>
      <c r="G56" s="2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60">
        <v>45860</v>
      </c>
      <c r="B57" s="30"/>
      <c r="C57" s="67">
        <v>10000</v>
      </c>
      <c r="D57" s="48" t="s">
        <v>33</v>
      </c>
      <c r="E57" s="21">
        <f t="shared" si="0"/>
        <v>1330968.25</v>
      </c>
      <c r="F57" s="22"/>
      <c r="G57" s="2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68">
        <v>45861</v>
      </c>
      <c r="B58" s="21"/>
      <c r="C58" s="69">
        <v>789</v>
      </c>
      <c r="D58" s="48" t="s">
        <v>33</v>
      </c>
      <c r="E58" s="21">
        <f t="shared" si="0"/>
        <v>1331757.25</v>
      </c>
      <c r="F58" s="22"/>
      <c r="G58" s="2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70" t="s">
        <v>52</v>
      </c>
      <c r="B59" s="19"/>
      <c r="C59" s="71">
        <v>1100</v>
      </c>
      <c r="D59" s="48" t="s">
        <v>33</v>
      </c>
      <c r="E59" s="21">
        <f t="shared" si="0"/>
        <v>1332857.25</v>
      </c>
      <c r="F59" s="22"/>
      <c r="G59" s="2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72" t="s">
        <v>53</v>
      </c>
      <c r="B60" s="21"/>
      <c r="C60" s="69">
        <f>498+195</f>
        <v>693</v>
      </c>
      <c r="D60" s="48" t="s">
        <v>33</v>
      </c>
      <c r="E60" s="21">
        <f t="shared" si="0"/>
        <v>1333550.25</v>
      </c>
      <c r="F60" s="22"/>
      <c r="G60" s="2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52">
        <v>45873</v>
      </c>
      <c r="B61" s="66">
        <v>1000</v>
      </c>
      <c r="C61" s="21"/>
      <c r="D61" s="41" t="s">
        <v>46</v>
      </c>
      <c r="E61" s="21">
        <f t="shared" si="0"/>
        <v>1332550.25</v>
      </c>
      <c r="F61" s="22"/>
      <c r="G61" s="2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52">
        <v>45874</v>
      </c>
      <c r="B62" s="66">
        <v>1000</v>
      </c>
      <c r="C62" s="21"/>
      <c r="D62" s="41" t="s">
        <v>46</v>
      </c>
      <c r="E62" s="21">
        <f t="shared" si="0"/>
        <v>1331550.25</v>
      </c>
      <c r="F62" s="22"/>
      <c r="G62" s="2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52">
        <v>45875</v>
      </c>
      <c r="B63" s="66"/>
      <c r="C63" s="21">
        <v>100000</v>
      </c>
      <c r="D63" s="48" t="s">
        <v>54</v>
      </c>
      <c r="E63" s="21">
        <f t="shared" si="0"/>
        <v>1431550.25</v>
      </c>
      <c r="F63" s="22"/>
      <c r="G63" s="2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68">
        <v>45876</v>
      </c>
      <c r="B64" s="21">
        <v>2000</v>
      </c>
      <c r="C64" s="69"/>
      <c r="D64" s="48" t="s">
        <v>33</v>
      </c>
      <c r="E64" s="21">
        <f t="shared" si="0"/>
        <v>1429550.25</v>
      </c>
      <c r="F64" s="22"/>
      <c r="G64" s="2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70" t="s">
        <v>55</v>
      </c>
      <c r="B65" s="19">
        <v>400</v>
      </c>
      <c r="C65" s="73"/>
      <c r="D65" s="48" t="s">
        <v>33</v>
      </c>
      <c r="E65" s="21">
        <f t="shared" si="0"/>
        <v>1429150.25</v>
      </c>
      <c r="F65" s="22"/>
      <c r="G65" s="2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74" t="s">
        <v>56</v>
      </c>
      <c r="B66" s="75"/>
      <c r="C66" s="21">
        <v>2188</v>
      </c>
      <c r="D66" s="48" t="s">
        <v>33</v>
      </c>
      <c r="E66" s="21">
        <f t="shared" si="0"/>
        <v>1431338.25</v>
      </c>
      <c r="F66" s="22"/>
      <c r="G66" s="2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74" t="s">
        <v>57</v>
      </c>
      <c r="B67" s="21">
        <v>40000</v>
      </c>
      <c r="C67" s="21"/>
      <c r="D67" s="41" t="s">
        <v>46</v>
      </c>
      <c r="E67" s="21">
        <f t="shared" si="0"/>
        <v>1391338.25</v>
      </c>
      <c r="F67" s="22"/>
      <c r="G67" s="2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68">
        <v>45887</v>
      </c>
      <c r="B68" s="21">
        <v>20000</v>
      </c>
      <c r="C68" s="69"/>
      <c r="D68" s="41" t="s">
        <v>46</v>
      </c>
      <c r="E68" s="21">
        <f t="shared" si="0"/>
        <v>1371338.25</v>
      </c>
      <c r="F68" s="22"/>
      <c r="G68" s="2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52">
        <v>45887</v>
      </c>
      <c r="B69" s="66"/>
      <c r="C69" s="21">
        <v>3550</v>
      </c>
      <c r="D69" s="48" t="s">
        <v>33</v>
      </c>
      <c r="E69" s="21">
        <f t="shared" si="0"/>
        <v>1374888.25</v>
      </c>
      <c r="F69" s="22"/>
      <c r="G69" s="2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68">
        <v>45890</v>
      </c>
      <c r="B70" s="21"/>
      <c r="C70" s="69">
        <v>460</v>
      </c>
      <c r="D70" s="48" t="s">
        <v>33</v>
      </c>
      <c r="E70" s="21">
        <f t="shared" si="0"/>
        <v>1375348.25</v>
      </c>
      <c r="F70" s="22"/>
      <c r="G70" s="2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52">
        <v>45895</v>
      </c>
      <c r="B71" s="21"/>
      <c r="C71" s="21">
        <v>6000</v>
      </c>
      <c r="D71" s="48" t="s">
        <v>33</v>
      </c>
      <c r="E71" s="21">
        <f t="shared" si="0"/>
        <v>1381348.25</v>
      </c>
      <c r="F71" s="22"/>
      <c r="G71" s="2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72" t="s">
        <v>58</v>
      </c>
      <c r="B72" s="21"/>
      <c r="C72" s="69">
        <v>90</v>
      </c>
      <c r="D72" s="48" t="s">
        <v>33</v>
      </c>
      <c r="E72" s="21">
        <f t="shared" si="0"/>
        <v>1381438.25</v>
      </c>
      <c r="F72" s="22"/>
      <c r="G72" s="2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74" t="s">
        <v>59</v>
      </c>
      <c r="B73" s="66"/>
      <c r="C73" s="21">
        <v>120000</v>
      </c>
      <c r="D73" s="48" t="s">
        <v>33</v>
      </c>
      <c r="E73" s="21">
        <f t="shared" si="0"/>
        <v>1501438.25</v>
      </c>
      <c r="F73" s="22"/>
      <c r="G73" s="2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74" t="s">
        <v>60</v>
      </c>
      <c r="B74" s="66"/>
      <c r="C74" s="21">
        <v>100000</v>
      </c>
      <c r="D74" s="48" t="s">
        <v>54</v>
      </c>
      <c r="E74" s="21">
        <f t="shared" si="0"/>
        <v>1601438.25</v>
      </c>
      <c r="F74" s="22"/>
      <c r="G74" s="2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76" t="s">
        <v>61</v>
      </c>
      <c r="B75" s="66"/>
      <c r="C75" s="21">
        <f>40000+27600</f>
        <v>67600</v>
      </c>
      <c r="D75" s="48" t="s">
        <v>33</v>
      </c>
      <c r="E75" s="21">
        <f t="shared" si="0"/>
        <v>1669038.25</v>
      </c>
      <c r="F75" s="22"/>
      <c r="G75" s="2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77" t="s">
        <v>61</v>
      </c>
      <c r="B76" s="19">
        <v>445931</v>
      </c>
      <c r="C76" s="71"/>
      <c r="D76" s="41" t="s">
        <v>46</v>
      </c>
      <c r="E76" s="21">
        <f t="shared" si="0"/>
        <v>1223107.25</v>
      </c>
      <c r="F76" s="22"/>
      <c r="G76" s="2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78" t="s">
        <v>61</v>
      </c>
      <c r="B77" s="79"/>
      <c r="C77" s="80">
        <v>13600</v>
      </c>
      <c r="D77" s="48" t="s">
        <v>33</v>
      </c>
      <c r="E77" s="21">
        <f t="shared" si="0"/>
        <v>1236707.25</v>
      </c>
      <c r="F77" s="22"/>
      <c r="G77" s="2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74" t="s">
        <v>61</v>
      </c>
      <c r="B78" s="66">
        <v>250000</v>
      </c>
      <c r="C78" s="66"/>
      <c r="D78" s="41" t="s">
        <v>46</v>
      </c>
      <c r="E78" s="21">
        <f t="shared" si="0"/>
        <v>986707.25</v>
      </c>
      <c r="F78" s="22"/>
      <c r="G78" s="2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76" t="s">
        <v>61</v>
      </c>
      <c r="B79" s="21"/>
      <c r="C79" s="21">
        <v>123600</v>
      </c>
      <c r="D79" s="48" t="s">
        <v>33</v>
      </c>
      <c r="E79" s="21">
        <f t="shared" si="0"/>
        <v>1110307.25</v>
      </c>
      <c r="F79" s="22"/>
      <c r="G79" s="2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78" t="s">
        <v>61</v>
      </c>
      <c r="B80" s="79"/>
      <c r="C80" s="80">
        <v>114000</v>
      </c>
      <c r="D80" s="48" t="s">
        <v>17</v>
      </c>
      <c r="E80" s="21">
        <f t="shared" si="0"/>
        <v>1224307.25</v>
      </c>
      <c r="F80" s="22"/>
      <c r="G80" s="2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81" t="s">
        <v>61</v>
      </c>
      <c r="B81" s="67">
        <v>10000</v>
      </c>
      <c r="C81" s="82"/>
      <c r="D81" s="83" t="s">
        <v>62</v>
      </c>
      <c r="E81" s="21">
        <f t="shared" si="0"/>
        <v>1214307.25</v>
      </c>
      <c r="F81" s="22"/>
      <c r="G81" s="2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84">
        <v>45911</v>
      </c>
      <c r="B82" s="19"/>
      <c r="C82" s="71">
        <v>1800</v>
      </c>
      <c r="D82" s="48" t="s">
        <v>63</v>
      </c>
      <c r="E82" s="21">
        <f t="shared" si="0"/>
        <v>1216107.25</v>
      </c>
      <c r="F82" s="22"/>
      <c r="G82" s="2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84">
        <v>45916</v>
      </c>
      <c r="B83" s="19"/>
      <c r="C83" s="30">
        <f>2000+215</f>
        <v>2215</v>
      </c>
      <c r="D83" s="48" t="s">
        <v>33</v>
      </c>
      <c r="E83" s="21">
        <f t="shared" si="0"/>
        <v>1218322.25</v>
      </c>
      <c r="F83" s="22"/>
      <c r="G83" s="2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85" t="s">
        <v>64</v>
      </c>
      <c r="B84" s="37">
        <v>73000</v>
      </c>
      <c r="C84" s="40"/>
      <c r="D84" s="37" t="s">
        <v>65</v>
      </c>
      <c r="E84" s="21">
        <f t="shared" si="0"/>
        <v>1145322.25</v>
      </c>
      <c r="F84" s="22"/>
      <c r="G84" s="2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86" t="s">
        <v>66</v>
      </c>
      <c r="B85" s="37">
        <v>2338</v>
      </c>
      <c r="C85" s="40"/>
      <c r="D85" s="37" t="s">
        <v>65</v>
      </c>
      <c r="E85" s="21">
        <f t="shared" si="0"/>
        <v>1142984.25</v>
      </c>
      <c r="F85" s="22"/>
      <c r="G85" s="2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84">
        <v>45921</v>
      </c>
      <c r="B86" s="19">
        <v>2200</v>
      </c>
      <c r="C86" s="87"/>
      <c r="D86" s="83" t="s">
        <v>65</v>
      </c>
      <c r="E86" s="21">
        <f t="shared" si="0"/>
        <v>1140784.25</v>
      </c>
      <c r="F86" s="22"/>
      <c r="G86" s="2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88">
        <v>45928</v>
      </c>
      <c r="B87" s="19"/>
      <c r="C87" s="30">
        <v>168</v>
      </c>
      <c r="D87" s="48" t="s">
        <v>33</v>
      </c>
      <c r="E87" s="21">
        <f t="shared" si="0"/>
        <v>1140952.25</v>
      </c>
      <c r="F87" s="22"/>
      <c r="G87" s="2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52">
        <v>45931</v>
      </c>
      <c r="B88" s="66"/>
      <c r="C88" s="21">
        <v>2450</v>
      </c>
      <c r="D88" s="48" t="s">
        <v>33</v>
      </c>
      <c r="E88" s="21">
        <f t="shared" si="0"/>
        <v>1143402.25</v>
      </c>
      <c r="F88" s="22"/>
      <c r="G88" s="2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77" t="s">
        <v>67</v>
      </c>
      <c r="B89" s="89">
        <v>116370</v>
      </c>
      <c r="C89" s="71"/>
      <c r="D89" s="83" t="s">
        <v>68</v>
      </c>
      <c r="E89" s="90">
        <f t="shared" si="0"/>
        <v>1027032.25</v>
      </c>
      <c r="F89" s="22"/>
      <c r="G89" s="2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86" t="s">
        <v>69</v>
      </c>
      <c r="B90" s="37">
        <v>19424</v>
      </c>
      <c r="C90" s="40"/>
      <c r="D90" s="37" t="s">
        <v>65</v>
      </c>
      <c r="E90" s="90">
        <f t="shared" si="0"/>
        <v>1007608.25</v>
      </c>
      <c r="F90" s="22"/>
      <c r="G90" s="2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74" t="s">
        <v>70</v>
      </c>
      <c r="B91" s="66"/>
      <c r="C91" s="21">
        <v>60000</v>
      </c>
      <c r="D91" s="48" t="s">
        <v>71</v>
      </c>
      <c r="E91" s="90">
        <f t="shared" si="0"/>
        <v>1067608.25</v>
      </c>
      <c r="F91" s="22"/>
      <c r="G91" s="2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52">
        <v>45939</v>
      </c>
      <c r="B92" s="91"/>
      <c r="C92" s="21">
        <v>685</v>
      </c>
      <c r="D92" s="48" t="s">
        <v>71</v>
      </c>
      <c r="E92" s="90">
        <f t="shared" si="0"/>
        <v>1068293.25</v>
      </c>
      <c r="F92" s="22"/>
      <c r="G92" s="2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6">
        <v>45946</v>
      </c>
      <c r="B93" s="19"/>
      <c r="C93" s="71">
        <v>100</v>
      </c>
      <c r="D93" s="48" t="s">
        <v>71</v>
      </c>
      <c r="E93" s="90">
        <f t="shared" si="0"/>
        <v>1068393.25</v>
      </c>
      <c r="F93" s="22"/>
      <c r="G93" s="2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86" t="s">
        <v>72</v>
      </c>
      <c r="B94" s="19"/>
      <c r="C94" s="71">
        <v>1100</v>
      </c>
      <c r="D94" s="48" t="s">
        <v>71</v>
      </c>
      <c r="E94" s="90">
        <f t="shared" si="0"/>
        <v>1069493.25</v>
      </c>
      <c r="F94" s="24"/>
      <c r="G94" s="24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52">
        <v>45949</v>
      </c>
      <c r="B95" s="37">
        <v>40061.5</v>
      </c>
      <c r="C95" s="21"/>
      <c r="D95" s="83" t="s">
        <v>65</v>
      </c>
      <c r="E95" s="90">
        <f t="shared" si="0"/>
        <v>1029431.75</v>
      </c>
      <c r="F95" s="24"/>
      <c r="G95" s="24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52">
        <v>45949</v>
      </c>
      <c r="B96" s="19"/>
      <c r="C96" s="71">
        <v>15051</v>
      </c>
      <c r="D96" s="48" t="s">
        <v>71</v>
      </c>
      <c r="E96" s="90">
        <f t="shared" si="0"/>
        <v>1044482.75</v>
      </c>
      <c r="F96" s="24"/>
      <c r="G96" s="24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86" t="s">
        <v>73</v>
      </c>
      <c r="B97" s="19"/>
      <c r="C97" s="71">
        <v>10000</v>
      </c>
      <c r="D97" s="48" t="s">
        <v>71</v>
      </c>
      <c r="E97" s="90">
        <f t="shared" si="0"/>
        <v>1054482.75</v>
      </c>
      <c r="F97" s="22"/>
      <c r="G97" s="2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86" t="s">
        <v>74</v>
      </c>
      <c r="B98" s="40"/>
      <c r="C98" s="37">
        <v>55279</v>
      </c>
      <c r="D98" s="42" t="s">
        <v>33</v>
      </c>
      <c r="E98" s="90">
        <f t="shared" si="0"/>
        <v>1109761.75</v>
      </c>
      <c r="F98" s="22"/>
      <c r="G98" s="2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86" t="s">
        <v>74</v>
      </c>
      <c r="B99" s="37">
        <v>5279</v>
      </c>
      <c r="C99" s="40"/>
      <c r="D99" s="37" t="s">
        <v>75</v>
      </c>
      <c r="E99" s="90">
        <f t="shared" si="0"/>
        <v>1104482.75</v>
      </c>
      <c r="F99" s="22"/>
      <c r="G99" s="2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86" t="s">
        <v>74</v>
      </c>
      <c r="B100" s="40"/>
      <c r="C100" s="37">
        <v>11060</v>
      </c>
      <c r="D100" s="42" t="s">
        <v>33</v>
      </c>
      <c r="E100" s="90">
        <f t="shared" si="0"/>
        <v>1115542.75</v>
      </c>
      <c r="F100" s="22"/>
      <c r="G100" s="2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86" t="s">
        <v>74</v>
      </c>
      <c r="B101" s="37">
        <v>11060</v>
      </c>
      <c r="C101" s="40"/>
      <c r="D101" s="37" t="s">
        <v>76</v>
      </c>
      <c r="E101" s="90">
        <f t="shared" si="0"/>
        <v>1104482.75</v>
      </c>
      <c r="F101" s="22"/>
      <c r="G101" s="2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84">
        <v>45958</v>
      </c>
      <c r="B102" s="19"/>
      <c r="C102" s="71">
        <v>1000</v>
      </c>
      <c r="D102" s="48" t="s">
        <v>71</v>
      </c>
      <c r="E102" s="90">
        <f t="shared" si="0"/>
        <v>1105482.75</v>
      </c>
      <c r="F102" s="22"/>
      <c r="G102" s="2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52">
        <v>45960</v>
      </c>
      <c r="B103" s="75"/>
      <c r="C103" s="21">
        <v>1500</v>
      </c>
      <c r="D103" s="48" t="s">
        <v>71</v>
      </c>
      <c r="E103" s="90">
        <f t="shared" si="0"/>
        <v>1106982.75</v>
      </c>
      <c r="F103" s="22"/>
      <c r="G103" s="2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84">
        <v>45963</v>
      </c>
      <c r="B104" s="19"/>
      <c r="C104" s="71">
        <v>500</v>
      </c>
      <c r="D104" s="48" t="s">
        <v>71</v>
      </c>
      <c r="E104" s="90">
        <f t="shared" si="0"/>
        <v>1107482.75</v>
      </c>
      <c r="F104" s="24"/>
      <c r="G104" s="24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84"/>
      <c r="B105" s="19"/>
      <c r="C105" s="92"/>
      <c r="D105" s="48"/>
      <c r="E105" s="90">
        <f t="shared" si="0"/>
        <v>1107482.75</v>
      </c>
      <c r="F105" s="24"/>
      <c r="G105" s="24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77" t="s">
        <v>77</v>
      </c>
      <c r="B106" s="19"/>
      <c r="C106" s="71">
        <v>729000</v>
      </c>
      <c r="D106" s="48" t="s">
        <v>78</v>
      </c>
      <c r="E106" s="90">
        <f t="shared" si="0"/>
        <v>1836482.75</v>
      </c>
      <c r="F106" s="24"/>
      <c r="G106" s="24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84">
        <v>45972</v>
      </c>
      <c r="B107" s="19">
        <v>2500</v>
      </c>
      <c r="C107" s="71"/>
      <c r="D107" s="83" t="s">
        <v>79</v>
      </c>
      <c r="E107" s="90">
        <f t="shared" si="0"/>
        <v>1833982.75</v>
      </c>
      <c r="F107" s="24"/>
      <c r="G107" s="24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84">
        <v>45974</v>
      </c>
      <c r="B108" s="19"/>
      <c r="C108" s="71">
        <v>1195</v>
      </c>
      <c r="D108" s="48" t="s">
        <v>31</v>
      </c>
      <c r="E108" s="90">
        <f t="shared" si="0"/>
        <v>1835177.75</v>
      </c>
      <c r="F108" s="22"/>
      <c r="G108" s="2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84">
        <v>45974</v>
      </c>
      <c r="B109" s="19">
        <v>100000</v>
      </c>
      <c r="C109" s="71"/>
      <c r="D109" s="83" t="s">
        <v>80</v>
      </c>
      <c r="E109" s="90">
        <f t="shared" si="0"/>
        <v>1735177.75</v>
      </c>
      <c r="F109" s="22"/>
      <c r="G109" s="2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70" t="s">
        <v>81</v>
      </c>
      <c r="B110" s="19">
        <v>53000</v>
      </c>
      <c r="C110" s="71"/>
      <c r="D110" s="83" t="s">
        <v>68</v>
      </c>
      <c r="E110" s="90">
        <f t="shared" si="0"/>
        <v>1682177.75</v>
      </c>
      <c r="F110" s="22"/>
      <c r="G110" s="2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77" t="s">
        <v>82</v>
      </c>
      <c r="B111" s="19">
        <v>250000</v>
      </c>
      <c r="C111" s="71"/>
      <c r="D111" s="83" t="s">
        <v>83</v>
      </c>
      <c r="E111" s="90">
        <f t="shared" si="0"/>
        <v>1432177.75</v>
      </c>
      <c r="F111" s="22"/>
      <c r="G111" s="2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85" t="s">
        <v>82</v>
      </c>
      <c r="B112" s="37">
        <v>1105</v>
      </c>
      <c r="C112" s="40"/>
      <c r="D112" s="37" t="s">
        <v>84</v>
      </c>
      <c r="E112" s="90">
        <f t="shared" si="0"/>
        <v>1431072.75</v>
      </c>
      <c r="F112" s="22"/>
      <c r="G112" s="2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85" t="s">
        <v>82</v>
      </c>
      <c r="B113" s="37">
        <v>4164</v>
      </c>
      <c r="C113" s="40"/>
      <c r="D113" s="37" t="s">
        <v>84</v>
      </c>
      <c r="E113" s="90">
        <f t="shared" si="0"/>
        <v>1426908.75</v>
      </c>
      <c r="F113" s="22"/>
      <c r="G113" s="2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88">
        <v>45986</v>
      </c>
      <c r="B114" s="93">
        <v>211868</v>
      </c>
      <c r="C114" s="71"/>
      <c r="D114" s="30" t="s">
        <v>80</v>
      </c>
      <c r="E114" s="90">
        <f t="shared" si="0"/>
        <v>1215040.75</v>
      </c>
      <c r="F114" s="22"/>
      <c r="G114" s="2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70" t="s">
        <v>85</v>
      </c>
      <c r="B115" s="91"/>
      <c r="C115" s="71">
        <v>5500</v>
      </c>
      <c r="D115" s="13" t="s">
        <v>17</v>
      </c>
      <c r="E115" s="90">
        <f t="shared" si="0"/>
        <v>1220540.75</v>
      </c>
      <c r="F115" s="22"/>
      <c r="G115" s="2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85">
        <v>45990</v>
      </c>
      <c r="B116" s="37"/>
      <c r="C116" s="37">
        <v>13155</v>
      </c>
      <c r="D116" s="13" t="s">
        <v>17</v>
      </c>
      <c r="E116" s="90">
        <f t="shared" si="0"/>
        <v>1233695.75</v>
      </c>
      <c r="F116" s="22"/>
      <c r="G116" s="2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86" t="s">
        <v>86</v>
      </c>
      <c r="B117" s="37">
        <v>45185</v>
      </c>
      <c r="C117" s="37"/>
      <c r="D117" s="30" t="s">
        <v>17</v>
      </c>
      <c r="E117" s="90">
        <f t="shared" si="0"/>
        <v>1188510.75</v>
      </c>
      <c r="F117" s="22"/>
      <c r="G117" s="2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86" t="s">
        <v>86</v>
      </c>
      <c r="B118" s="91"/>
      <c r="C118" s="37">
        <v>100000</v>
      </c>
      <c r="D118" s="13" t="s">
        <v>42</v>
      </c>
      <c r="E118" s="90">
        <f t="shared" si="0"/>
        <v>1288510.75</v>
      </c>
      <c r="F118" s="22"/>
      <c r="G118" s="2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84">
        <v>45998</v>
      </c>
      <c r="B119" s="91"/>
      <c r="C119" s="71">
        <v>94700</v>
      </c>
      <c r="D119" s="13" t="s">
        <v>17</v>
      </c>
      <c r="E119" s="90">
        <f t="shared" si="0"/>
        <v>1383210.75</v>
      </c>
      <c r="F119" s="22"/>
      <c r="G119" s="2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84">
        <v>45998</v>
      </c>
      <c r="B120" s="91"/>
      <c r="C120" s="71">
        <v>10000</v>
      </c>
      <c r="D120" s="13" t="s">
        <v>87</v>
      </c>
      <c r="E120" s="90">
        <f t="shared" si="0"/>
        <v>1393210.75</v>
      </c>
      <c r="F120" s="22"/>
      <c r="G120" s="2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85" t="s">
        <v>88</v>
      </c>
      <c r="B121" s="40"/>
      <c r="C121" s="37">
        <v>20000</v>
      </c>
      <c r="D121" s="42" t="s">
        <v>71</v>
      </c>
      <c r="E121" s="90">
        <f t="shared" si="0"/>
        <v>1413210.75</v>
      </c>
      <c r="F121" s="22"/>
      <c r="G121" s="2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88">
        <v>46023</v>
      </c>
      <c r="B122" s="19"/>
      <c r="C122" s="71">
        <v>100000</v>
      </c>
      <c r="D122" s="13" t="s">
        <v>42</v>
      </c>
      <c r="E122" s="90">
        <f t="shared" si="0"/>
        <v>1513210.75</v>
      </c>
      <c r="F122" s="22"/>
      <c r="G122" s="2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88">
        <v>46040</v>
      </c>
      <c r="B123" s="19">
        <v>60339</v>
      </c>
      <c r="C123" s="71"/>
      <c r="D123" s="30" t="s">
        <v>80</v>
      </c>
      <c r="E123" s="90">
        <f t="shared" si="0"/>
        <v>1452871.75</v>
      </c>
      <c r="F123" s="22"/>
      <c r="G123" s="2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88">
        <v>46054</v>
      </c>
      <c r="B124" s="91"/>
      <c r="C124" s="71">
        <v>100000</v>
      </c>
      <c r="D124" s="13" t="s">
        <v>42</v>
      </c>
      <c r="E124" s="90">
        <f t="shared" si="0"/>
        <v>1552871.75</v>
      </c>
      <c r="F124" s="22"/>
      <c r="G124" s="2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88">
        <v>46054</v>
      </c>
      <c r="B125" s="91"/>
      <c r="C125" s="37">
        <f>60510+14800+5000</f>
        <v>80310</v>
      </c>
      <c r="D125" s="42" t="s">
        <v>71</v>
      </c>
      <c r="E125" s="90">
        <f t="shared" si="0"/>
        <v>1633181.75</v>
      </c>
      <c r="F125" s="22"/>
      <c r="G125" s="2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88">
        <v>46055</v>
      </c>
      <c r="B126" s="91"/>
      <c r="C126" s="71">
        <v>41000</v>
      </c>
      <c r="D126" s="42" t="s">
        <v>71</v>
      </c>
      <c r="E126" s="90">
        <f t="shared" si="0"/>
        <v>1674181.75</v>
      </c>
      <c r="F126" s="22"/>
      <c r="G126" s="2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88">
        <v>46056</v>
      </c>
      <c r="B127" s="19">
        <v>1000</v>
      </c>
      <c r="C127" s="71"/>
      <c r="D127" s="30" t="s">
        <v>80</v>
      </c>
      <c r="E127" s="90">
        <f t="shared" si="0"/>
        <v>1673181.75</v>
      </c>
      <c r="F127" s="22"/>
      <c r="G127" s="2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94">
        <v>46071</v>
      </c>
      <c r="B128" s="30">
        <v>55000</v>
      </c>
      <c r="C128" s="40"/>
      <c r="D128" s="95" t="s">
        <v>89</v>
      </c>
      <c r="E128" s="90">
        <f t="shared" si="0"/>
        <v>1618181.75</v>
      </c>
      <c r="F128" s="22"/>
      <c r="G128" s="2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88">
        <v>46078</v>
      </c>
      <c r="B129" s="19">
        <v>20000</v>
      </c>
      <c r="C129" s="71"/>
      <c r="D129" s="30" t="s">
        <v>90</v>
      </c>
      <c r="E129" s="90">
        <f t="shared" si="0"/>
        <v>1598181.75</v>
      </c>
      <c r="F129" s="22"/>
      <c r="G129" s="2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96">
        <v>46086</v>
      </c>
      <c r="B130" s="97">
        <v>233000</v>
      </c>
      <c r="C130" s="40"/>
      <c r="D130" s="97" t="s">
        <v>91</v>
      </c>
      <c r="E130" s="90">
        <f t="shared" si="0"/>
        <v>1365181.75</v>
      </c>
      <c r="F130" s="22"/>
      <c r="G130" s="2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70" t="s">
        <v>92</v>
      </c>
      <c r="B131" s="95">
        <v>55000</v>
      </c>
      <c r="C131" s="71"/>
      <c r="D131" s="95" t="s">
        <v>89</v>
      </c>
      <c r="E131" s="90">
        <f t="shared" si="0"/>
        <v>1310181.75</v>
      </c>
      <c r="F131" s="22"/>
      <c r="G131" s="2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98" t="s">
        <v>92</v>
      </c>
      <c r="B132" s="95">
        <v>55000</v>
      </c>
      <c r="C132" s="40"/>
      <c r="D132" s="95" t="s">
        <v>89</v>
      </c>
      <c r="E132" s="90">
        <f t="shared" si="0"/>
        <v>1255181.75</v>
      </c>
      <c r="F132" s="22"/>
      <c r="G132" s="2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70" t="s">
        <v>93</v>
      </c>
      <c r="B133" s="19"/>
      <c r="C133" s="71">
        <v>100300</v>
      </c>
      <c r="D133" s="61" t="s">
        <v>94</v>
      </c>
      <c r="E133" s="90">
        <f t="shared" si="0"/>
        <v>1355481.75</v>
      </c>
      <c r="F133" s="22"/>
      <c r="G133" s="2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88">
        <v>46138</v>
      </c>
      <c r="B134" s="91"/>
      <c r="C134" s="71">
        <v>5000</v>
      </c>
      <c r="D134" s="61" t="s">
        <v>95</v>
      </c>
      <c r="E134" s="90">
        <f t="shared" si="0"/>
        <v>1360481.75</v>
      </c>
      <c r="F134" s="22"/>
      <c r="G134" s="2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99" t="s">
        <v>96</v>
      </c>
      <c r="B135" s="91"/>
      <c r="C135" s="100">
        <v>92566</v>
      </c>
      <c r="D135" s="40" t="s">
        <v>97</v>
      </c>
      <c r="E135" s="90">
        <f t="shared" si="0"/>
        <v>1453047.75</v>
      </c>
      <c r="F135" s="22"/>
      <c r="G135" s="2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99" t="s">
        <v>96</v>
      </c>
      <c r="B136" s="91"/>
      <c r="C136" s="101">
        <v>22454</v>
      </c>
      <c r="D136" s="40" t="s">
        <v>97</v>
      </c>
      <c r="E136" s="90">
        <f t="shared" si="0"/>
        <v>1475501.75</v>
      </c>
      <c r="F136" s="22"/>
      <c r="G136" s="2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99" t="s">
        <v>98</v>
      </c>
      <c r="B137" s="91"/>
      <c r="C137" s="101">
        <v>12424.800000000001</v>
      </c>
      <c r="D137" s="40" t="s">
        <v>99</v>
      </c>
      <c r="E137" s="90">
        <f t="shared" si="0"/>
        <v>1487926.55</v>
      </c>
      <c r="F137" s="22"/>
      <c r="G137" s="2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99" t="s">
        <v>100</v>
      </c>
      <c r="B138" s="91"/>
      <c r="C138" s="101">
        <v>31062</v>
      </c>
      <c r="D138" s="40" t="s">
        <v>99</v>
      </c>
      <c r="E138" s="90">
        <f t="shared" si="0"/>
        <v>1518988.55</v>
      </c>
      <c r="F138" s="22"/>
      <c r="G138" s="2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99" t="s">
        <v>101</v>
      </c>
      <c r="B139" s="91"/>
      <c r="C139" s="101">
        <v>4896</v>
      </c>
      <c r="D139" s="40" t="s">
        <v>102</v>
      </c>
      <c r="E139" s="90">
        <f t="shared" si="0"/>
        <v>1523884.55</v>
      </c>
      <c r="F139" s="22"/>
      <c r="G139" s="2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99" t="s">
        <v>103</v>
      </c>
      <c r="B140" s="91"/>
      <c r="C140" s="101">
        <v>44080</v>
      </c>
      <c r="D140" s="40" t="s">
        <v>104</v>
      </c>
      <c r="E140" s="90">
        <f t="shared" si="0"/>
        <v>1567964.55</v>
      </c>
      <c r="F140" s="22"/>
      <c r="G140" s="2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99" t="s">
        <v>103</v>
      </c>
      <c r="B141" s="91"/>
      <c r="C141" s="101">
        <v>23000</v>
      </c>
      <c r="D141" s="40" t="s">
        <v>104</v>
      </c>
      <c r="E141" s="90">
        <f t="shared" si="0"/>
        <v>1590964.55</v>
      </c>
      <c r="F141" s="22"/>
      <c r="G141" s="2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99" t="s">
        <v>105</v>
      </c>
      <c r="B142" s="91"/>
      <c r="C142" s="101">
        <v>28025</v>
      </c>
      <c r="D142" s="40" t="s">
        <v>104</v>
      </c>
      <c r="E142" s="90">
        <f t="shared" si="0"/>
        <v>1618989.55</v>
      </c>
      <c r="F142" s="22"/>
      <c r="G142" s="2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99" t="s">
        <v>106</v>
      </c>
      <c r="B143" s="91"/>
      <c r="C143" s="102">
        <v>15605.304</v>
      </c>
      <c r="D143" s="40" t="s">
        <v>107</v>
      </c>
      <c r="E143" s="90">
        <f t="shared" si="0"/>
        <v>1634594.8540000001</v>
      </c>
      <c r="F143" s="22"/>
      <c r="G143" s="2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99" t="s">
        <v>60</v>
      </c>
      <c r="B144" s="91"/>
      <c r="C144" s="102">
        <v>14204.4</v>
      </c>
      <c r="D144" s="40" t="s">
        <v>108</v>
      </c>
      <c r="E144" s="90">
        <f t="shared" si="0"/>
        <v>1648799.254</v>
      </c>
      <c r="F144" s="22"/>
      <c r="G144" s="2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99" t="s">
        <v>60</v>
      </c>
      <c r="B145" s="91"/>
      <c r="C145" s="102">
        <v>14776.74</v>
      </c>
      <c r="D145" s="40" t="s">
        <v>108</v>
      </c>
      <c r="E145" s="90">
        <f t="shared" si="0"/>
        <v>1663575.9939999999</v>
      </c>
      <c r="F145" s="22"/>
      <c r="G145" s="2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99" t="s">
        <v>109</v>
      </c>
      <c r="B146" s="91"/>
      <c r="C146" s="102">
        <v>18939.788</v>
      </c>
      <c r="D146" s="40" t="s">
        <v>110</v>
      </c>
      <c r="E146" s="90">
        <f t="shared" si="0"/>
        <v>1682515.7819999999</v>
      </c>
      <c r="F146" s="22"/>
      <c r="G146" s="2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99" t="s">
        <v>111</v>
      </c>
      <c r="B147" s="91"/>
      <c r="C147" s="102">
        <v>5600</v>
      </c>
      <c r="D147" s="40" t="s">
        <v>112</v>
      </c>
      <c r="E147" s="90">
        <f t="shared" si="0"/>
        <v>1688115.7819999999</v>
      </c>
      <c r="F147" s="22"/>
      <c r="G147" s="2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99" t="s">
        <v>111</v>
      </c>
      <c r="B148" s="91"/>
      <c r="C148" s="102">
        <v>5990</v>
      </c>
      <c r="D148" s="40" t="s">
        <v>112</v>
      </c>
      <c r="E148" s="90">
        <f t="shared" si="0"/>
        <v>1694105.7819999999</v>
      </c>
      <c r="F148" s="22"/>
      <c r="G148" s="2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99" t="s">
        <v>113</v>
      </c>
      <c r="B149" s="91"/>
      <c r="C149" s="102">
        <v>7120</v>
      </c>
      <c r="D149" s="40" t="s">
        <v>112</v>
      </c>
      <c r="E149" s="90">
        <f t="shared" si="0"/>
        <v>1701225.7819999999</v>
      </c>
      <c r="F149" s="22"/>
      <c r="G149" s="2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99" t="s">
        <v>114</v>
      </c>
      <c r="B150" s="91"/>
      <c r="C150" s="102">
        <v>6840</v>
      </c>
      <c r="D150" s="40" t="s">
        <v>115</v>
      </c>
      <c r="E150" s="90">
        <f t="shared" si="0"/>
        <v>1708065.7819999999</v>
      </c>
      <c r="F150" s="22"/>
      <c r="G150" s="2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99" t="s">
        <v>116</v>
      </c>
      <c r="B151" s="91"/>
      <c r="C151" s="102">
        <v>12330</v>
      </c>
      <c r="D151" s="40" t="s">
        <v>117</v>
      </c>
      <c r="E151" s="90">
        <f t="shared" si="0"/>
        <v>1720395.7819999999</v>
      </c>
      <c r="F151" s="22"/>
      <c r="G151" s="2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99" t="s">
        <v>118</v>
      </c>
      <c r="B152" s="91"/>
      <c r="C152" s="102">
        <v>8951.68</v>
      </c>
      <c r="D152" s="40" t="s">
        <v>119</v>
      </c>
      <c r="E152" s="90">
        <f t="shared" si="0"/>
        <v>1729347.4619999998</v>
      </c>
      <c r="F152" s="22"/>
      <c r="G152" s="2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99" t="s">
        <v>120</v>
      </c>
      <c r="B153" s="91"/>
      <c r="C153" s="102">
        <v>7720.45</v>
      </c>
      <c r="D153" s="40" t="s">
        <v>121</v>
      </c>
      <c r="E153" s="90">
        <f t="shared" si="0"/>
        <v>1737067.9119999998</v>
      </c>
      <c r="F153" s="22"/>
      <c r="G153" s="2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99" t="s">
        <v>120</v>
      </c>
      <c r="B154" s="91"/>
      <c r="C154" s="102">
        <v>8572.2000000000007</v>
      </c>
      <c r="D154" s="40" t="s">
        <v>121</v>
      </c>
      <c r="E154" s="90">
        <f t="shared" si="0"/>
        <v>1745640.1119999997</v>
      </c>
      <c r="F154" s="22"/>
      <c r="G154" s="2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99" t="s">
        <v>120</v>
      </c>
      <c r="B155" s="91"/>
      <c r="C155" s="102">
        <v>8400</v>
      </c>
      <c r="D155" s="40" t="s">
        <v>121</v>
      </c>
      <c r="E155" s="90">
        <f t="shared" si="0"/>
        <v>1754040.1119999997</v>
      </c>
      <c r="F155" s="22"/>
      <c r="G155" s="2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99" t="s">
        <v>120</v>
      </c>
      <c r="B156" s="91"/>
      <c r="C156" s="102">
        <v>6720</v>
      </c>
      <c r="D156" s="40" t="s">
        <v>121</v>
      </c>
      <c r="E156" s="90">
        <f t="shared" si="0"/>
        <v>1760760.1119999997</v>
      </c>
      <c r="F156" s="22"/>
      <c r="G156" s="2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99" t="s">
        <v>120</v>
      </c>
      <c r="B157" s="91"/>
      <c r="C157" s="102">
        <v>9237.5020000000004</v>
      </c>
      <c r="D157" s="40" t="s">
        <v>122</v>
      </c>
      <c r="E157" s="90">
        <f t="shared" si="0"/>
        <v>1769997.6139999998</v>
      </c>
      <c r="F157" s="22"/>
      <c r="G157" s="2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99" t="s">
        <v>123</v>
      </c>
      <c r="B158" s="91"/>
      <c r="C158" s="102">
        <v>7219.3519999999999</v>
      </c>
      <c r="D158" s="40" t="s">
        <v>122</v>
      </c>
      <c r="E158" s="90">
        <f t="shared" si="0"/>
        <v>1777216.9659999998</v>
      </c>
      <c r="F158" s="22"/>
      <c r="G158" s="2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99" t="s">
        <v>124</v>
      </c>
      <c r="B159" s="91"/>
      <c r="C159" s="102">
        <v>9254.44</v>
      </c>
      <c r="D159" s="40" t="s">
        <v>121</v>
      </c>
      <c r="E159" s="90">
        <f t="shared" si="0"/>
        <v>1786471.4059999997</v>
      </c>
      <c r="F159" s="22"/>
      <c r="G159" s="2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99" t="s">
        <v>125</v>
      </c>
      <c r="B160" s="91"/>
      <c r="C160" s="102">
        <v>8026.8220000000001</v>
      </c>
      <c r="D160" s="40" t="s">
        <v>122</v>
      </c>
      <c r="E160" s="90">
        <f t="shared" si="0"/>
        <v>1794498.2279999997</v>
      </c>
      <c r="F160" s="22"/>
      <c r="G160" s="2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99" t="s">
        <v>126</v>
      </c>
      <c r="B161" s="91"/>
      <c r="C161" s="102">
        <v>6140.42</v>
      </c>
      <c r="D161" s="40" t="s">
        <v>121</v>
      </c>
      <c r="E161" s="90">
        <f t="shared" si="0"/>
        <v>1800638.6479999996</v>
      </c>
      <c r="F161" s="22"/>
      <c r="G161" s="2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99" t="s">
        <v>127</v>
      </c>
      <c r="B162" s="91"/>
      <c r="C162" s="102">
        <v>20553</v>
      </c>
      <c r="D162" s="40" t="s">
        <v>128</v>
      </c>
      <c r="E162" s="90">
        <f t="shared" si="0"/>
        <v>1821191.6479999996</v>
      </c>
      <c r="F162" s="22"/>
      <c r="G162" s="2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99" t="s">
        <v>127</v>
      </c>
      <c r="B163" s="91"/>
      <c r="C163" s="102">
        <v>46619.91</v>
      </c>
      <c r="D163" s="40" t="s">
        <v>129</v>
      </c>
      <c r="E163" s="90">
        <f t="shared" si="0"/>
        <v>1867811.5579999995</v>
      </c>
      <c r="F163" s="22"/>
      <c r="G163" s="2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99" t="s">
        <v>130</v>
      </c>
      <c r="B164" s="91"/>
      <c r="C164" s="102">
        <v>13625.69</v>
      </c>
      <c r="D164" s="40" t="s">
        <v>131</v>
      </c>
      <c r="E164" s="90">
        <f t="shared" si="0"/>
        <v>1881437.2479999994</v>
      </c>
      <c r="F164" s="22"/>
      <c r="G164" s="2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03">
        <v>46177</v>
      </c>
      <c r="B165" s="91"/>
      <c r="C165" s="102">
        <v>10900</v>
      </c>
      <c r="D165" s="40" t="s">
        <v>132</v>
      </c>
      <c r="E165" s="90">
        <f t="shared" si="0"/>
        <v>1892337.2479999994</v>
      </c>
      <c r="F165" s="22"/>
      <c r="G165" s="2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99" t="s">
        <v>133</v>
      </c>
      <c r="B166" s="91"/>
      <c r="C166" s="104">
        <v>4135.25</v>
      </c>
      <c r="D166" s="40" t="s">
        <v>122</v>
      </c>
      <c r="E166" s="90">
        <f t="shared" si="0"/>
        <v>1896472.4979999994</v>
      </c>
      <c r="F166" s="22"/>
      <c r="G166" s="2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85" t="s">
        <v>134</v>
      </c>
      <c r="B167" s="91"/>
      <c r="C167" s="102">
        <v>18751.993999999999</v>
      </c>
      <c r="D167" s="40" t="s">
        <v>135</v>
      </c>
      <c r="E167" s="90">
        <f t="shared" si="0"/>
        <v>1915224.4919999994</v>
      </c>
      <c r="F167" s="22"/>
      <c r="G167" s="2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88">
        <v>46146</v>
      </c>
      <c r="B168" s="91">
        <v>40000</v>
      </c>
      <c r="C168" s="71"/>
      <c r="D168" s="105" t="s">
        <v>89</v>
      </c>
      <c r="E168" s="90">
        <f t="shared" si="0"/>
        <v>1875224.4919999994</v>
      </c>
      <c r="F168" s="22"/>
      <c r="G168" s="2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88">
        <v>46159</v>
      </c>
      <c r="B169" s="91"/>
      <c r="C169" s="71"/>
      <c r="D169" s="106" t="s">
        <v>136</v>
      </c>
      <c r="E169" s="90">
        <f t="shared" si="0"/>
        <v>1875224.4919999994</v>
      </c>
      <c r="F169" s="22"/>
      <c r="G169" s="2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88">
        <v>46176</v>
      </c>
      <c r="B170" s="91"/>
      <c r="C170" s="71">
        <v>192</v>
      </c>
      <c r="D170" s="105" t="s">
        <v>17</v>
      </c>
      <c r="E170" s="90">
        <f t="shared" si="0"/>
        <v>1875416.4919999994</v>
      </c>
      <c r="F170" s="22"/>
      <c r="G170" s="2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07"/>
      <c r="B171" s="105"/>
      <c r="C171" s="20"/>
      <c r="D171" s="105"/>
      <c r="E171" s="90">
        <f t="shared" si="0"/>
        <v>1875416.4919999994</v>
      </c>
      <c r="F171" s="22"/>
      <c r="G171" s="2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07"/>
      <c r="B172" s="105"/>
      <c r="C172" s="20"/>
      <c r="D172" s="105"/>
      <c r="E172" s="90">
        <f t="shared" si="0"/>
        <v>1875416.4919999994</v>
      </c>
      <c r="F172" s="22"/>
      <c r="G172" s="2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07"/>
      <c r="B173" s="105"/>
      <c r="C173" s="20"/>
      <c r="D173" s="105"/>
      <c r="E173" s="90">
        <f t="shared" si="0"/>
        <v>1875416.4919999994</v>
      </c>
      <c r="F173" s="22"/>
      <c r="G173" s="2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07"/>
      <c r="B174" s="105"/>
      <c r="C174" s="20"/>
      <c r="D174" s="105"/>
      <c r="E174" s="90">
        <f t="shared" si="0"/>
        <v>1875416.4919999994</v>
      </c>
      <c r="F174" s="22"/>
      <c r="G174" s="2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07"/>
      <c r="B175" s="105"/>
      <c r="C175" s="20"/>
      <c r="D175" s="105"/>
      <c r="E175" s="90">
        <f t="shared" si="0"/>
        <v>1875416.4919999994</v>
      </c>
      <c r="F175" s="22"/>
      <c r="G175" s="2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07"/>
      <c r="B176" s="105"/>
      <c r="C176" s="20"/>
      <c r="D176" s="105"/>
      <c r="E176" s="90">
        <f t="shared" si="0"/>
        <v>1875416.4919999994</v>
      </c>
      <c r="F176" s="22"/>
      <c r="G176" s="2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07"/>
      <c r="B177" s="105"/>
      <c r="C177" s="20"/>
      <c r="D177" s="105"/>
      <c r="E177" s="90">
        <f t="shared" si="0"/>
        <v>1875416.4919999994</v>
      </c>
      <c r="F177" s="22"/>
      <c r="G177" s="2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07"/>
      <c r="B178" s="105"/>
      <c r="C178" s="20"/>
      <c r="D178" s="105"/>
      <c r="E178" s="90">
        <f t="shared" si="0"/>
        <v>1875416.4919999994</v>
      </c>
      <c r="F178" s="22"/>
      <c r="G178" s="2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07"/>
      <c r="B179" s="105"/>
      <c r="C179" s="20"/>
      <c r="D179" s="105"/>
      <c r="E179" s="90">
        <f t="shared" si="0"/>
        <v>1875416.4919999994</v>
      </c>
      <c r="F179" s="22"/>
      <c r="G179" s="2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07"/>
      <c r="B180" s="105"/>
      <c r="C180" s="20"/>
      <c r="D180" s="105"/>
      <c r="E180" s="90">
        <f t="shared" si="0"/>
        <v>1875416.4919999994</v>
      </c>
      <c r="F180" s="22"/>
      <c r="G180" s="2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07"/>
      <c r="B181" s="105"/>
      <c r="C181" s="20"/>
      <c r="D181" s="105"/>
      <c r="E181" s="90">
        <f t="shared" si="0"/>
        <v>1875416.4919999994</v>
      </c>
      <c r="F181" s="22"/>
      <c r="G181" s="2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07"/>
      <c r="B182" s="105"/>
      <c r="C182" s="20"/>
      <c r="D182" s="105"/>
      <c r="E182" s="90">
        <f t="shared" si="0"/>
        <v>1875416.4919999994</v>
      </c>
      <c r="F182" s="22"/>
      <c r="G182" s="2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07"/>
      <c r="B183" s="105"/>
      <c r="C183" s="20"/>
      <c r="D183" s="105"/>
      <c r="E183" s="90">
        <f t="shared" si="0"/>
        <v>1875416.4919999994</v>
      </c>
      <c r="F183" s="22"/>
      <c r="G183" s="2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07"/>
      <c r="B184" s="105"/>
      <c r="C184" s="20"/>
      <c r="D184" s="105"/>
      <c r="E184" s="90">
        <f t="shared" si="0"/>
        <v>1875416.4919999994</v>
      </c>
      <c r="F184" s="22"/>
      <c r="G184" s="2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07"/>
      <c r="B185" s="105"/>
      <c r="C185" s="20"/>
      <c r="D185" s="105"/>
      <c r="E185" s="90">
        <f t="shared" si="0"/>
        <v>1875416.4919999994</v>
      </c>
      <c r="F185" s="22"/>
      <c r="G185" s="2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07"/>
      <c r="B186" s="105"/>
      <c r="C186" s="20"/>
      <c r="D186" s="105"/>
      <c r="E186" s="90">
        <f t="shared" si="0"/>
        <v>1875416.4919999994</v>
      </c>
      <c r="F186" s="22"/>
      <c r="G186" s="2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07"/>
      <c r="B187" s="105"/>
      <c r="C187" s="20"/>
      <c r="D187" s="105"/>
      <c r="E187" s="90">
        <f t="shared" si="0"/>
        <v>1875416.4919999994</v>
      </c>
      <c r="F187" s="22"/>
      <c r="G187" s="2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07"/>
      <c r="B188" s="105"/>
      <c r="C188" s="20"/>
      <c r="D188" s="105"/>
      <c r="E188" s="90">
        <f t="shared" si="0"/>
        <v>1875416.4919999994</v>
      </c>
      <c r="F188" s="22"/>
      <c r="G188" s="2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07"/>
      <c r="B189" s="105"/>
      <c r="C189" s="20"/>
      <c r="D189" s="105"/>
      <c r="E189" s="90">
        <f t="shared" si="0"/>
        <v>1875416.4919999994</v>
      </c>
      <c r="F189" s="22"/>
      <c r="G189" s="2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07"/>
      <c r="B190" s="105"/>
      <c r="C190" s="20"/>
      <c r="D190" s="105"/>
      <c r="E190" s="90">
        <f t="shared" si="0"/>
        <v>1875416.4919999994</v>
      </c>
      <c r="F190" s="22"/>
      <c r="G190" s="2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07"/>
      <c r="B191" s="105"/>
      <c r="C191" s="20"/>
      <c r="D191" s="105"/>
      <c r="E191" s="90">
        <f t="shared" si="0"/>
        <v>1875416.4919999994</v>
      </c>
      <c r="F191" s="22"/>
      <c r="G191" s="2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07"/>
      <c r="B192" s="105"/>
      <c r="C192" s="20"/>
      <c r="D192" s="105"/>
      <c r="E192" s="90">
        <f t="shared" si="0"/>
        <v>1875416.4919999994</v>
      </c>
      <c r="F192" s="22"/>
      <c r="G192" s="2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07"/>
      <c r="B193" s="105"/>
      <c r="C193" s="20"/>
      <c r="D193" s="105"/>
      <c r="E193" s="90">
        <f t="shared" si="0"/>
        <v>1875416.4919999994</v>
      </c>
      <c r="F193" s="22"/>
      <c r="G193" s="2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07"/>
      <c r="B194" s="105"/>
      <c r="C194" s="20"/>
      <c r="D194" s="105"/>
      <c r="E194" s="90">
        <f t="shared" si="0"/>
        <v>1875416.4919999994</v>
      </c>
      <c r="F194" s="22"/>
      <c r="G194" s="2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07"/>
      <c r="B195" s="105"/>
      <c r="C195" s="20"/>
      <c r="D195" s="105"/>
      <c r="E195" s="90">
        <f t="shared" si="0"/>
        <v>1875416.4919999994</v>
      </c>
      <c r="F195" s="22"/>
      <c r="G195" s="2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07"/>
      <c r="B196" s="105"/>
      <c r="C196" s="20"/>
      <c r="D196" s="105"/>
      <c r="E196" s="90">
        <f t="shared" si="0"/>
        <v>1875416.4919999994</v>
      </c>
      <c r="F196" s="22"/>
      <c r="G196" s="2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07"/>
      <c r="B197" s="105"/>
      <c r="C197" s="20"/>
      <c r="D197" s="105"/>
      <c r="E197" s="90">
        <f t="shared" si="0"/>
        <v>1875416.4919999994</v>
      </c>
      <c r="F197" s="22"/>
      <c r="G197" s="2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07"/>
      <c r="B198" s="105"/>
      <c r="C198" s="20"/>
      <c r="D198" s="105"/>
      <c r="E198" s="90">
        <f t="shared" si="0"/>
        <v>1875416.4919999994</v>
      </c>
      <c r="F198" s="22"/>
      <c r="G198" s="2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07"/>
      <c r="B199" s="105"/>
      <c r="C199" s="20"/>
      <c r="D199" s="105"/>
      <c r="E199" s="90">
        <f t="shared" si="0"/>
        <v>1875416.4919999994</v>
      </c>
      <c r="F199" s="22"/>
      <c r="G199" s="2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07"/>
      <c r="B200" s="105"/>
      <c r="C200" s="20"/>
      <c r="D200" s="105"/>
      <c r="E200" s="90">
        <f t="shared" si="0"/>
        <v>1875416.4919999994</v>
      </c>
      <c r="F200" s="22"/>
      <c r="G200" s="2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07"/>
      <c r="B201" s="105"/>
      <c r="C201" s="20"/>
      <c r="D201" s="105"/>
      <c r="E201" s="90">
        <f t="shared" si="0"/>
        <v>1875416.4919999994</v>
      </c>
      <c r="F201" s="22"/>
      <c r="G201" s="2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07"/>
      <c r="B202" s="105"/>
      <c r="C202" s="20"/>
      <c r="D202" s="105"/>
      <c r="E202" s="90">
        <f t="shared" si="0"/>
        <v>1875416.4919999994</v>
      </c>
      <c r="F202" s="22"/>
      <c r="G202" s="2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07"/>
      <c r="B203" s="105"/>
      <c r="C203" s="20"/>
      <c r="D203" s="105"/>
      <c r="E203" s="90">
        <f t="shared" si="0"/>
        <v>1875416.4919999994</v>
      </c>
      <c r="F203" s="22"/>
      <c r="G203" s="2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07"/>
      <c r="B204" s="105"/>
      <c r="C204" s="20"/>
      <c r="D204" s="105"/>
      <c r="E204" s="90">
        <f t="shared" si="0"/>
        <v>1875416.4919999994</v>
      </c>
      <c r="F204" s="22"/>
      <c r="G204" s="2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07"/>
      <c r="B205" s="105"/>
      <c r="C205" s="20"/>
      <c r="D205" s="105"/>
      <c r="E205" s="90">
        <f t="shared" si="0"/>
        <v>1875416.4919999994</v>
      </c>
      <c r="F205" s="22"/>
      <c r="G205" s="2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07"/>
      <c r="B206" s="105"/>
      <c r="C206" s="20"/>
      <c r="D206" s="105"/>
      <c r="E206" s="90">
        <f t="shared" si="0"/>
        <v>1875416.4919999994</v>
      </c>
      <c r="F206" s="22"/>
      <c r="G206" s="2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07"/>
      <c r="B207" s="105"/>
      <c r="C207" s="20"/>
      <c r="D207" s="105"/>
      <c r="E207" s="90">
        <f t="shared" si="0"/>
        <v>1875416.4919999994</v>
      </c>
      <c r="F207" s="22"/>
      <c r="G207" s="2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07"/>
      <c r="B208" s="105"/>
      <c r="C208" s="20"/>
      <c r="D208" s="105"/>
      <c r="E208" s="90">
        <f t="shared" si="0"/>
        <v>1875416.4919999994</v>
      </c>
      <c r="F208" s="22"/>
      <c r="G208" s="2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07"/>
      <c r="B209" s="105"/>
      <c r="C209" s="20"/>
      <c r="D209" s="105"/>
      <c r="E209" s="90">
        <f t="shared" si="0"/>
        <v>1875416.4919999994</v>
      </c>
      <c r="F209" s="22"/>
      <c r="G209" s="2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07"/>
      <c r="B210" s="105"/>
      <c r="C210" s="20"/>
      <c r="D210" s="105"/>
      <c r="E210" s="90">
        <f t="shared" si="0"/>
        <v>1875416.4919999994</v>
      </c>
      <c r="F210" s="22"/>
      <c r="G210" s="2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07"/>
      <c r="B211" s="105"/>
      <c r="C211" s="20"/>
      <c r="D211" s="105"/>
      <c r="E211" s="90">
        <f t="shared" si="0"/>
        <v>1875416.4919999994</v>
      </c>
      <c r="F211" s="22"/>
      <c r="G211" s="2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07"/>
      <c r="B212" s="105"/>
      <c r="C212" s="20"/>
      <c r="D212" s="105"/>
      <c r="E212" s="90">
        <f t="shared" si="0"/>
        <v>1875416.4919999994</v>
      </c>
      <c r="F212" s="22"/>
      <c r="G212" s="2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07"/>
      <c r="B213" s="105"/>
      <c r="C213" s="20"/>
      <c r="D213" s="105"/>
      <c r="E213" s="90">
        <f t="shared" si="0"/>
        <v>1875416.4919999994</v>
      </c>
      <c r="F213" s="22"/>
      <c r="G213" s="2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07"/>
      <c r="B214" s="105"/>
      <c r="C214" s="20"/>
      <c r="D214" s="105"/>
      <c r="E214" s="90">
        <f t="shared" si="0"/>
        <v>1875416.4919999994</v>
      </c>
      <c r="F214" s="22"/>
      <c r="G214" s="2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07"/>
      <c r="B215" s="105"/>
      <c r="C215" s="20"/>
      <c r="D215" s="105"/>
      <c r="E215" s="90">
        <f t="shared" si="0"/>
        <v>1875416.4919999994</v>
      </c>
      <c r="F215" s="22"/>
      <c r="G215" s="2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07"/>
      <c r="B216" s="105"/>
      <c r="C216" s="20"/>
      <c r="D216" s="105"/>
      <c r="E216" s="90">
        <f t="shared" si="0"/>
        <v>1875416.4919999994</v>
      </c>
      <c r="F216" s="22"/>
      <c r="G216" s="2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07"/>
      <c r="B217" s="105"/>
      <c r="C217" s="20"/>
      <c r="D217" s="105"/>
      <c r="E217" s="90">
        <f t="shared" si="0"/>
        <v>1875416.4919999994</v>
      </c>
      <c r="F217" s="22"/>
      <c r="G217" s="2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07"/>
      <c r="B218" s="105"/>
      <c r="C218" s="20"/>
      <c r="D218" s="105"/>
      <c r="E218" s="90">
        <f t="shared" si="0"/>
        <v>1875416.4919999994</v>
      </c>
      <c r="F218" s="22"/>
      <c r="G218" s="2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07"/>
      <c r="B219" s="105"/>
      <c r="C219" s="20"/>
      <c r="D219" s="105"/>
      <c r="E219" s="90">
        <f t="shared" si="0"/>
        <v>1875416.4919999994</v>
      </c>
      <c r="F219" s="22"/>
      <c r="G219" s="2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07"/>
      <c r="B220" s="105"/>
      <c r="C220" s="20"/>
      <c r="D220" s="105"/>
      <c r="E220" s="90">
        <f t="shared" si="0"/>
        <v>1875416.4919999994</v>
      </c>
      <c r="F220" s="22"/>
      <c r="G220" s="2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07"/>
      <c r="B221" s="105"/>
      <c r="C221" s="20"/>
      <c r="D221" s="105"/>
      <c r="E221" s="90">
        <f t="shared" si="0"/>
        <v>1875416.4919999994</v>
      </c>
      <c r="F221" s="22"/>
      <c r="G221" s="2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07"/>
      <c r="B222" s="105"/>
      <c r="C222" s="20"/>
      <c r="D222" s="105"/>
      <c r="E222" s="90">
        <f t="shared" si="0"/>
        <v>1875416.4919999994</v>
      </c>
      <c r="F222" s="22"/>
      <c r="G222" s="2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07"/>
      <c r="B223" s="105"/>
      <c r="C223" s="20"/>
      <c r="D223" s="105"/>
      <c r="E223" s="90">
        <f t="shared" si="0"/>
        <v>1875416.4919999994</v>
      </c>
      <c r="F223" s="22"/>
      <c r="G223" s="2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07"/>
      <c r="B224" s="105"/>
      <c r="C224" s="20"/>
      <c r="D224" s="105"/>
      <c r="E224" s="90">
        <f t="shared" si="0"/>
        <v>1875416.4919999994</v>
      </c>
      <c r="F224" s="22"/>
      <c r="G224" s="2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07"/>
      <c r="B225" s="105"/>
      <c r="C225" s="20"/>
      <c r="D225" s="105"/>
      <c r="E225" s="90">
        <f t="shared" si="0"/>
        <v>1875416.4919999994</v>
      </c>
      <c r="F225" s="22"/>
      <c r="G225" s="2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07"/>
      <c r="B226" s="105"/>
      <c r="C226" s="20"/>
      <c r="D226" s="105"/>
      <c r="E226" s="90">
        <f t="shared" si="0"/>
        <v>1875416.4919999994</v>
      </c>
      <c r="F226" s="22"/>
      <c r="G226" s="2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07"/>
      <c r="B227" s="105"/>
      <c r="C227" s="20"/>
      <c r="D227" s="105"/>
      <c r="E227" s="90">
        <f t="shared" si="0"/>
        <v>1875416.4919999994</v>
      </c>
      <c r="F227" s="22"/>
      <c r="G227" s="2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07"/>
      <c r="B228" s="105"/>
      <c r="C228" s="20"/>
      <c r="D228" s="105"/>
      <c r="E228" s="90">
        <f t="shared" si="0"/>
        <v>1875416.4919999994</v>
      </c>
      <c r="F228" s="22"/>
      <c r="G228" s="2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07"/>
      <c r="B229" s="105"/>
      <c r="C229" s="20"/>
      <c r="D229" s="105"/>
      <c r="E229" s="90">
        <f t="shared" si="0"/>
        <v>1875416.4919999994</v>
      </c>
      <c r="F229" s="22"/>
      <c r="G229" s="2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07"/>
      <c r="B230" s="105"/>
      <c r="C230" s="20"/>
      <c r="D230" s="105"/>
      <c r="E230" s="90">
        <f t="shared" si="0"/>
        <v>1875416.4919999994</v>
      </c>
      <c r="F230" s="22"/>
      <c r="G230" s="2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07"/>
      <c r="B231" s="105"/>
      <c r="C231" s="20"/>
      <c r="D231" s="105"/>
      <c r="E231" s="90">
        <f t="shared" si="0"/>
        <v>1875416.4919999994</v>
      </c>
      <c r="F231" s="22"/>
      <c r="G231" s="2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07"/>
      <c r="B232" s="105"/>
      <c r="C232" s="20"/>
      <c r="D232" s="105"/>
      <c r="E232" s="90">
        <f t="shared" si="0"/>
        <v>1875416.4919999994</v>
      </c>
      <c r="F232" s="22"/>
      <c r="G232" s="2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07"/>
      <c r="B233" s="105"/>
      <c r="C233" s="20"/>
      <c r="D233" s="105"/>
      <c r="E233" s="90">
        <f t="shared" si="0"/>
        <v>1875416.4919999994</v>
      </c>
      <c r="F233" s="22"/>
      <c r="G233" s="2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07"/>
      <c r="B234" s="105"/>
      <c r="C234" s="20"/>
      <c r="D234" s="105"/>
      <c r="E234" s="90">
        <f t="shared" si="0"/>
        <v>1875416.4919999994</v>
      </c>
      <c r="F234" s="22"/>
      <c r="G234" s="2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07"/>
      <c r="B235" s="105"/>
      <c r="C235" s="20"/>
      <c r="D235" s="105"/>
      <c r="E235" s="90">
        <f t="shared" si="0"/>
        <v>1875416.4919999994</v>
      </c>
      <c r="F235" s="22"/>
      <c r="G235" s="2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07"/>
      <c r="B236" s="105"/>
      <c r="C236" s="20"/>
      <c r="D236" s="105"/>
      <c r="E236" s="90">
        <f t="shared" si="0"/>
        <v>1875416.4919999994</v>
      </c>
      <c r="F236" s="22"/>
      <c r="G236" s="2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07"/>
      <c r="B237" s="105"/>
      <c r="C237" s="20"/>
      <c r="D237" s="105"/>
      <c r="E237" s="90">
        <f t="shared" si="0"/>
        <v>1875416.4919999994</v>
      </c>
      <c r="F237" s="22"/>
      <c r="G237" s="2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07"/>
      <c r="B238" s="105"/>
      <c r="C238" s="20"/>
      <c r="D238" s="105"/>
      <c r="E238" s="90">
        <f t="shared" si="0"/>
        <v>1875416.4919999994</v>
      </c>
      <c r="F238" s="22"/>
      <c r="G238" s="2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07"/>
      <c r="B239" s="105"/>
      <c r="C239" s="20"/>
      <c r="D239" s="105"/>
      <c r="E239" s="90">
        <f t="shared" si="0"/>
        <v>1875416.4919999994</v>
      </c>
      <c r="F239" s="22"/>
      <c r="G239" s="2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07"/>
      <c r="B240" s="105"/>
      <c r="C240" s="20"/>
      <c r="D240" s="105"/>
      <c r="E240" s="90">
        <f t="shared" si="0"/>
        <v>1875416.4919999994</v>
      </c>
      <c r="F240" s="22"/>
      <c r="G240" s="2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07"/>
      <c r="B241" s="105"/>
      <c r="C241" s="20"/>
      <c r="D241" s="105"/>
      <c r="E241" s="90">
        <f t="shared" si="0"/>
        <v>1875416.4919999994</v>
      </c>
      <c r="F241" s="22"/>
      <c r="G241" s="2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07"/>
      <c r="B242" s="105"/>
      <c r="C242" s="20"/>
      <c r="D242" s="105"/>
      <c r="E242" s="90">
        <f t="shared" si="0"/>
        <v>1875416.4919999994</v>
      </c>
      <c r="F242" s="22"/>
      <c r="G242" s="2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07"/>
      <c r="B243" s="105"/>
      <c r="C243" s="20"/>
      <c r="D243" s="105"/>
      <c r="E243" s="90">
        <f t="shared" si="0"/>
        <v>1875416.4919999994</v>
      </c>
      <c r="F243" s="22"/>
      <c r="G243" s="2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07"/>
      <c r="B244" s="105"/>
      <c r="C244" s="20"/>
      <c r="D244" s="105"/>
      <c r="E244" s="90">
        <f t="shared" si="0"/>
        <v>1875416.4919999994</v>
      </c>
      <c r="F244" s="22"/>
      <c r="G244" s="2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07"/>
      <c r="B245" s="105"/>
      <c r="C245" s="20"/>
      <c r="D245" s="105"/>
      <c r="E245" s="90">
        <f t="shared" si="0"/>
        <v>1875416.4919999994</v>
      </c>
      <c r="F245" s="22"/>
      <c r="G245" s="2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07"/>
      <c r="B246" s="105"/>
      <c r="C246" s="20"/>
      <c r="D246" s="105"/>
      <c r="E246" s="90">
        <f t="shared" si="0"/>
        <v>1875416.4919999994</v>
      </c>
      <c r="F246" s="22"/>
      <c r="G246" s="2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07"/>
      <c r="B247" s="105"/>
      <c r="C247" s="20"/>
      <c r="D247" s="105"/>
      <c r="E247" s="90">
        <f t="shared" si="0"/>
        <v>1875416.4919999994</v>
      </c>
      <c r="F247" s="22"/>
      <c r="G247" s="2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07"/>
      <c r="B248" s="105"/>
      <c r="C248" s="20"/>
      <c r="D248" s="105"/>
      <c r="E248" s="90">
        <f t="shared" si="0"/>
        <v>1875416.4919999994</v>
      </c>
      <c r="F248" s="22"/>
      <c r="G248" s="2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07"/>
      <c r="B249" s="105"/>
      <c r="C249" s="20"/>
      <c r="D249" s="105"/>
      <c r="E249" s="90">
        <f t="shared" si="0"/>
        <v>1875416.4919999994</v>
      </c>
      <c r="F249" s="22"/>
      <c r="G249" s="2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07"/>
      <c r="B250" s="105"/>
      <c r="C250" s="20"/>
      <c r="D250" s="105"/>
      <c r="E250" s="90">
        <f t="shared" si="0"/>
        <v>1875416.4919999994</v>
      </c>
      <c r="F250" s="22"/>
      <c r="G250" s="2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07"/>
      <c r="B251" s="105"/>
      <c r="C251" s="20"/>
      <c r="D251" s="105"/>
      <c r="E251" s="90">
        <f t="shared" si="0"/>
        <v>1875416.4919999994</v>
      </c>
      <c r="F251" s="22"/>
      <c r="G251" s="2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07"/>
      <c r="B252" s="105"/>
      <c r="C252" s="20"/>
      <c r="D252" s="105"/>
      <c r="E252" s="90">
        <f t="shared" si="0"/>
        <v>1875416.4919999994</v>
      </c>
      <c r="F252" s="22"/>
      <c r="G252" s="2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07"/>
      <c r="B253" s="105"/>
      <c r="C253" s="20"/>
      <c r="D253" s="105"/>
      <c r="E253" s="90">
        <f t="shared" si="0"/>
        <v>1875416.4919999994</v>
      </c>
      <c r="F253" s="22"/>
      <c r="G253" s="2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07"/>
      <c r="B254" s="105"/>
      <c r="C254" s="20"/>
      <c r="D254" s="105"/>
      <c r="E254" s="90">
        <f t="shared" si="0"/>
        <v>1875416.4919999994</v>
      </c>
      <c r="F254" s="22"/>
      <c r="G254" s="2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07"/>
      <c r="B255" s="105"/>
      <c r="C255" s="20"/>
      <c r="D255" s="105"/>
      <c r="E255" s="90">
        <f t="shared" si="0"/>
        <v>1875416.4919999994</v>
      </c>
      <c r="F255" s="22"/>
      <c r="G255" s="2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07"/>
      <c r="B256" s="105"/>
      <c r="C256" s="20"/>
      <c r="D256" s="105"/>
      <c r="E256" s="90">
        <f t="shared" si="0"/>
        <v>1875416.4919999994</v>
      </c>
      <c r="F256" s="22"/>
      <c r="G256" s="2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107"/>
      <c r="B257" s="105"/>
      <c r="C257" s="20"/>
      <c r="D257" s="105"/>
      <c r="E257" s="90">
        <f t="shared" si="0"/>
        <v>1875416.4919999994</v>
      </c>
      <c r="F257" s="22"/>
      <c r="G257" s="2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107"/>
      <c r="B258" s="105"/>
      <c r="C258" s="20"/>
      <c r="D258" s="105"/>
      <c r="E258" s="90">
        <f t="shared" si="0"/>
        <v>1875416.4919999994</v>
      </c>
      <c r="F258" s="22"/>
      <c r="G258" s="2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107"/>
      <c r="B259" s="105"/>
      <c r="C259" s="20"/>
      <c r="D259" s="105"/>
      <c r="E259" s="90">
        <f t="shared" ref="E259:E266" si="1">E258+C259-B259</f>
        <v>1875416.4919999994</v>
      </c>
      <c r="F259" s="22"/>
      <c r="G259" s="2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107"/>
      <c r="B260" s="105"/>
      <c r="C260" s="20"/>
      <c r="D260" s="105"/>
      <c r="E260" s="90">
        <f t="shared" si="1"/>
        <v>1875416.4919999994</v>
      </c>
      <c r="F260" s="22"/>
      <c r="G260" s="2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108"/>
      <c r="B261" s="105"/>
      <c r="C261" s="20"/>
      <c r="D261" s="105"/>
      <c r="E261" s="90">
        <f t="shared" si="1"/>
        <v>1875416.4919999994</v>
      </c>
      <c r="F261" s="22"/>
      <c r="G261" s="2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108"/>
      <c r="B262" s="105"/>
      <c r="C262" s="20"/>
      <c r="D262" s="105"/>
      <c r="E262" s="90">
        <f t="shared" si="1"/>
        <v>1875416.4919999994</v>
      </c>
      <c r="F262" s="22"/>
      <c r="G262" s="2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108"/>
      <c r="B263" s="105"/>
      <c r="C263" s="20"/>
      <c r="D263" s="105"/>
      <c r="E263" s="90">
        <f t="shared" si="1"/>
        <v>1875416.4919999994</v>
      </c>
      <c r="F263" s="22"/>
      <c r="G263" s="2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108"/>
      <c r="B264" s="105"/>
      <c r="C264" s="20"/>
      <c r="D264" s="105"/>
      <c r="E264" s="90">
        <f t="shared" si="1"/>
        <v>1875416.4919999994</v>
      </c>
      <c r="F264" s="22"/>
      <c r="G264" s="2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108"/>
      <c r="B265" s="105"/>
      <c r="C265" s="20"/>
      <c r="D265" s="105"/>
      <c r="E265" s="90">
        <f t="shared" si="1"/>
        <v>1875416.4919999994</v>
      </c>
      <c r="F265" s="22"/>
      <c r="G265" s="2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108"/>
      <c r="B266" s="105"/>
      <c r="C266" s="20"/>
      <c r="D266" s="105"/>
      <c r="E266" s="90">
        <f t="shared" si="1"/>
        <v>1875416.4919999994</v>
      </c>
      <c r="F266" s="22"/>
      <c r="G266" s="2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Ahmed selim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Elwakkad</cp:lastModifiedBy>
  <dcterms:modified xsi:type="dcterms:W3CDTF">2026-07-18T19:07:32Z</dcterms:modified>
</cp:coreProperties>
</file>