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elw\Downloads\CRM\Marts Accounts\"/>
    </mc:Choice>
  </mc:AlternateContent>
  <xr:revisionPtr revIDLastSave="0" documentId="13_ncr:1_{5DC28EF5-EABC-43F0-BE47-5A6A429757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haled Branch" sheetId="3" r:id="rId1"/>
    <sheet name="January Payroll" sheetId="4" state="hidden" r:id="rId2"/>
    <sheet name="Bank payroll + cash" sheetId="5" state="hidden" r:id="rId3"/>
    <sheet name="Fingerprint" sheetId="6" state="hidden" r:id="rId4"/>
    <sheet name="s" sheetId="7" state="hidden" r:id="rId5"/>
  </sheets>
  <definedNames>
    <definedName name="_xlnm._FilterDatabase" localSheetId="1" hidden="1">'January Payroll'!$A$1:$P$42</definedName>
  </definedNames>
  <calcPr calcId="191029"/>
  <customWorkbookViews>
    <customWorkbookView name="Filter 3" guid="{F5F70DEC-935B-41BF-A3E7-66E06A93391F}" maximized="1" windowWidth="0" windowHeight="0" activeSheetId="0"/>
    <customWorkbookView name="Filter 4" guid="{948C6BCE-4D44-4C81-A7C7-CACF8828CEE7}" maximized="1" windowWidth="0" windowHeight="0" activeSheetId="0"/>
    <customWorkbookView name="Filter 2" guid="{0E85B3D2-404E-4C61-AB00-DBA91AF38601}" maximized="1" windowWidth="0" windowHeight="0" activeSheetId="0"/>
    <customWorkbookView name="Filter 1" guid="{C21002C9-4523-43AC-9C7A-8BBA8291C66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281PMJsHYNZ2GU8qyM93qMD0XyAGk8jIX50FR4EnQOs="/>
    </ext>
  </extLst>
</workbook>
</file>

<file path=xl/calcChain.xml><?xml version="1.0" encoding="utf-8"?>
<calcChain xmlns="http://schemas.openxmlformats.org/spreadsheetml/2006/main">
  <c r="B700" i="7" l="1"/>
  <c r="B699" i="7"/>
  <c r="C685" i="7"/>
  <c r="B682" i="7"/>
  <c r="B658" i="7"/>
  <c r="B655" i="7"/>
  <c r="B650" i="7"/>
  <c r="B639" i="7"/>
  <c r="B636" i="7"/>
  <c r="C622" i="7"/>
  <c r="B612" i="7"/>
  <c r="B611" i="7"/>
  <c r="B607" i="7"/>
  <c r="B597" i="7"/>
  <c r="B587" i="7"/>
  <c r="B573" i="7"/>
  <c r="C568" i="7"/>
  <c r="C564" i="7"/>
  <c r="B545" i="7"/>
  <c r="B544" i="7"/>
  <c r="B543" i="7"/>
  <c r="C532" i="7"/>
  <c r="B531" i="7"/>
  <c r="B529" i="7"/>
  <c r="B524" i="7"/>
  <c r="B513" i="7"/>
  <c r="B511" i="7"/>
  <c r="B510" i="7"/>
  <c r="B482" i="7"/>
  <c r="C480" i="7"/>
  <c r="B453" i="7"/>
  <c r="B452" i="7"/>
  <c r="B435" i="7"/>
  <c r="B432" i="7"/>
  <c r="C422" i="7"/>
  <c r="B411" i="7"/>
  <c r="B407" i="7"/>
  <c r="B390" i="7"/>
  <c r="C388" i="7"/>
  <c r="B383" i="7"/>
  <c r="B378" i="7"/>
  <c r="B376" i="7"/>
  <c r="B371" i="7"/>
  <c r="B358" i="7"/>
  <c r="C352" i="7"/>
  <c r="B349" i="7"/>
  <c r="B338" i="7"/>
  <c r="B336" i="7"/>
  <c r="C334" i="7"/>
  <c r="C332" i="7"/>
  <c r="B329" i="7"/>
  <c r="B328" i="7"/>
  <c r="B327" i="7"/>
  <c r="B321" i="7"/>
  <c r="B320" i="7"/>
  <c r="B313" i="7"/>
  <c r="B311" i="7"/>
  <c r="B292" i="7"/>
  <c r="B285" i="7"/>
  <c r="B275" i="7"/>
  <c r="B274" i="7"/>
  <c r="B267" i="7"/>
  <c r="B247" i="7"/>
  <c r="C228" i="7"/>
  <c r="B227" i="7"/>
  <c r="C215" i="7"/>
  <c r="B202" i="7"/>
  <c r="B199" i="7"/>
  <c r="B196" i="7"/>
  <c r="B189" i="7"/>
  <c r="B188" i="7"/>
  <c r="B186" i="7"/>
  <c r="B182" i="7"/>
  <c r="C180" i="7"/>
  <c r="I1" i="7" s="1"/>
  <c r="B174" i="7"/>
  <c r="B161" i="7"/>
  <c r="B159" i="7"/>
  <c r="H1" i="7" s="1"/>
  <c r="B118" i="7"/>
  <c r="B115" i="7"/>
  <c r="B112" i="7"/>
  <c r="C94" i="7"/>
  <c r="E4" i="7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 s="1"/>
  <c r="E212" i="7" s="1"/>
  <c r="E213" i="7" s="1"/>
  <c r="E214" i="7" s="1"/>
  <c r="E215" i="7" s="1"/>
  <c r="E216" i="7" s="1"/>
  <c r="E217" i="7" s="1"/>
  <c r="E218" i="7" s="1"/>
  <c r="E219" i="7" s="1"/>
  <c r="E220" i="7" s="1"/>
  <c r="E221" i="7" s="1"/>
  <c r="E222" i="7" s="1"/>
  <c r="E223" i="7" s="1"/>
  <c r="E224" i="7" s="1"/>
  <c r="E225" i="7" s="1"/>
  <c r="E226" i="7" s="1"/>
  <c r="E227" i="7" s="1"/>
  <c r="E228" i="7" s="1"/>
  <c r="E229" i="7" s="1"/>
  <c r="E230" i="7" s="1"/>
  <c r="E231" i="7" s="1"/>
  <c r="E232" i="7" s="1"/>
  <c r="E233" i="7" s="1"/>
  <c r="E234" i="7" s="1"/>
  <c r="E235" i="7" s="1"/>
  <c r="E236" i="7" s="1"/>
  <c r="E237" i="7" s="1"/>
  <c r="E238" i="7" s="1"/>
  <c r="E239" i="7" s="1"/>
  <c r="E240" i="7" s="1"/>
  <c r="E241" i="7" s="1"/>
  <c r="E242" i="7" s="1"/>
  <c r="E243" i="7" s="1"/>
  <c r="E244" i="7" s="1"/>
  <c r="E245" i="7" s="1"/>
  <c r="E246" i="7" s="1"/>
  <c r="E247" i="7" s="1"/>
  <c r="E248" i="7" s="1"/>
  <c r="E249" i="7" s="1"/>
  <c r="E250" i="7" s="1"/>
  <c r="E251" i="7" s="1"/>
  <c r="E252" i="7" s="1"/>
  <c r="E253" i="7" s="1"/>
  <c r="E254" i="7" s="1"/>
  <c r="E255" i="7" s="1"/>
  <c r="E256" i="7" s="1"/>
  <c r="E257" i="7" s="1"/>
  <c r="E258" i="7" s="1"/>
  <c r="E259" i="7" s="1"/>
  <c r="E260" i="7" s="1"/>
  <c r="E261" i="7" s="1"/>
  <c r="E262" i="7" s="1"/>
  <c r="E263" i="7" s="1"/>
  <c r="E264" i="7" s="1"/>
  <c r="E265" i="7" s="1"/>
  <c r="E266" i="7" s="1"/>
  <c r="E267" i="7" s="1"/>
  <c r="E268" i="7" s="1"/>
  <c r="E269" i="7" s="1"/>
  <c r="E270" i="7" s="1"/>
  <c r="E271" i="7" s="1"/>
  <c r="E272" i="7" s="1"/>
  <c r="E273" i="7" s="1"/>
  <c r="E274" i="7" s="1"/>
  <c r="E275" i="7" s="1"/>
  <c r="E276" i="7" s="1"/>
  <c r="E277" i="7" s="1"/>
  <c r="E278" i="7" s="1"/>
  <c r="E279" i="7" s="1"/>
  <c r="E280" i="7" s="1"/>
  <c r="E281" i="7" s="1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306" i="7" s="1"/>
  <c r="E307" i="7" s="1"/>
  <c r="E308" i="7" s="1"/>
  <c r="E309" i="7" s="1"/>
  <c r="E310" i="7" s="1"/>
  <c r="E311" i="7" s="1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36" i="7" s="1"/>
  <c r="E337" i="7" s="1"/>
  <c r="E338" i="7" s="1"/>
  <c r="E339" i="7" s="1"/>
  <c r="E340" i="7" s="1"/>
  <c r="E341" i="7" s="1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67" i="7" s="1"/>
  <c r="E368" i="7" s="1"/>
  <c r="E369" i="7" s="1"/>
  <c r="E370" i="7" s="1"/>
  <c r="E371" i="7" s="1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 s="1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 s="1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 s="1"/>
  <c r="E417" i="7" s="1"/>
  <c r="E418" i="7" s="1"/>
  <c r="E419" i="7" s="1"/>
  <c r="E420" i="7" s="1"/>
  <c r="E421" i="7" s="1"/>
  <c r="E422" i="7" s="1"/>
  <c r="E423" i="7" s="1"/>
  <c r="E424" i="7" s="1"/>
  <c r="E425" i="7" s="1"/>
  <c r="E426" i="7" s="1"/>
  <c r="E427" i="7" s="1"/>
  <c r="E428" i="7" s="1"/>
  <c r="E429" i="7" s="1"/>
  <c r="E430" i="7" s="1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 s="1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 s="1"/>
  <c r="E457" i="7" s="1"/>
  <c r="E458" i="7" s="1"/>
  <c r="E459" i="7" s="1"/>
  <c r="E460" i="7" s="1"/>
  <c r="E461" i="7" s="1"/>
  <c r="E462" i="7" s="1"/>
  <c r="E463" i="7" s="1"/>
  <c r="E464" i="7" s="1"/>
  <c r="E465" i="7" s="1"/>
  <c r="E466" i="7" s="1"/>
  <c r="E467" i="7" s="1"/>
  <c r="E468" i="7" s="1"/>
  <c r="E469" i="7" s="1"/>
  <c r="E470" i="7" s="1"/>
  <c r="E471" i="7" s="1"/>
  <c r="E472" i="7" s="1"/>
  <c r="E473" i="7" s="1"/>
  <c r="E474" i="7" s="1"/>
  <c r="E475" i="7" s="1"/>
  <c r="E476" i="7" s="1"/>
  <c r="E477" i="7" s="1"/>
  <c r="E478" i="7" s="1"/>
  <c r="E479" i="7" s="1"/>
  <c r="E480" i="7" s="1"/>
  <c r="E481" i="7" s="1"/>
  <c r="E482" i="7" s="1"/>
  <c r="E483" i="7" s="1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 s="1"/>
  <c r="E505" i="7" s="1"/>
  <c r="E506" i="7" s="1"/>
  <c r="E507" i="7" s="1"/>
  <c r="E508" i="7" s="1"/>
  <c r="E509" i="7" s="1"/>
  <c r="E510" i="7" s="1"/>
  <c r="E511" i="7" s="1"/>
  <c r="E512" i="7" s="1"/>
  <c r="E513" i="7" s="1"/>
  <c r="E514" i="7" s="1"/>
  <c r="E515" i="7" s="1"/>
  <c r="E516" i="7" s="1"/>
  <c r="E517" i="7" s="1"/>
  <c r="E518" i="7" s="1"/>
  <c r="E519" i="7" s="1"/>
  <c r="E520" i="7" s="1"/>
  <c r="E521" i="7" s="1"/>
  <c r="E522" i="7" s="1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 s="1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 s="1"/>
  <c r="E546" i="7" s="1"/>
  <c r="E547" i="7" s="1"/>
  <c r="E548" i="7" s="1"/>
  <c r="E549" i="7" s="1"/>
  <c r="E550" i="7" s="1"/>
  <c r="E551" i="7" s="1"/>
  <c r="E552" i="7" s="1"/>
  <c r="E553" i="7" s="1"/>
  <c r="E554" i="7" s="1"/>
  <c r="E555" i="7" s="1"/>
  <c r="E556" i="7" s="1"/>
  <c r="E557" i="7" s="1"/>
  <c r="E558" i="7" s="1"/>
  <c r="E559" i="7" s="1"/>
  <c r="E560" i="7" s="1"/>
  <c r="E561" i="7" s="1"/>
  <c r="E562" i="7" s="1"/>
  <c r="E563" i="7" s="1"/>
  <c r="E564" i="7" s="1"/>
  <c r="E565" i="7" s="1"/>
  <c r="E566" i="7" s="1"/>
  <c r="E567" i="7" s="1"/>
  <c r="E568" i="7" s="1"/>
  <c r="E569" i="7" s="1"/>
  <c r="E570" i="7" s="1"/>
  <c r="E571" i="7" s="1"/>
  <c r="E572" i="7" s="1"/>
  <c r="E573" i="7" s="1"/>
  <c r="E574" i="7" s="1"/>
  <c r="E575" i="7" s="1"/>
  <c r="E576" i="7" s="1"/>
  <c r="E577" i="7" s="1"/>
  <c r="E578" i="7" s="1"/>
  <c r="E579" i="7" s="1"/>
  <c r="E580" i="7" s="1"/>
  <c r="E581" i="7" s="1"/>
  <c r="E582" i="7" s="1"/>
  <c r="E583" i="7" s="1"/>
  <c r="E584" i="7" s="1"/>
  <c r="E585" i="7" s="1"/>
  <c r="E586" i="7" s="1"/>
  <c r="E587" i="7" s="1"/>
  <c r="E588" i="7" s="1"/>
  <c r="E589" i="7" s="1"/>
  <c r="E590" i="7" s="1"/>
  <c r="E591" i="7" s="1"/>
  <c r="E592" i="7" s="1"/>
  <c r="E593" i="7" s="1"/>
  <c r="E594" i="7" s="1"/>
  <c r="E595" i="7" s="1"/>
  <c r="E596" i="7" s="1"/>
  <c r="E597" i="7" s="1"/>
  <c r="E598" i="7" s="1"/>
  <c r="E599" i="7" s="1"/>
  <c r="E600" i="7" s="1"/>
  <c r="E601" i="7" s="1"/>
  <c r="E602" i="7" s="1"/>
  <c r="E603" i="7" s="1"/>
  <c r="E604" i="7" s="1"/>
  <c r="E605" i="7" s="1"/>
  <c r="E606" i="7" s="1"/>
  <c r="E607" i="7" s="1"/>
  <c r="E608" i="7" s="1"/>
  <c r="E609" i="7" s="1"/>
  <c r="E610" i="7" s="1"/>
  <c r="E611" i="7" s="1"/>
  <c r="E612" i="7" s="1"/>
  <c r="E613" i="7" s="1"/>
  <c r="E614" i="7" s="1"/>
  <c r="E615" i="7" s="1"/>
  <c r="E616" i="7" s="1"/>
  <c r="E617" i="7" s="1"/>
  <c r="E618" i="7" s="1"/>
  <c r="E619" i="7" s="1"/>
  <c r="E620" i="7" s="1"/>
  <c r="E621" i="7" s="1"/>
  <c r="E622" i="7" s="1"/>
  <c r="E623" i="7" s="1"/>
  <c r="E624" i="7" s="1"/>
  <c r="E625" i="7" s="1"/>
  <c r="E626" i="7" s="1"/>
  <c r="E627" i="7" s="1"/>
  <c r="E628" i="7" s="1"/>
  <c r="E629" i="7" s="1"/>
  <c r="E630" i="7" s="1"/>
  <c r="E631" i="7" s="1"/>
  <c r="E632" i="7" s="1"/>
  <c r="E633" i="7" s="1"/>
  <c r="E634" i="7" s="1"/>
  <c r="E635" i="7" s="1"/>
  <c r="E636" i="7" s="1"/>
  <c r="E637" i="7" s="1"/>
  <c r="E638" i="7" s="1"/>
  <c r="E639" i="7" s="1"/>
  <c r="E640" i="7" s="1"/>
  <c r="E641" i="7" s="1"/>
  <c r="E642" i="7" s="1"/>
  <c r="E643" i="7" s="1"/>
  <c r="E644" i="7" s="1"/>
  <c r="E645" i="7" s="1"/>
  <c r="E646" i="7" s="1"/>
  <c r="E647" i="7" s="1"/>
  <c r="E648" i="7" s="1"/>
  <c r="E649" i="7" s="1"/>
  <c r="E650" i="7" s="1"/>
  <c r="E651" i="7" s="1"/>
  <c r="E652" i="7" s="1"/>
  <c r="E653" i="7" s="1"/>
  <c r="E654" i="7" s="1"/>
  <c r="E655" i="7" s="1"/>
  <c r="E656" i="7" s="1"/>
  <c r="E657" i="7" s="1"/>
  <c r="E658" i="7" s="1"/>
  <c r="E659" i="7" s="1"/>
  <c r="E660" i="7" s="1"/>
  <c r="E661" i="7" s="1"/>
  <c r="E662" i="7" s="1"/>
  <c r="E663" i="7" s="1"/>
  <c r="E664" i="7" s="1"/>
  <c r="E665" i="7" s="1"/>
  <c r="E666" i="7" s="1"/>
  <c r="E667" i="7" s="1"/>
  <c r="E668" i="7" s="1"/>
  <c r="E669" i="7" s="1"/>
  <c r="E670" i="7" s="1"/>
  <c r="E671" i="7" s="1"/>
  <c r="E672" i="7" s="1"/>
  <c r="E673" i="7" s="1"/>
  <c r="E674" i="7" s="1"/>
  <c r="E675" i="7" s="1"/>
  <c r="E676" i="7" s="1"/>
  <c r="E677" i="7" s="1"/>
  <c r="E678" i="7" s="1"/>
  <c r="E679" i="7" s="1"/>
  <c r="E680" i="7" s="1"/>
  <c r="E681" i="7" s="1"/>
  <c r="E682" i="7" s="1"/>
  <c r="E683" i="7" s="1"/>
  <c r="E684" i="7" s="1"/>
  <c r="E685" i="7" s="1"/>
  <c r="E686" i="7" s="1"/>
  <c r="E687" i="7" s="1"/>
  <c r="E688" i="7" s="1"/>
  <c r="E689" i="7" s="1"/>
  <c r="E690" i="7" s="1"/>
  <c r="E691" i="7" s="1"/>
  <c r="E692" i="7" s="1"/>
  <c r="E693" i="7" s="1"/>
  <c r="E694" i="7" s="1"/>
  <c r="E695" i="7" s="1"/>
  <c r="E696" i="7" s="1"/>
  <c r="E697" i="7" s="1"/>
  <c r="E698" i="7" s="1"/>
  <c r="E699" i="7" s="1"/>
  <c r="E700" i="7" s="1"/>
  <c r="E701" i="7" s="1"/>
  <c r="E702" i="7" s="1"/>
  <c r="E703" i="7" s="1"/>
  <c r="E704" i="7" s="1"/>
  <c r="E705" i="7" s="1"/>
  <c r="E706" i="7" s="1"/>
  <c r="E707" i="7" s="1"/>
  <c r="E708" i="7" s="1"/>
  <c r="E709" i="7" s="1"/>
  <c r="E710" i="7" s="1"/>
  <c r="E711" i="7" s="1"/>
  <c r="E712" i="7" s="1"/>
  <c r="E713" i="7" s="1"/>
  <c r="E714" i="7" s="1"/>
  <c r="E715" i="7" s="1"/>
  <c r="E716" i="7" s="1"/>
  <c r="E717" i="7" s="1"/>
  <c r="E718" i="7" s="1"/>
  <c r="E719" i="7" s="1"/>
  <c r="E720" i="7" s="1"/>
  <c r="E721" i="7" s="1"/>
  <c r="E722" i="7" s="1"/>
  <c r="E723" i="7" s="1"/>
  <c r="E724" i="7" s="1"/>
  <c r="E725" i="7" s="1"/>
  <c r="E726" i="7" s="1"/>
  <c r="E727" i="7" s="1"/>
  <c r="E728" i="7" s="1"/>
  <c r="E729" i="7" s="1"/>
  <c r="E730" i="7" s="1"/>
  <c r="E731" i="7" s="1"/>
  <c r="E732" i="7" s="1"/>
  <c r="E733" i="7" s="1"/>
  <c r="E734" i="7" s="1"/>
  <c r="E735" i="7" s="1"/>
  <c r="E736" i="7" s="1"/>
  <c r="E737" i="7" s="1"/>
  <c r="E738" i="7" s="1"/>
  <c r="E739" i="7" s="1"/>
  <c r="E740" i="7" s="1"/>
  <c r="E741" i="7" s="1"/>
  <c r="E742" i="7" s="1"/>
  <c r="E743" i="7" s="1"/>
  <c r="E744" i="7" s="1"/>
  <c r="E745" i="7" s="1"/>
  <c r="E746" i="7" s="1"/>
  <c r="E747" i="7" s="1"/>
  <c r="E748" i="7" s="1"/>
  <c r="E749" i="7" s="1"/>
  <c r="E750" i="7" s="1"/>
  <c r="E751" i="7" s="1"/>
  <c r="E752" i="7" s="1"/>
  <c r="E753" i="7" s="1"/>
  <c r="E754" i="7" s="1"/>
  <c r="E755" i="7" s="1"/>
  <c r="E756" i="7" s="1"/>
  <c r="E757" i="7" s="1"/>
  <c r="E758" i="7" s="1"/>
  <c r="E759" i="7" s="1"/>
  <c r="E760" i="7" s="1"/>
  <c r="E761" i="7" s="1"/>
  <c r="E762" i="7" s="1"/>
  <c r="E763" i="7" s="1"/>
  <c r="E764" i="7" s="1"/>
  <c r="E765" i="7" s="1"/>
  <c r="E766" i="7" s="1"/>
  <c r="E767" i="7" s="1"/>
  <c r="E768" i="7" s="1"/>
  <c r="E769" i="7" s="1"/>
  <c r="E770" i="7" s="1"/>
  <c r="E771" i="7" s="1"/>
  <c r="E772" i="7" s="1"/>
  <c r="E773" i="7" s="1"/>
  <c r="E774" i="7" s="1"/>
  <c r="E775" i="7" s="1"/>
  <c r="E776" i="7" s="1"/>
  <c r="E777" i="7" s="1"/>
  <c r="E778" i="7" s="1"/>
  <c r="E779" i="7" s="1"/>
  <c r="E780" i="7" s="1"/>
  <c r="E781" i="7" s="1"/>
  <c r="E782" i="7" s="1"/>
  <c r="E783" i="7" s="1"/>
  <c r="E784" i="7" s="1"/>
  <c r="E785" i="7" s="1"/>
  <c r="E786" i="7" s="1"/>
  <c r="E787" i="7" s="1"/>
  <c r="E788" i="7" s="1"/>
  <c r="E789" i="7" s="1"/>
  <c r="E790" i="7" s="1"/>
  <c r="E791" i="7" s="1"/>
  <c r="E792" i="7" s="1"/>
  <c r="E793" i="7" s="1"/>
  <c r="E794" i="7" s="1"/>
  <c r="E795" i="7" s="1"/>
  <c r="E796" i="7" s="1"/>
  <c r="E797" i="7" s="1"/>
  <c r="E798" i="7" s="1"/>
  <c r="E799" i="7" s="1"/>
  <c r="E800" i="7" s="1"/>
  <c r="E801" i="7" s="1"/>
  <c r="E802" i="7" s="1"/>
  <c r="E803" i="7" s="1"/>
  <c r="E804" i="7" s="1"/>
  <c r="E805" i="7" s="1"/>
  <c r="E806" i="7" s="1"/>
  <c r="E807" i="7" s="1"/>
  <c r="E808" i="7" s="1"/>
  <c r="E809" i="7" s="1"/>
  <c r="E810" i="7" s="1"/>
  <c r="E811" i="7" s="1"/>
  <c r="E812" i="7" s="1"/>
  <c r="E813" i="7" s="1"/>
  <c r="E814" i="7" s="1"/>
  <c r="E815" i="7" s="1"/>
  <c r="E816" i="7" s="1"/>
  <c r="E817" i="7" s="1"/>
  <c r="E818" i="7" s="1"/>
  <c r="E819" i="7" s="1"/>
  <c r="E820" i="7" s="1"/>
  <c r="E821" i="7" s="1"/>
  <c r="E822" i="7" s="1"/>
  <c r="E823" i="7" s="1"/>
  <c r="E824" i="7" s="1"/>
  <c r="E825" i="7" s="1"/>
  <c r="E826" i="7" s="1"/>
  <c r="E827" i="7" s="1"/>
  <c r="E828" i="7" s="1"/>
  <c r="E829" i="7" s="1"/>
  <c r="E830" i="7" s="1"/>
  <c r="E831" i="7" s="1"/>
  <c r="E832" i="7" s="1"/>
  <c r="E833" i="7" s="1"/>
  <c r="E834" i="7" s="1"/>
  <c r="E835" i="7" s="1"/>
  <c r="E836" i="7" s="1"/>
  <c r="E837" i="7" s="1"/>
  <c r="E838" i="7" s="1"/>
  <c r="E839" i="7" s="1"/>
  <c r="E840" i="7" s="1"/>
  <c r="E841" i="7" s="1"/>
  <c r="E842" i="7" s="1"/>
  <c r="E843" i="7" s="1"/>
  <c r="E844" i="7" s="1"/>
  <c r="E845" i="7" s="1"/>
  <c r="E846" i="7" s="1"/>
  <c r="E847" i="7" s="1"/>
  <c r="E848" i="7" s="1"/>
  <c r="E849" i="7" s="1"/>
  <c r="E850" i="7" s="1"/>
  <c r="E851" i="7" s="1"/>
  <c r="E852" i="7" s="1"/>
  <c r="E853" i="7" s="1"/>
  <c r="E854" i="7" s="1"/>
  <c r="E855" i="7" s="1"/>
  <c r="E856" i="7" s="1"/>
  <c r="E857" i="7" s="1"/>
  <c r="E858" i="7" s="1"/>
  <c r="E859" i="7" s="1"/>
  <c r="E860" i="7" s="1"/>
  <c r="E861" i="7" s="1"/>
  <c r="E862" i="7" s="1"/>
  <c r="E863" i="7" s="1"/>
  <c r="E864" i="7" s="1"/>
  <c r="E865" i="7" s="1"/>
  <c r="E866" i="7" s="1"/>
  <c r="E867" i="7" s="1"/>
  <c r="E868" i="7" s="1"/>
  <c r="E869" i="7" s="1"/>
  <c r="E870" i="7" s="1"/>
  <c r="E871" i="7" s="1"/>
  <c r="E872" i="7" s="1"/>
  <c r="E873" i="7" s="1"/>
  <c r="E874" i="7" s="1"/>
  <c r="E875" i="7" s="1"/>
  <c r="E876" i="7" s="1"/>
  <c r="E877" i="7" s="1"/>
  <c r="E878" i="7" s="1"/>
  <c r="E879" i="7" s="1"/>
  <c r="E880" i="7" s="1"/>
  <c r="E881" i="7" s="1"/>
  <c r="E882" i="7" s="1"/>
  <c r="E883" i="7" s="1"/>
  <c r="E884" i="7" s="1"/>
  <c r="E885" i="7" s="1"/>
  <c r="E886" i="7" s="1"/>
  <c r="E887" i="7" s="1"/>
  <c r="E888" i="7" s="1"/>
  <c r="E889" i="7" s="1"/>
  <c r="E890" i="7" s="1"/>
  <c r="E891" i="7" s="1"/>
  <c r="E892" i="7" s="1"/>
  <c r="E893" i="7" s="1"/>
  <c r="E894" i="7" s="1"/>
  <c r="E895" i="7" s="1"/>
  <c r="E896" i="7" s="1"/>
  <c r="E897" i="7" s="1"/>
  <c r="E898" i="7" s="1"/>
  <c r="E899" i="7" s="1"/>
  <c r="E900" i="7" s="1"/>
  <c r="E901" i="7" s="1"/>
  <c r="E902" i="7" s="1"/>
  <c r="E903" i="7" s="1"/>
  <c r="E904" i="7" s="1"/>
  <c r="E905" i="7" s="1"/>
  <c r="E906" i="7" s="1"/>
  <c r="E907" i="7" s="1"/>
  <c r="E908" i="7" s="1"/>
  <c r="E909" i="7" s="1"/>
  <c r="E910" i="7" s="1"/>
  <c r="E911" i="7" s="1"/>
  <c r="E912" i="7" s="1"/>
  <c r="E913" i="7" s="1"/>
  <c r="E914" i="7" s="1"/>
  <c r="E915" i="7" s="1"/>
  <c r="E916" i="7" s="1"/>
  <c r="E917" i="7" s="1"/>
  <c r="E918" i="7" s="1"/>
  <c r="E919" i="7" s="1"/>
  <c r="E920" i="7" s="1"/>
  <c r="E921" i="7" s="1"/>
  <c r="E922" i="7" s="1"/>
  <c r="E923" i="7" s="1"/>
  <c r="E924" i="7" s="1"/>
  <c r="E925" i="7" s="1"/>
  <c r="E926" i="7" s="1"/>
  <c r="E927" i="7" s="1"/>
  <c r="E928" i="7" s="1"/>
  <c r="E929" i="7" s="1"/>
  <c r="E930" i="7" s="1"/>
  <c r="E931" i="7" s="1"/>
  <c r="E932" i="7" s="1"/>
  <c r="E933" i="7" s="1"/>
  <c r="E934" i="7" s="1"/>
  <c r="E935" i="7" s="1"/>
  <c r="E936" i="7" s="1"/>
  <c r="E937" i="7" s="1"/>
  <c r="E938" i="7" s="1"/>
  <c r="E939" i="7" s="1"/>
  <c r="E940" i="7" s="1"/>
  <c r="E941" i="7" s="1"/>
  <c r="E942" i="7" s="1"/>
  <c r="E943" i="7" s="1"/>
  <c r="E944" i="7" s="1"/>
  <c r="E945" i="7" s="1"/>
  <c r="E946" i="7" s="1"/>
  <c r="E947" i="7" s="1"/>
  <c r="E948" i="7" s="1"/>
  <c r="E949" i="7" s="1"/>
  <c r="E950" i="7" s="1"/>
  <c r="E951" i="7" s="1"/>
  <c r="E952" i="7" s="1"/>
  <c r="E953" i="7" s="1"/>
  <c r="E954" i="7" s="1"/>
  <c r="E955" i="7" s="1"/>
  <c r="E956" i="7" s="1"/>
  <c r="E957" i="7" s="1"/>
  <c r="E958" i="7" s="1"/>
  <c r="E959" i="7" s="1"/>
  <c r="E960" i="7" s="1"/>
  <c r="E961" i="7" s="1"/>
  <c r="E962" i="7" s="1"/>
  <c r="E963" i="7" s="1"/>
  <c r="E964" i="7" s="1"/>
  <c r="E965" i="7" s="1"/>
  <c r="E966" i="7" s="1"/>
  <c r="E967" i="7" s="1"/>
  <c r="E968" i="7" s="1"/>
  <c r="E969" i="7" s="1"/>
  <c r="E970" i="7" s="1"/>
  <c r="E971" i="7" s="1"/>
  <c r="E972" i="7" s="1"/>
  <c r="E973" i="7" s="1"/>
  <c r="E974" i="7" s="1"/>
  <c r="E975" i="7" s="1"/>
  <c r="E976" i="7" s="1"/>
  <c r="E977" i="7" s="1"/>
  <c r="E978" i="7" s="1"/>
  <c r="E979" i="7" s="1"/>
  <c r="E980" i="7" s="1"/>
  <c r="E981" i="7" s="1"/>
  <c r="E982" i="7" s="1"/>
  <c r="E983" i="7" s="1"/>
  <c r="E984" i="7" s="1"/>
  <c r="E985" i="7" s="1"/>
  <c r="E986" i="7" s="1"/>
  <c r="E987" i="7" s="1"/>
  <c r="E988" i="7" s="1"/>
  <c r="E989" i="7" s="1"/>
  <c r="E990" i="7" s="1"/>
  <c r="E991" i="7" s="1"/>
  <c r="E992" i="7" s="1"/>
  <c r="E993" i="7" s="1"/>
  <c r="E994" i="7" s="1"/>
  <c r="E995" i="7" s="1"/>
  <c r="E996" i="7" s="1"/>
  <c r="E997" i="7" s="1"/>
  <c r="E998" i="7" s="1"/>
  <c r="E999" i="7" s="1"/>
  <c r="E1000" i="7" s="1"/>
  <c r="E1001" i="7" s="1"/>
  <c r="E1002" i="7" s="1"/>
  <c r="E1003" i="7" s="1"/>
  <c r="E1004" i="7" s="1"/>
  <c r="E1005" i="7" s="1"/>
  <c r="E1006" i="7" s="1"/>
  <c r="E1007" i="7" s="1"/>
  <c r="E1008" i="7" s="1"/>
  <c r="E1009" i="7" s="1"/>
  <c r="E1010" i="7" s="1"/>
  <c r="E1011" i="7" s="1"/>
  <c r="E1012" i="7" s="1"/>
  <c r="E1013" i="7" s="1"/>
  <c r="E1014" i="7" s="1"/>
  <c r="E1015" i="7" s="1"/>
  <c r="E1016" i="7" s="1"/>
  <c r="E1017" i="7" s="1"/>
  <c r="E1018" i="7" s="1"/>
  <c r="E1019" i="7" s="1"/>
  <c r="E1020" i="7" s="1"/>
  <c r="E1021" i="7" s="1"/>
  <c r="E1022" i="7" s="1"/>
  <c r="E1023" i="7" s="1"/>
  <c r="E1024" i="7" s="1"/>
  <c r="E1025" i="7" s="1"/>
  <c r="E1026" i="7" s="1"/>
  <c r="E1027" i="7" s="1"/>
  <c r="E1028" i="7" s="1"/>
  <c r="E1029" i="7" s="1"/>
  <c r="E1030" i="7" s="1"/>
  <c r="E1031" i="7" s="1"/>
  <c r="E1032" i="7" s="1"/>
  <c r="E1033" i="7" s="1"/>
  <c r="E1034" i="7" s="1"/>
  <c r="E1035" i="7" s="1"/>
  <c r="E1036" i="7" s="1"/>
  <c r="E1037" i="7" s="1"/>
  <c r="E1038" i="7" s="1"/>
  <c r="E1039" i="7" s="1"/>
  <c r="E1040" i="7" s="1"/>
  <c r="E1041" i="7" s="1"/>
  <c r="E1042" i="7" s="1"/>
  <c r="E1043" i="7" s="1"/>
  <c r="E1044" i="7" s="1"/>
  <c r="E1045" i="7" s="1"/>
  <c r="E1046" i="7" s="1"/>
  <c r="E1047" i="7" s="1"/>
  <c r="E1048" i="7" s="1"/>
  <c r="E1049" i="7" s="1"/>
  <c r="E1050" i="7" s="1"/>
  <c r="E1051" i="7" s="1"/>
  <c r="E1052" i="7" s="1"/>
  <c r="E1053" i="7" s="1"/>
  <c r="E1054" i="7" s="1"/>
  <c r="E1055" i="7" s="1"/>
  <c r="E1056" i="7" s="1"/>
  <c r="E1057" i="7" s="1"/>
  <c r="E1058" i="7" s="1"/>
  <c r="E1059" i="7" s="1"/>
  <c r="E1060" i="7" s="1"/>
  <c r="E1061" i="7" s="1"/>
  <c r="E1062" i="7" s="1"/>
  <c r="L1" i="7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J2" i="3"/>
  <c r="G2" i="3"/>
  <c r="H2" i="3" s="1"/>
  <c r="F2" i="3"/>
  <c r="J1" i="7" l="1"/>
</calcChain>
</file>

<file path=xl/sharedStrings.xml><?xml version="1.0" encoding="utf-8"?>
<sst xmlns="http://schemas.openxmlformats.org/spreadsheetml/2006/main" count="2306" uniqueCount="735">
  <si>
    <t>Date</t>
  </si>
  <si>
    <t>Withdraw</t>
  </si>
  <si>
    <t>Deposit</t>
  </si>
  <si>
    <t>Note</t>
  </si>
  <si>
    <t>Balance</t>
  </si>
  <si>
    <t>Total withdrow</t>
  </si>
  <si>
    <t>Total deposit</t>
  </si>
  <si>
    <t>Diffrance</t>
  </si>
  <si>
    <t>مخصص</t>
  </si>
  <si>
    <t>BANK (CIB)</t>
  </si>
  <si>
    <t>رصيد2024 (الخزينة)</t>
  </si>
  <si>
    <t>رصيد اول المدة</t>
  </si>
  <si>
    <t>1\1\2025</t>
  </si>
  <si>
    <t>Deposit Selim</t>
  </si>
  <si>
    <t>Deposit Samaher</t>
  </si>
  <si>
    <t>rent office court yard</t>
  </si>
  <si>
    <t>rest of sales le gardin mohsen</t>
  </si>
  <si>
    <t>rest of sales le gardin samaher</t>
  </si>
  <si>
    <t>rest of sales samaher Genova</t>
  </si>
  <si>
    <t>deposit the lane office</t>
  </si>
  <si>
    <t>8\1\2025</t>
  </si>
  <si>
    <t>etisalat invoice</t>
  </si>
  <si>
    <t>11\1\2025</t>
  </si>
  <si>
    <t>fatoret 5at ardy</t>
  </si>
  <si>
    <t>22\1\2025</t>
  </si>
  <si>
    <t xml:space="preserve">genova samaher </t>
  </si>
  <si>
    <t>23\1\2025</t>
  </si>
  <si>
    <t xml:space="preserve">sa7b selim mn 7esabo </t>
  </si>
  <si>
    <t>27\1\2025</t>
  </si>
  <si>
    <t>part of second payment the lane office</t>
  </si>
  <si>
    <t>internet invoice</t>
  </si>
  <si>
    <t>29\1\2025</t>
  </si>
  <si>
    <t>tashteeb 7adeed mkatb</t>
  </si>
  <si>
    <t>30\1\2025</t>
  </si>
  <si>
    <t xml:space="preserve">mohamed fatouh  hadad </t>
  </si>
  <si>
    <t>bank expenses</t>
  </si>
  <si>
    <t>31\1\2025</t>
  </si>
  <si>
    <t>Ma2abd we mostlzmat tasnee3</t>
  </si>
  <si>
    <t>1\2\2025</t>
  </si>
  <si>
    <t>woods yasser</t>
  </si>
  <si>
    <t>mn 7esab el ro5ama yasser</t>
  </si>
  <si>
    <t>2\2\2025</t>
  </si>
  <si>
    <t>2 labtops</t>
  </si>
  <si>
    <t>3\2\2025</t>
  </si>
  <si>
    <t>control tools</t>
  </si>
  <si>
    <t xml:space="preserve">marwa salary </t>
  </si>
  <si>
    <t xml:space="preserve">3am mohamed salary </t>
  </si>
  <si>
    <t>selim deposit</t>
  </si>
  <si>
    <t>last payment of rent the lane office  till 14\6</t>
  </si>
  <si>
    <t xml:space="preserve">samaher sha5sy </t>
  </si>
  <si>
    <t>4\2\2025</t>
  </si>
  <si>
    <t>7adad</t>
  </si>
  <si>
    <t>yasser</t>
  </si>
  <si>
    <t>5ashab sarsoo3</t>
  </si>
  <si>
    <t>fawatir etisalat</t>
  </si>
  <si>
    <t>central we we camerat we dvr</t>
  </si>
  <si>
    <t>5\2\2025</t>
  </si>
  <si>
    <t>yasser ma2ta3 we laz2 shreet</t>
  </si>
  <si>
    <t>samaher deposit</t>
  </si>
  <si>
    <t xml:space="preserve">Geld krasy </t>
  </si>
  <si>
    <t>Selim deposit</t>
  </si>
  <si>
    <t xml:space="preserve">Yasser el nagar </t>
  </si>
  <si>
    <t>Loo7 mdf counter</t>
  </si>
  <si>
    <t>20 ablaksh</t>
  </si>
  <si>
    <t>Forma yasser krasy</t>
  </si>
  <si>
    <t>9\2\2025</t>
  </si>
  <si>
    <t>12\2\2025</t>
  </si>
  <si>
    <t>na2l mostlzmat el karasy 3m mohamed</t>
  </si>
  <si>
    <t>mostalzamat karasy  6 krasy</t>
  </si>
  <si>
    <t>13\2\2025</t>
  </si>
  <si>
    <t>deposit selim</t>
  </si>
  <si>
    <t>15\2\2025</t>
  </si>
  <si>
    <t xml:space="preserve">yasser mn 7esabo </t>
  </si>
  <si>
    <t xml:space="preserve">whats app controls </t>
  </si>
  <si>
    <t>17\2\2025</t>
  </si>
  <si>
    <t xml:space="preserve">ta7seel goz2 mn le gardin </t>
  </si>
  <si>
    <t>selim withdrow</t>
  </si>
  <si>
    <t>18\2\2025</t>
  </si>
  <si>
    <t>yasser we 5ashan</t>
  </si>
  <si>
    <t>expenses</t>
  </si>
  <si>
    <t>korsy we 5ashan sarsoo3</t>
  </si>
  <si>
    <t>22\2\2025</t>
  </si>
  <si>
    <t>goz2 mn 7esab el 7adad</t>
  </si>
  <si>
    <t>25\2\2025</t>
  </si>
  <si>
    <t xml:space="preserve"> decor tagleda </t>
  </si>
  <si>
    <t>26\2\2025</t>
  </si>
  <si>
    <t xml:space="preserve">ta2feel 7esab khaled </t>
  </si>
  <si>
    <t>27\2\2025</t>
  </si>
  <si>
    <t>27\7\2025</t>
  </si>
  <si>
    <t>Yasser</t>
  </si>
  <si>
    <t>Hadeed</t>
  </si>
  <si>
    <t>3arboon staless</t>
  </si>
  <si>
    <t>3arboon satayer</t>
  </si>
  <si>
    <t>Stayer</t>
  </si>
  <si>
    <t>Samaher deposit</t>
  </si>
  <si>
    <t>Uper staless</t>
  </si>
  <si>
    <t>18\3\2025</t>
  </si>
  <si>
    <t>ba2y el satayer</t>
  </si>
  <si>
    <t>3am mohamed na2l</t>
  </si>
  <si>
    <t>Mo2dam contact</t>
  </si>
  <si>
    <t>23\3\2025</t>
  </si>
  <si>
    <t>Khaled sha5sy</t>
  </si>
  <si>
    <t>geld eswed</t>
  </si>
  <si>
    <t>Khaled</t>
  </si>
  <si>
    <t xml:space="preserve">Mo2adam lazaro mktb </t>
  </si>
  <si>
    <t>Fawatir etisalat</t>
  </si>
  <si>
    <t>Ba2y staless</t>
  </si>
  <si>
    <t>25\3\2025</t>
  </si>
  <si>
    <t>1\4\2025</t>
  </si>
  <si>
    <t>karasy we mortb we shashat monwa3at bl fwayed</t>
  </si>
  <si>
    <t>10\4\2025</t>
  </si>
  <si>
    <t>Solfa Hosny officeboy</t>
  </si>
  <si>
    <t>14\4\2025</t>
  </si>
  <si>
    <t>bofeeeh</t>
  </si>
  <si>
    <t>15\4\2025</t>
  </si>
  <si>
    <t>Moratb 3am mohmed</t>
  </si>
  <si>
    <t>16\4\2025</t>
  </si>
  <si>
    <t>Selim Withdrow</t>
  </si>
  <si>
    <t xml:space="preserve">Dubizzel </t>
  </si>
  <si>
    <t>19\4\2025</t>
  </si>
  <si>
    <t xml:space="preserve">Fatora maya </t>
  </si>
  <si>
    <t xml:space="preserve">Masn3ya sabak </t>
  </si>
  <si>
    <t>bofeeh</t>
  </si>
  <si>
    <t>gallon maya</t>
  </si>
  <si>
    <t>sha7n kahraba</t>
  </si>
  <si>
    <t>22\4\2025</t>
  </si>
  <si>
    <t>mada laz2 khashb</t>
  </si>
  <si>
    <t>bofeeh+ maya</t>
  </si>
  <si>
    <t>23\4\2025</t>
  </si>
  <si>
    <t>fatora etisalat</t>
  </si>
  <si>
    <t>Kaharba</t>
  </si>
  <si>
    <t>Nadfa plastic bag</t>
  </si>
  <si>
    <t>Bofeeh</t>
  </si>
  <si>
    <t>Silicon +2alb ideal toilet + 500 mas3ya sabak</t>
  </si>
  <si>
    <t>28\4\2025</t>
  </si>
  <si>
    <t>forkas + dahanat</t>
  </si>
  <si>
    <t>29\4\2025</t>
  </si>
  <si>
    <t>entkalat + na2l korsy</t>
  </si>
  <si>
    <t>30\4\2025</t>
  </si>
  <si>
    <t>Waleed menagad men 7esabo</t>
  </si>
  <si>
    <t>moftah rakm10 lel karasy</t>
  </si>
  <si>
    <t>na2l 6 karasy</t>
  </si>
  <si>
    <t>mo7asb kanony (mohamed samir</t>
  </si>
  <si>
    <t>bounce hosny office boy</t>
  </si>
  <si>
    <t>1\5\2025</t>
  </si>
  <si>
    <t>maya</t>
  </si>
  <si>
    <t>Karora maya nestle</t>
  </si>
  <si>
    <t>salary Ahmed mamdoh moghawry sales Out</t>
  </si>
  <si>
    <t>finger print for employee</t>
  </si>
  <si>
    <t>entkalat Dilvery fingerprint</t>
  </si>
  <si>
    <t>salary 3am mohamed</t>
  </si>
  <si>
    <t>salary ahmed naguib</t>
  </si>
  <si>
    <t>salary hosny ahmed hessen</t>
  </si>
  <si>
    <t>salary abdrahman mohamed ahmed</t>
  </si>
  <si>
    <t>salary farida khalil ibrahim</t>
  </si>
  <si>
    <t>salary adham saad monier</t>
  </si>
  <si>
    <t>salary mohamed ali abd mohsen</t>
  </si>
  <si>
    <t xml:space="preserve">bofeeh </t>
  </si>
  <si>
    <t>Torta + atba2 + shokaa</t>
  </si>
  <si>
    <t>3\5\2025</t>
  </si>
  <si>
    <t>bofeeh ceo</t>
  </si>
  <si>
    <t>entkalat mall lo2lo2aa</t>
  </si>
  <si>
    <t>4\5\2025</t>
  </si>
  <si>
    <t>7agara sam3at</t>
  </si>
  <si>
    <t>entkalat hyper</t>
  </si>
  <si>
    <t>selm le office boy + 260 3eda</t>
  </si>
  <si>
    <t>5\5\2025</t>
  </si>
  <si>
    <t>6\5\2025</t>
  </si>
  <si>
    <t xml:space="preserve">Lemon + n3na3 </t>
  </si>
  <si>
    <t>Kahraba</t>
  </si>
  <si>
    <t>bofeeh ceo 3\4\5\6 4 days</t>
  </si>
  <si>
    <t>5 ktoot etisalat + 10 entkalat</t>
  </si>
  <si>
    <t>7\5\2025</t>
  </si>
  <si>
    <t>Bofeeh ceo</t>
  </si>
  <si>
    <t>Highlight pen</t>
  </si>
  <si>
    <t>3'arama contact</t>
  </si>
  <si>
    <t xml:space="preserve">3'arama 7alan </t>
  </si>
  <si>
    <t>8\5\2025</t>
  </si>
  <si>
    <t>3*arama mardev</t>
  </si>
  <si>
    <t>Additional users start1 may</t>
  </si>
  <si>
    <t>Da3ya w e3lan logo sherka ashraf</t>
  </si>
  <si>
    <t>markting Facebook</t>
  </si>
  <si>
    <t>Fatora Etisalat</t>
  </si>
  <si>
    <t>9\5\2025</t>
  </si>
  <si>
    <t>shari7a etisalat</t>
  </si>
  <si>
    <t>11\5\2025</t>
  </si>
  <si>
    <t>12\5\2025</t>
  </si>
  <si>
    <t>13\5\2025</t>
  </si>
  <si>
    <t>fatora net 4G</t>
  </si>
  <si>
    <t>14\5\2025</t>
  </si>
  <si>
    <t>kahraba</t>
  </si>
  <si>
    <t>15\5\2025</t>
  </si>
  <si>
    <t>17\5\2025</t>
  </si>
  <si>
    <t>Solfa Mostafa asharaf</t>
  </si>
  <si>
    <t>mic for markting</t>
  </si>
  <si>
    <t>18\5\2025</t>
  </si>
  <si>
    <t>Maya nestle</t>
  </si>
  <si>
    <t>Deposit samaher</t>
  </si>
  <si>
    <t>Entkalat le smart village palm hills</t>
  </si>
  <si>
    <t>Ink for printer</t>
  </si>
  <si>
    <t>Torta 3eed milad mostafa</t>
  </si>
  <si>
    <t>Entkalat yasser nagar lo2lo2a</t>
  </si>
  <si>
    <t>7agara energizer</t>
  </si>
  <si>
    <t>Fatora net</t>
  </si>
  <si>
    <t>Entkalat le yasser nagaar</t>
  </si>
  <si>
    <t xml:space="preserve"> </t>
  </si>
  <si>
    <t>31\5\2025</t>
  </si>
  <si>
    <t>1\6\2025</t>
  </si>
  <si>
    <t>2\6\2025</t>
  </si>
  <si>
    <t>salaries may 2025</t>
  </si>
  <si>
    <t>3\6\2025</t>
  </si>
  <si>
    <t>rozma A4</t>
  </si>
  <si>
    <t>50 kobay cartoon</t>
  </si>
  <si>
    <t>lap top lenovo ryzen5</t>
  </si>
  <si>
    <t>2 kilo orange</t>
  </si>
  <si>
    <t xml:space="preserve">rosom sa7b floos mn ATM </t>
  </si>
  <si>
    <t>ba2y mortb maram 3 days from 1\5 to 3\5</t>
  </si>
  <si>
    <t>Sha7n laptop</t>
  </si>
  <si>
    <t>Sha7n laptop refund</t>
  </si>
  <si>
    <t xml:space="preserve">Sameher deposit </t>
  </si>
  <si>
    <t>Karora maya</t>
  </si>
  <si>
    <t xml:space="preserve">10 mobile nokia * 370 </t>
  </si>
  <si>
    <t>14/6/2025)</t>
  </si>
  <si>
    <t>Entkalat uber mn hyper le sherka</t>
  </si>
  <si>
    <t xml:space="preserve">Sound wireless  </t>
  </si>
  <si>
    <t xml:space="preserve">Entklat mn sheka le yasser </t>
  </si>
  <si>
    <t xml:space="preserve">Shrshoba nadfa+ silicon </t>
  </si>
  <si>
    <t>net abdrahman</t>
  </si>
  <si>
    <t>islam fatoh el sayed men rent sherka</t>
  </si>
  <si>
    <t>Selim Withdraw</t>
  </si>
  <si>
    <t xml:space="preserve">ba2y rent sherka  </t>
  </si>
  <si>
    <t>Net etisalat</t>
  </si>
  <si>
    <t>7gara remote</t>
  </si>
  <si>
    <t>Rosom ta7weel rent</t>
  </si>
  <si>
    <t xml:space="preserve">maya neslte </t>
  </si>
  <si>
    <t>Torta 3eed millad farida</t>
  </si>
  <si>
    <t>5 Pen</t>
  </si>
  <si>
    <t>Sha7n Kahraba</t>
  </si>
  <si>
    <t>Sha7n maya</t>
  </si>
  <si>
    <t>Fawha 7amam</t>
  </si>
  <si>
    <t>4 مفصلة طربيزة</t>
  </si>
  <si>
    <t>Rozma wara2 A4</t>
  </si>
  <si>
    <t xml:space="preserve">Samaher deposit </t>
  </si>
  <si>
    <t>7gara 2lm</t>
  </si>
  <si>
    <t xml:space="preserve">Selim deposit </t>
  </si>
  <si>
    <t>8\7\2025</t>
  </si>
  <si>
    <t>9\7\2025</t>
  </si>
  <si>
    <t>10\7\2025</t>
  </si>
  <si>
    <t>12\7\2025</t>
  </si>
  <si>
    <t>13\7\2025</t>
  </si>
  <si>
    <t>kaharaba</t>
  </si>
  <si>
    <t>Mortbat shahr june 2025</t>
  </si>
  <si>
    <t xml:space="preserve">   </t>
  </si>
  <si>
    <t>Cleaning</t>
  </si>
  <si>
    <t>Fatora etisalat</t>
  </si>
  <si>
    <t>17\7\2025</t>
  </si>
  <si>
    <t>Tissue</t>
  </si>
  <si>
    <t>10 pen</t>
  </si>
  <si>
    <t>Dof3a mn rent sherka  eslam</t>
  </si>
  <si>
    <t>Sha7n net 5G</t>
  </si>
  <si>
    <t>Daf3 3'arama mardev</t>
  </si>
  <si>
    <t>Entkalat palm hills youm 17/7</t>
  </si>
  <si>
    <t>Rosom sa7b floos men ATM</t>
  </si>
  <si>
    <t>Solfa mostafa ashraf mostafa</t>
  </si>
  <si>
    <t xml:space="preserve">Moratb karim mohamed out </t>
  </si>
  <si>
    <t>Rozama wara2 a4</t>
  </si>
  <si>
    <t>hand shower</t>
  </si>
  <si>
    <t>26\7\2025</t>
  </si>
  <si>
    <t>28\8\2025</t>
  </si>
  <si>
    <t>28\7\2025</t>
  </si>
  <si>
    <t>30\7\2025</t>
  </si>
  <si>
    <t>31\7\2025</t>
  </si>
  <si>
    <t>torta omar</t>
  </si>
  <si>
    <t>2\8\2025</t>
  </si>
  <si>
    <t>solfa shaimaa</t>
  </si>
  <si>
    <t>4\8\2025</t>
  </si>
  <si>
    <t xml:space="preserve">ايداع جزء من شيك شركة روفان كاش </t>
  </si>
  <si>
    <t xml:space="preserve">moratb shaima maher out </t>
  </si>
  <si>
    <t>entkalat palm hills youm 23\7</t>
  </si>
  <si>
    <t>entkalat sherton le mall city stars CIB ela sherka SHERKA ROVAN</t>
  </si>
  <si>
    <t>Selim withdraw</t>
  </si>
  <si>
    <t>ايداع جزء من شيك شركة روفان كاش  50%</t>
  </si>
  <si>
    <t>Solfa hosny officeboy</t>
  </si>
  <si>
    <t>Segel togary le sherka marts</t>
  </si>
  <si>
    <t>Entkalat segel togary marts</t>
  </si>
  <si>
    <t>6\8\2025</t>
  </si>
  <si>
    <t>goz2 men mortbat july 2025</t>
  </si>
  <si>
    <t>Goz2 men moratb sherweet solfa</t>
  </si>
  <si>
    <t>Entkalat palm hills ela sherka</t>
  </si>
  <si>
    <t xml:space="preserve">Maya Nestle </t>
  </si>
  <si>
    <t>Entkalat palm hills ele sherka</t>
  </si>
  <si>
    <t>11\8\2025</t>
  </si>
  <si>
    <t xml:space="preserve">باقي من شيك شركة روفان </t>
  </si>
  <si>
    <t>Masaref Bank CIB</t>
  </si>
  <si>
    <t>12\8\2025</t>
  </si>
  <si>
    <t>15\8\2025</t>
  </si>
  <si>
    <t>17\8\2025</t>
  </si>
  <si>
    <t>جزء من شيك Palm Hills  25%</t>
  </si>
  <si>
    <t>1000 مديونية كهرباء قديم بتاريخ 11\8\2026 + 1000 كهرباء يوم 17</t>
  </si>
  <si>
    <t>bofeeh youm 14\8\2025</t>
  </si>
  <si>
    <t>2 karora maya youm 13\8 , 17\8</t>
  </si>
  <si>
    <t>17\8\2024</t>
  </si>
  <si>
    <t>rad 2 youm mostafa ashraf meeting</t>
  </si>
  <si>
    <t>Samaher withdraw</t>
  </si>
  <si>
    <t>rad 4.5 youm hosny ahmed hessin office</t>
  </si>
  <si>
    <t>Ba2y  mortbat july 2025</t>
  </si>
  <si>
    <t>Rad 1 youm men mortab saad mounir saad</t>
  </si>
  <si>
    <t>Goz2 men rent sherka shahr july</t>
  </si>
  <si>
    <t>Nadafa</t>
  </si>
  <si>
    <t xml:space="preserve">Silicone + color 7ood kitchen </t>
  </si>
  <si>
    <t>Masn3ya ro5am + 200 sam8</t>
  </si>
  <si>
    <t>5oto etisalat</t>
  </si>
  <si>
    <t>Entkalat palm hills</t>
  </si>
  <si>
    <t>Torta 3eed melad</t>
  </si>
  <si>
    <t>Dyafa mohamed / fatima hawashi</t>
  </si>
  <si>
    <t>Fetar samahr</t>
  </si>
  <si>
    <t>ba2y 5toot fawteer Etisalat + 5 G</t>
  </si>
  <si>
    <t>Entkalat 3am mohamed zayed le basten</t>
  </si>
  <si>
    <t>27\8\2025</t>
  </si>
  <si>
    <t>31\8\2025</t>
  </si>
  <si>
    <t>3\8\2025</t>
  </si>
  <si>
    <t>Goz2 men rent sherka shahr augast</t>
  </si>
  <si>
    <t>ment</t>
  </si>
  <si>
    <t xml:space="preserve">torta 3ed melad </t>
  </si>
  <si>
    <t>6 mandeel makatb</t>
  </si>
  <si>
    <t>sha7n maya</t>
  </si>
  <si>
    <t>1\9\2025</t>
  </si>
  <si>
    <t>2\9\2025</t>
  </si>
  <si>
    <t>3\9\2025</t>
  </si>
  <si>
    <t>bofeeh akl samaher</t>
  </si>
  <si>
    <t>Mortbat shahr Augast 2025</t>
  </si>
  <si>
    <t>ta7sseel check lo Jerdan  (Selim)</t>
  </si>
  <si>
    <t>ta7seel 50% goz2 men le Jerdan (sameher)</t>
  </si>
  <si>
    <t xml:space="preserve"> goz2 men le Jerdan (sameher)</t>
  </si>
  <si>
    <t xml:space="preserve">Khaled wakkad withdraw </t>
  </si>
  <si>
    <t xml:space="preserve">Sameher withdraw </t>
  </si>
  <si>
    <t>Sameher Deposit (3arboon )</t>
  </si>
  <si>
    <t xml:space="preserve">CRM shahr 9 </t>
  </si>
  <si>
    <t>Cuts 2 contracts lo jerdan nageeb</t>
  </si>
  <si>
    <t xml:space="preserve">Cuts 2 contracts lo jerdan 3am mohamed </t>
  </si>
  <si>
    <t>Cuts 2 contracts lo jerdan Hosni officeboy</t>
  </si>
  <si>
    <t>Cuts 1 contract lo jerdan Shorok admin</t>
  </si>
  <si>
    <t xml:space="preserve">deposit selim </t>
  </si>
  <si>
    <t>interest loan shabana</t>
  </si>
  <si>
    <t>3omalat ta7weel insta</t>
  </si>
  <si>
    <t>rent zed saad</t>
  </si>
  <si>
    <t>commission saad</t>
  </si>
  <si>
    <t>4\9\2025</t>
  </si>
  <si>
    <t xml:space="preserve">ba2y commission saad rent zed </t>
  </si>
  <si>
    <t>7\9\2025</t>
  </si>
  <si>
    <t>Fetar samher youm 7/9 , 8/9</t>
  </si>
  <si>
    <t xml:space="preserve">Entkalat 3am mohamed bastyin </t>
  </si>
  <si>
    <t>Fatora maya</t>
  </si>
  <si>
    <t>Fetar samher + youm 3/9</t>
  </si>
  <si>
    <t>150 cup for water</t>
  </si>
  <si>
    <t>2 backet tissue</t>
  </si>
  <si>
    <t xml:space="preserve">Bofeeh </t>
  </si>
  <si>
    <t>Karora nestle</t>
  </si>
  <si>
    <t>Solfa officeboy hosny</t>
  </si>
  <si>
    <t xml:space="preserve">Eshtrak domain </t>
  </si>
  <si>
    <t>14\9\2025</t>
  </si>
  <si>
    <t>karora maya</t>
  </si>
  <si>
    <t>Solfa sherweet</t>
  </si>
  <si>
    <t>17\9\2025</t>
  </si>
  <si>
    <t>ta7seel 50% ba2y men le Jerdan (sameher)</t>
  </si>
  <si>
    <t>18\9\2025</t>
  </si>
  <si>
    <t>ta7seel goz2 mn eagles</t>
  </si>
  <si>
    <t>20\9\2025</t>
  </si>
  <si>
    <t>rent office 15\9 we ba2y 30000 old</t>
  </si>
  <si>
    <t>hosny cuts evora we eagles</t>
  </si>
  <si>
    <t xml:space="preserve">abdulrahman cuts evora we eagles we 2 le gardin </t>
  </si>
  <si>
    <t>Cuts nageeb w shorok w 3am mahmed evora / eagles</t>
  </si>
  <si>
    <t>Taslee7 kattele</t>
  </si>
  <si>
    <t>Spare parts karasy</t>
  </si>
  <si>
    <t>Entkalat karasy + palm hills youm 17/9</t>
  </si>
  <si>
    <t>30\9\2025</t>
  </si>
  <si>
    <t xml:space="preserve">commission saad rent </t>
  </si>
  <si>
    <t>1\10\2025</t>
  </si>
  <si>
    <t xml:space="preserve">saad commission 50% rent one side </t>
  </si>
  <si>
    <t>Samher deposit</t>
  </si>
  <si>
    <t>Fatora etisalat net</t>
  </si>
  <si>
    <t>Bofeeh selim</t>
  </si>
  <si>
    <t>Ba2y cuts saad</t>
  </si>
  <si>
    <t>hossny salary and  bounas</t>
  </si>
  <si>
    <t>Mortb nageeb shahr 9</t>
  </si>
  <si>
    <t>2\10\2025</t>
  </si>
  <si>
    <t xml:space="preserve">tahseel westline 50 % hassan we ali salem </t>
  </si>
  <si>
    <t>saad salary and comission</t>
  </si>
  <si>
    <t>commission rent saad and esraa</t>
  </si>
  <si>
    <t xml:space="preserve">selim salary </t>
  </si>
  <si>
    <t>marts  installments  till 1\10 selim</t>
  </si>
  <si>
    <t xml:space="preserve">Maya nestle + delivery </t>
  </si>
  <si>
    <t>Ba2y mortbat shahr september 2025</t>
  </si>
  <si>
    <t>Moratb ahmed rabaeee september 2025</t>
  </si>
  <si>
    <t>Moratb shorok ahmed september 2025</t>
  </si>
  <si>
    <t>5\10\2025</t>
  </si>
  <si>
    <t xml:space="preserve"> Boody cuts wetline</t>
  </si>
  <si>
    <t>hossny cuts</t>
  </si>
  <si>
    <t xml:space="preserve">nageeb cuts </t>
  </si>
  <si>
    <t>shrouk cuts</t>
  </si>
  <si>
    <t>3am mohamed cuts</t>
  </si>
  <si>
    <t>7\10\2025</t>
  </si>
  <si>
    <t>3 daftar eysalat khazena</t>
  </si>
  <si>
    <t xml:space="preserve">Commision esraa elsayed october plaza </t>
  </si>
  <si>
    <t>Commision ibrahim sobh 3an living line 50 %</t>
  </si>
  <si>
    <t xml:space="preserve">CRM shahr 10 </t>
  </si>
  <si>
    <t>Bofeeh redbull</t>
  </si>
  <si>
    <t>3omla ta7weel insta</t>
  </si>
  <si>
    <t>Bofeeh+nadafa</t>
  </si>
  <si>
    <t>Markting</t>
  </si>
  <si>
    <t>5   5tot etisalat</t>
  </si>
  <si>
    <t>Entkalat palm hills + 20 parking leaders</t>
  </si>
  <si>
    <t>16\10\2025</t>
  </si>
  <si>
    <t xml:space="preserve">solfa hossny </t>
  </si>
  <si>
    <t xml:space="preserve">tawkil hesabat </t>
  </si>
  <si>
    <t>Deposit Check leaders 1</t>
  </si>
  <si>
    <t>Commission ahmed el sayed 3an leaders 1</t>
  </si>
  <si>
    <t xml:space="preserve">Rent sherka shahr 9  , 20000 old </t>
  </si>
  <si>
    <t>19\10\2025</t>
  </si>
  <si>
    <t>Entkalat maktb mo7asba</t>
  </si>
  <si>
    <t>Solfa hossny officeboy</t>
  </si>
  <si>
    <t>goz mn 3omolet  palm hills  ,haitham</t>
  </si>
  <si>
    <t>Torta 3ed milad</t>
  </si>
  <si>
    <t>Solfa rana ahmed elsayed</t>
  </si>
  <si>
    <t>23\10\2025</t>
  </si>
  <si>
    <t xml:space="preserve">withdraw selim est raya </t>
  </si>
  <si>
    <t xml:space="preserve">est halan we contact we raya  ba2y shabana </t>
  </si>
  <si>
    <t>Fatora net etisalat</t>
  </si>
  <si>
    <t>10 karasy le sherka + t7weel insta</t>
  </si>
  <si>
    <t>Solfa sherweet to5sm men mortb</t>
  </si>
  <si>
    <t>mn 7esab el sherka  3arboon karasy  maktb modeer</t>
  </si>
  <si>
    <t>Karora may nestle</t>
  </si>
  <si>
    <t>2 lap top 22000 + t7weel insta</t>
  </si>
  <si>
    <t>Rosom sha7n 2 laptop</t>
  </si>
  <si>
    <t>30/10/2025.</t>
  </si>
  <si>
    <t>Solfa rana ahmed sayed , sales</t>
  </si>
  <si>
    <t>Solfa abdrahman mohamed ahmed , markting</t>
  </si>
  <si>
    <t>Torta 3ed milad ibrahim</t>
  </si>
  <si>
    <t>Segel togary sherka</t>
  </si>
  <si>
    <t>Entkalat segl togary</t>
  </si>
  <si>
    <t>Maya neslte</t>
  </si>
  <si>
    <t>Goz2 men commission leaders</t>
  </si>
  <si>
    <t>Rosom sha7n 5 lap top</t>
  </si>
  <si>
    <t>Sha7n kahraba</t>
  </si>
  <si>
    <t>Ba2y commission leaders</t>
  </si>
  <si>
    <t>mortbat October 2025</t>
  </si>
  <si>
    <t>5 lap top hp core i5 , ram 8 hdd 250</t>
  </si>
  <si>
    <t>7esab 2 korsy</t>
  </si>
  <si>
    <t xml:space="preserve">Selim withdraw </t>
  </si>
  <si>
    <t>Tabdeel 2 laptop be wa7d geded + sha7n</t>
  </si>
  <si>
    <t>7esab 8 karasy be 6150</t>
  </si>
  <si>
    <t>Na2l 3add 2 korsy men embaba w rogo3 sherka</t>
  </si>
  <si>
    <t xml:space="preserve">Deposit selim </t>
  </si>
  <si>
    <t xml:space="preserve">Marketing facebook </t>
  </si>
  <si>
    <t>16\11\2025</t>
  </si>
  <si>
    <t xml:space="preserve">ta7seel sheek living line nour half </t>
  </si>
  <si>
    <t>khaled el wakkad  withdraw</t>
  </si>
  <si>
    <t>Entkalat 3 am mohamed</t>
  </si>
  <si>
    <t>Na2l karasy men basatin</t>
  </si>
  <si>
    <t>Ekramya waleed karasy</t>
  </si>
  <si>
    <t xml:space="preserve">Half Commision shaimaa eagles + 20 t7weel 3n </t>
  </si>
  <si>
    <t>Crm + 10 t7wel</t>
  </si>
  <si>
    <t>Maktb mo7asba mohamed samir</t>
  </si>
  <si>
    <t xml:space="preserve">instalment shabana </t>
  </si>
  <si>
    <t>7 labtops</t>
  </si>
  <si>
    <t xml:space="preserve">Shasha tv </t>
  </si>
  <si>
    <t>Cuts hosny 600 / ngeb 1250 / 3m mahmed 600 / shorok 400 / abdo 2900</t>
  </si>
  <si>
    <t xml:space="preserve">Rad 4 ayam abdrahman mohamed </t>
  </si>
  <si>
    <t>17\11\2025</t>
  </si>
  <si>
    <t>solfa hosny office boy</t>
  </si>
  <si>
    <t xml:space="preserve">na2l el shasha </t>
  </si>
  <si>
    <t xml:space="preserve">bofeeh + nestle </t>
  </si>
  <si>
    <t xml:space="preserve">cuts saad </t>
  </si>
  <si>
    <t>2025-2026</t>
  </si>
  <si>
    <t xml:space="preserve">bofeeh shahr 5 </t>
  </si>
  <si>
    <t>khaled Capital</t>
  </si>
  <si>
    <t>Selim Capital</t>
  </si>
  <si>
    <t xml:space="preserve">rent Resale nabil we mohamed osama </t>
  </si>
  <si>
    <t xml:space="preserve">goz2 mn commission nabil </t>
  </si>
  <si>
    <t xml:space="preserve">ba2y commission nabil </t>
  </si>
  <si>
    <t>cuts admin resale</t>
  </si>
  <si>
    <t xml:space="preserve">cuts  khaled el wakkad </t>
  </si>
  <si>
    <t xml:space="preserve">commission   mohamed osama </t>
  </si>
  <si>
    <t>CRM 8x</t>
  </si>
  <si>
    <t>masrofat nasrya shahr 4</t>
  </si>
  <si>
    <t>khaled team bank</t>
  </si>
  <si>
    <t>khaled team cash</t>
  </si>
  <si>
    <t>back office goz2 5aled</t>
  </si>
  <si>
    <t xml:space="preserve">cuts villege west khaled ta7weel </t>
  </si>
  <si>
    <t>Solfa mohamed nabeel</t>
  </si>
  <si>
    <t xml:space="preserve">far2 salary  basmala </t>
  </si>
  <si>
    <t>far2 salary  mostafa</t>
  </si>
  <si>
    <t xml:space="preserve">solfa mostafa </t>
  </si>
  <si>
    <t xml:space="preserve">goz2 etisalat invoice </t>
  </si>
  <si>
    <t>3arboon 5aroof khaled</t>
  </si>
  <si>
    <t>cuts yara resale</t>
  </si>
  <si>
    <t>cuts saad resale</t>
  </si>
  <si>
    <t>ba2y commission osama resale</t>
  </si>
  <si>
    <t>masrofat shahrya  5 till youm 17-6-2026</t>
  </si>
  <si>
    <t xml:space="preserve">rent  nabil </t>
  </si>
  <si>
    <t xml:space="preserve">rent nabil </t>
  </si>
  <si>
    <t xml:space="preserve">ta7seel sheek tibya </t>
  </si>
  <si>
    <t xml:space="preserve">saad rent nadrin </t>
  </si>
  <si>
    <t xml:space="preserve">cuts khaled resale </t>
  </si>
  <si>
    <t xml:space="preserve">commission  basmala </t>
  </si>
  <si>
    <t xml:space="preserve">commission rent nabil </t>
  </si>
  <si>
    <t xml:space="preserve">cuts nabil saad </t>
  </si>
  <si>
    <t xml:space="preserve">cuts yara resale nabil we saad </t>
  </si>
  <si>
    <t xml:space="preserve">cuts talia tamaya </t>
  </si>
  <si>
    <t xml:space="preserve">cuts nayera tamaiaa </t>
  </si>
  <si>
    <t xml:space="preserve">cuts abdulrahman tamaia </t>
  </si>
  <si>
    <t>masrofat shahrya  6 till youm 2/7/2026</t>
  </si>
  <si>
    <t>commission saad resale</t>
  </si>
  <si>
    <t xml:space="preserve">cuts khaled saad </t>
  </si>
  <si>
    <t>masrofat khaled till 7-7</t>
  </si>
  <si>
    <t>amal salary</t>
  </si>
  <si>
    <t xml:space="preserve">amira salary </t>
  </si>
  <si>
    <t>resale team salaries</t>
  </si>
  <si>
    <t>cuts selim tibya</t>
  </si>
  <si>
    <t>January Payroll</t>
  </si>
  <si>
    <t>#</t>
  </si>
  <si>
    <t>Name</t>
  </si>
  <si>
    <t>Basic Salary</t>
  </si>
  <si>
    <t>Days</t>
  </si>
  <si>
    <t>Absence Days</t>
  </si>
  <si>
    <t>Day Value</t>
  </si>
  <si>
    <t>warning</t>
  </si>
  <si>
    <t>Late Deduction</t>
  </si>
  <si>
    <t>Total Cuts</t>
  </si>
  <si>
    <t>extra from last month</t>
  </si>
  <si>
    <t>Solfa</t>
  </si>
  <si>
    <t>Total cuts Cash</t>
  </si>
  <si>
    <t>Net</t>
  </si>
  <si>
    <t>Perm</t>
  </si>
  <si>
    <t>Working days</t>
  </si>
  <si>
    <t>notes</t>
  </si>
  <si>
    <t>Abdelrahman Mohamed Ahmed Mohamed</t>
  </si>
  <si>
    <t>Adham Saad Monir Saad</t>
  </si>
  <si>
    <t>Ahmed Nagib</t>
  </si>
  <si>
    <t>Ahmed Elsayed Mahmoud Elsayed</t>
  </si>
  <si>
    <t>Ahmed Mohamed Ahmed Ibrahim Talima</t>
  </si>
  <si>
    <t>last day 25\1</t>
  </si>
  <si>
    <t>Ahmed Mohamed Mohamed Nashaat</t>
  </si>
  <si>
    <t>Ahmed Nabil Hassan Ali Hassan</t>
  </si>
  <si>
    <t>Ali Eldin Ahmed Nabil Hussien</t>
  </si>
  <si>
    <t>last day 8\1</t>
  </si>
  <si>
    <t>Ali Wael Khedr Khamis</t>
  </si>
  <si>
    <t>Bassanti Ibrahim Hilal Shaaban</t>
  </si>
  <si>
    <t>Hager Maher Yousef Yousef</t>
  </si>
  <si>
    <t>Hazem Amr Abdelaziz Mohamed</t>
  </si>
  <si>
    <t>Hend Mostafa Abdelghani Abo elkher</t>
  </si>
  <si>
    <t>Hossny ahmed hussien</t>
  </si>
  <si>
    <t>Ibrahem soph salama</t>
  </si>
  <si>
    <t>Islam Hussien Ibrahim Abdelkader</t>
  </si>
  <si>
    <t>Mariam Mohamed Youssef Hassan</t>
  </si>
  <si>
    <t>Moaz Hamed Ahmed Hamed</t>
  </si>
  <si>
    <t>start date 8\1</t>
  </si>
  <si>
    <t>Mohamed Ahmed Bilal Ali</t>
  </si>
  <si>
    <t>Mohamed Ahmed Mohamed 3mo</t>
  </si>
  <si>
    <t>Mohamed Amin Ahmed Amin</t>
  </si>
  <si>
    <t>startin date 25\2</t>
  </si>
  <si>
    <t>Mohamed Ashraf Anwar Mansour</t>
  </si>
  <si>
    <t>29\1 last day</t>
  </si>
  <si>
    <t>Mohamed Elsayed Ezzat Almorsy</t>
  </si>
  <si>
    <t>Mohamed Khalid Abdelaziz</t>
  </si>
  <si>
    <t>12\1 Startin Date</t>
  </si>
  <si>
    <t>Mohamed Omar Ali Abdo</t>
  </si>
  <si>
    <t>startin date 25\3</t>
  </si>
  <si>
    <t>Mohamed Saeed Ahmed Alsadek Khalaf</t>
  </si>
  <si>
    <t>Mohammed Nassaer Abdelrahman Abdulallah</t>
  </si>
  <si>
    <t>Mostafa Ali Hamed Mawhaba</t>
  </si>
  <si>
    <t>startin date 25\1</t>
  </si>
  <si>
    <t>Nayera Mohamed Mohamed Abdolmoaaty</t>
  </si>
  <si>
    <t>Noha Osama Zeid Ahmed</t>
  </si>
  <si>
    <t>Norhan Diab Ahmed</t>
  </si>
  <si>
    <t>Omnia Farag Mohamed Elsayed</t>
  </si>
  <si>
    <t>starting day 20\1\26</t>
  </si>
  <si>
    <t>Rana Ahmed elsayed Mohamed</t>
  </si>
  <si>
    <t>Saad Mounir Saad Mohamed</t>
  </si>
  <si>
    <t>Salsabil Taher Abdelhady</t>
  </si>
  <si>
    <t>Seif Taha Abdelmaged Taha</t>
  </si>
  <si>
    <t>Shahd Osama Ahmed Mousa</t>
  </si>
  <si>
    <t>last day 20\1</t>
  </si>
  <si>
    <t>Shehab Abdelraouf Rayan</t>
  </si>
  <si>
    <t>Talia Hani Ali</t>
  </si>
  <si>
    <t>Yara Zakaria Mohamed</t>
  </si>
  <si>
    <t>EGP 248,911.00</t>
  </si>
  <si>
    <t xml:space="preserve">CASH january </t>
  </si>
  <si>
    <t>Ahmed mohamed nageeb</t>
  </si>
  <si>
    <t>EGP 3,000.00</t>
  </si>
  <si>
    <t>EGP 4,500.00</t>
  </si>
  <si>
    <t>EGP 10,000.00</t>
  </si>
  <si>
    <t>EGP 2,266.67</t>
  </si>
  <si>
    <t>EGP 3,100.00</t>
  </si>
  <si>
    <t>EGP 2,025.00</t>
  </si>
  <si>
    <t>EGP 7,800.00</t>
  </si>
  <si>
    <t>ok</t>
  </si>
  <si>
    <t>EGP 7,333.33</t>
  </si>
  <si>
    <t>EGP 5,000.00</t>
  </si>
  <si>
    <t>EGP 1,600.00</t>
  </si>
  <si>
    <t>EGP 7,600.00</t>
  </si>
  <si>
    <t>EGP 2,750.00</t>
  </si>
  <si>
    <t>EGP 11,430.00</t>
  </si>
  <si>
    <t>EGP 1,200.00</t>
  </si>
  <si>
    <t>EGP 2,666.67</t>
  </si>
  <si>
    <t>EGP 2,050.00</t>
  </si>
  <si>
    <t>EGP 2,333.33</t>
  </si>
  <si>
    <t>Mohamed Ahmed Bilal Ali - cash</t>
  </si>
  <si>
    <t>EGP 4,300.00</t>
  </si>
  <si>
    <t>EGP 1,866.67</t>
  </si>
  <si>
    <t>EGP 88,405.00</t>
  </si>
  <si>
    <t>BANK TRANSFER</t>
  </si>
  <si>
    <t>NAME</t>
  </si>
  <si>
    <t>NET TRASNFER</t>
  </si>
  <si>
    <t>EGP 4,066.00</t>
  </si>
  <si>
    <t>EGP 5,350.00</t>
  </si>
  <si>
    <t>EGP 6,333.00</t>
  </si>
  <si>
    <t>EGP 11,500.00</t>
  </si>
  <si>
    <t>BASSANTI IBRAHIM HELAL SHABAAN</t>
  </si>
  <si>
    <t>EGP 11,800.00</t>
  </si>
  <si>
    <t>ESLAM HUSSIEN IBRAHIM ABDELKADER</t>
  </si>
  <si>
    <t>EGP 7,866.00</t>
  </si>
  <si>
    <t>Hossney ahmed hussien</t>
  </si>
  <si>
    <t>EGP 3,780.00</t>
  </si>
  <si>
    <t>EGP 8,165.00</t>
  </si>
  <si>
    <t>EGP 6,933.00</t>
  </si>
  <si>
    <t>EGP 9,333.00</t>
  </si>
  <si>
    <t>MOHAMED ASHRAF ANWAR MANSOUR</t>
  </si>
  <si>
    <t>EGP 7,466.00</t>
  </si>
  <si>
    <t>MOHAMED NASSER ABDALRAHMAN ABDULLAH</t>
  </si>
  <si>
    <t>EGP 6,766.00</t>
  </si>
  <si>
    <t>Mohamed Sayed Ezzat Almorsy</t>
  </si>
  <si>
    <t>EGP 15,450.00</t>
  </si>
  <si>
    <t>NOURHAN DIAB AHMED ABDELWARETH</t>
  </si>
  <si>
    <t>EGP 10,166.00</t>
  </si>
  <si>
    <t>EGP 14,200.00</t>
  </si>
  <si>
    <t>EGP 7,333.00</t>
  </si>
  <si>
    <t>Talia Hani Ali Kotb Ali Fayed</t>
  </si>
  <si>
    <t>EGP 5,750.00</t>
  </si>
  <si>
    <t>EGP 6,420.00</t>
  </si>
  <si>
    <t>EGP 160,510.00</t>
  </si>
  <si>
    <t>Time</t>
  </si>
  <si>
    <t>Abdrahman mohamed ahmed</t>
  </si>
  <si>
    <t>Saturday</t>
  </si>
  <si>
    <t>HAGERMARKET</t>
  </si>
  <si>
    <t>Starting Date</t>
  </si>
  <si>
    <t>Adham saad monir saad</t>
  </si>
  <si>
    <t>Bassanti</t>
  </si>
  <si>
    <t>SHAHD</t>
  </si>
  <si>
    <t>4\1</t>
  </si>
  <si>
    <t>ahmed el sayed mahmoud</t>
  </si>
  <si>
    <t>Ahmedmohamed</t>
  </si>
  <si>
    <t>ALIWAEL Saturday</t>
  </si>
  <si>
    <t>MOHAMEDASHRAF</t>
  </si>
  <si>
    <t>MOHAMEDBELAL</t>
  </si>
  <si>
    <t>Eslamhesen</t>
  </si>
  <si>
    <t>HAZEM</t>
  </si>
  <si>
    <t>HEND</t>
  </si>
  <si>
    <t>Ibrahimsobh</t>
  </si>
  <si>
    <t>Taliahany</t>
  </si>
  <si>
    <t>Seiftaha</t>
  </si>
  <si>
    <t>NORHAN</t>
  </si>
  <si>
    <t>MOAZ</t>
  </si>
  <si>
    <t>MNASER</t>
  </si>
  <si>
    <t>AHMEDNABEL</t>
  </si>
  <si>
    <t>Ranaahmed</t>
  </si>
  <si>
    <t>MARIAM</t>
  </si>
  <si>
    <t>excuse</t>
  </si>
  <si>
    <t>NOHA</t>
  </si>
  <si>
    <t>saadmounier</t>
  </si>
  <si>
    <t>Nayera</t>
  </si>
  <si>
    <t>SALABEL</t>
  </si>
  <si>
    <t>YARA</t>
  </si>
  <si>
    <t>AHMEDTALEMA</t>
  </si>
  <si>
    <t>Startin date</t>
  </si>
  <si>
    <t>OMNIAPC</t>
  </si>
  <si>
    <t>Startin Date</t>
  </si>
  <si>
    <t>SHEHAB</t>
  </si>
  <si>
    <t>ALYELDEN</t>
  </si>
  <si>
    <t>MOSTAFA</t>
  </si>
  <si>
    <t>Start Date</t>
  </si>
  <si>
    <t>MOMAR</t>
  </si>
  <si>
    <t>25\1</t>
  </si>
  <si>
    <t>Excuse</t>
  </si>
  <si>
    <t>ALIWAEL</t>
  </si>
  <si>
    <t>?</t>
  </si>
  <si>
    <t>DAWOD</t>
  </si>
  <si>
    <t>MSAEED</t>
  </si>
  <si>
    <t>NAYER</t>
  </si>
  <si>
    <t>MAMIN</t>
  </si>
  <si>
    <t>form</t>
  </si>
  <si>
    <t>6\1</t>
  </si>
  <si>
    <t>Meeting</t>
  </si>
  <si>
    <t>7\1</t>
  </si>
  <si>
    <t>papers</t>
  </si>
  <si>
    <t>MOHAMEDSAYED</t>
  </si>
  <si>
    <t>Sick 7-1</t>
  </si>
  <si>
    <t>8\1</t>
  </si>
  <si>
    <t>11\1</t>
  </si>
  <si>
    <t>exam</t>
  </si>
  <si>
    <t>Prop</t>
  </si>
  <si>
    <t>البصمة هيتخصم عليك نص يوم لو مش بصم</t>
  </si>
  <si>
    <t>11\1 accident</t>
  </si>
  <si>
    <t>Papers</t>
  </si>
  <si>
    <t>leave</t>
  </si>
  <si>
    <t>18\1</t>
  </si>
  <si>
    <t>الربع ساعة هتنزل تأخيرات الا ربع هتبقى ربع يوم و هكذا</t>
  </si>
  <si>
    <t>Last Day</t>
  </si>
  <si>
    <t>Friday</t>
  </si>
  <si>
    <t>12\1</t>
  </si>
  <si>
    <t>5\1</t>
  </si>
  <si>
    <t>Sick 12-1</t>
  </si>
  <si>
    <t>14\1</t>
  </si>
  <si>
    <t>meeting</t>
  </si>
  <si>
    <t>18\1 - annual</t>
  </si>
  <si>
    <t>19\1 - annual</t>
  </si>
  <si>
    <t>19\1</t>
  </si>
  <si>
    <t>27\1</t>
  </si>
  <si>
    <t>كل التأخيرات بسبب ان عربيته كانت مسروقة من 10\10\2028 و تم إستردادها من يوم 2\12\2025 ف كان لازم يروح بصفة يومية لاغلب المنشآت الحكومية لإستخراج اورق الخاصة بها و يتم إستلامها بشكل رسمي</t>
  </si>
  <si>
    <t>20\1</t>
  </si>
  <si>
    <t>21\1</t>
  </si>
  <si>
    <t>29\1 2</t>
  </si>
  <si>
    <t>22\1</t>
  </si>
  <si>
    <t>asanser kan 36lan</t>
  </si>
  <si>
    <t>انا اتواصلت معه لتوضيح اسباب الغيابات المتكررة - عنده مشكلة صحية في صدره</t>
  </si>
  <si>
    <t>bsbb asasnser kan 36lan hia oo mohamed ashraf</t>
  </si>
  <si>
    <t>FP mni ana</t>
  </si>
  <si>
    <t>29\1</t>
  </si>
  <si>
    <t>نازل جمعات وسبتات طول الشهر و الاجازات الرسمية-</t>
  </si>
  <si>
    <t>29\1 11:35</t>
  </si>
  <si>
    <t>السبت 31\1 بيومين</t>
  </si>
  <si>
    <t>بتمشي متأخر كل الايام</t>
  </si>
  <si>
    <t>29\1 11:36</t>
  </si>
  <si>
    <t>مستر سليم طلب اشيل له 3 ايام</t>
  </si>
  <si>
    <t>شهر يناير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</si>
</sst>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&quot;$&quot;#,##0"/>
    <numFmt numFmtId="166" formatCode="d\-m\-yyyy"/>
    <numFmt numFmtId="167" formatCode="dd/mm/yyyy"/>
    <numFmt numFmtId="170" formatCode="[$£-809]#,##0"/>
    <numFmt numFmtId="171" formatCode="dd/mm/yyyy\ hh:mm"/>
  </numFmts>
  <fonts count="59">
    <font>
      <sz val="10"/>
      <color rgb="FF000000"/>
      <name val="Arial"/>
      <scheme val="minor"/>
    </font>
    <font>
      <sz val="16"/>
      <color rgb="FF000000"/>
      <name val="Comfortaa"/>
    </font>
    <font>
      <b/>
      <sz val="14"/>
      <color rgb="FF000000"/>
      <name val="Comfortaa"/>
    </font>
    <font>
      <b/>
      <sz val="16"/>
      <color theme="1"/>
      <name val="Arial"/>
    </font>
    <font>
      <b/>
      <sz val="12"/>
      <color rgb="FF000000"/>
      <name val="Comfortaa"/>
    </font>
    <font>
      <sz val="10"/>
      <color theme="1"/>
      <name val="Arial"/>
    </font>
    <font>
      <b/>
      <sz val="11"/>
      <color rgb="FF000000"/>
      <name val="Comfortaa"/>
    </font>
    <font>
      <sz val="10"/>
      <color theme="1"/>
      <name val="Comfortaa"/>
    </font>
    <font>
      <b/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b/>
      <sz val="13"/>
      <color theme="1"/>
      <name val="Arial"/>
    </font>
    <font>
      <sz val="11"/>
      <color rgb="FF000000"/>
      <name val="Comfortaa"/>
    </font>
    <font>
      <b/>
      <sz val="8"/>
      <color rgb="FF000000"/>
      <name val="Comfortaa"/>
    </font>
    <font>
      <b/>
      <sz val="9"/>
      <color rgb="FF000000"/>
      <name val="Comfortaa"/>
    </font>
    <font>
      <b/>
      <sz val="8"/>
      <color theme="1"/>
      <name val="Arial"/>
    </font>
    <font>
      <b/>
      <sz val="8"/>
      <color theme="1"/>
      <name val="Calibri"/>
    </font>
    <font>
      <b/>
      <sz val="11"/>
      <color theme="1"/>
      <name val="Comfortaa"/>
    </font>
    <font>
      <sz val="11"/>
      <color theme="1"/>
      <name val="Comfortaa"/>
    </font>
    <font>
      <b/>
      <sz val="8"/>
      <color rgb="FF000000"/>
      <name val="Arial"/>
    </font>
    <font>
      <sz val="10"/>
      <color rgb="FF000000"/>
      <name val="Comfortaa"/>
    </font>
    <font>
      <b/>
      <sz val="8"/>
      <color theme="1"/>
      <name val="Comfortaa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sz val="12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theme="1"/>
      <name val="Comfortaa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b/>
      <sz val="10"/>
      <color theme="1"/>
      <name val="Comfortaa"/>
    </font>
    <font>
      <sz val="10"/>
      <color rgb="FF000000"/>
      <name val="Arial"/>
    </font>
    <font>
      <b/>
      <sz val="10"/>
      <color rgb="FF000000"/>
      <name val="Arial"/>
    </font>
    <font>
      <b/>
      <sz val="15"/>
      <color theme="1"/>
      <name val="Arial"/>
    </font>
    <font>
      <b/>
      <sz val="10"/>
      <color theme="1"/>
      <name val="Comfortaa"/>
    </font>
    <font>
      <sz val="10"/>
      <color theme="1"/>
      <name val="Arial"/>
      <scheme val="minor"/>
    </font>
    <font>
      <b/>
      <sz val="16"/>
      <color rgb="FF000000"/>
      <name val="Comfortaa"/>
    </font>
    <font>
      <sz val="13"/>
      <color theme="1"/>
      <name val="Arial"/>
      <scheme val="minor"/>
    </font>
    <font>
      <b/>
      <sz val="11"/>
      <color rgb="FF000000"/>
      <name val="Arial"/>
      <scheme val="minor"/>
    </font>
    <font>
      <b/>
      <sz val="10"/>
      <color theme="1"/>
      <name val="Arial"/>
      <scheme val="minor"/>
    </font>
    <font>
      <sz val="11"/>
      <color rgb="FF222B35"/>
      <name val="Arial"/>
    </font>
    <font>
      <sz val="11"/>
      <color theme="1"/>
      <name val="Arial"/>
      <scheme val="minor"/>
    </font>
    <font>
      <b/>
      <sz val="11"/>
      <color rgb="FFFF0000"/>
      <name val="Arial"/>
    </font>
    <font>
      <b/>
      <sz val="11"/>
      <color rgb="FF222B35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2"/>
      <color rgb="FF000000"/>
      <name val="Arial"/>
    </font>
    <font>
      <b/>
      <sz val="14"/>
      <color rgb="FFFF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FF0000"/>
      <name val="Arial"/>
    </font>
    <font>
      <b/>
      <sz val="11"/>
      <color rgb="FFFF0000"/>
      <name val="Calibri"/>
    </font>
    <font>
      <sz val="10"/>
      <color rgb="FFFF0000"/>
      <name val="Arial"/>
    </font>
    <font>
      <b/>
      <sz val="11"/>
      <color rgb="FFFFFFFF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00B050"/>
        <bgColor rgb="FF00B050"/>
      </patternFill>
    </fill>
    <fill>
      <patternFill patternType="solid">
        <fgColor rgb="FF4472C4"/>
        <bgColor rgb="FF4472C4"/>
      </patternFill>
    </fill>
    <fill>
      <patternFill patternType="solid">
        <fgColor rgb="FF93C47D"/>
        <bgColor rgb="FF93C47D"/>
      </patternFill>
    </fill>
    <fill>
      <patternFill patternType="solid">
        <fgColor rgb="FF002060"/>
        <bgColor rgb="FF002060"/>
      </patternFill>
    </fill>
    <fill>
      <patternFill patternType="solid">
        <fgColor rgb="FFDDEBF7"/>
        <bgColor rgb="FFDDEBF7"/>
      </patternFill>
    </fill>
    <fill>
      <patternFill patternType="solid">
        <fgColor rgb="FFED7D31"/>
        <bgColor rgb="FFED7D31"/>
      </patternFill>
    </fill>
    <fill>
      <patternFill patternType="solid">
        <fgColor rgb="FFF8FBFC"/>
        <bgColor rgb="FFF8FBF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/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4" fontId="6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" fontId="8" fillId="8" borderId="1" xfId="0" applyNumberFormat="1" applyFont="1" applyFill="1" applyBorder="1" applyAlignment="1">
      <alignment horizontal="center"/>
    </xf>
    <xf numFmtId="4" fontId="2" fillId="8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64" fontId="6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164" fontId="24" fillId="3" borderId="1" xfId="0" applyNumberFormat="1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164" fontId="22" fillId="3" borderId="1" xfId="0" applyNumberFormat="1" applyFont="1" applyFill="1" applyBorder="1" applyAlignment="1">
      <alignment horizontal="center"/>
    </xf>
    <xf numFmtId="0" fontId="27" fillId="3" borderId="0" xfId="0" applyFont="1" applyFill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24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5" fillId="3" borderId="1" xfId="0" applyFont="1" applyFill="1" applyBorder="1"/>
    <xf numFmtId="0" fontId="30" fillId="8" borderId="1" xfId="0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33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/>
    </xf>
    <xf numFmtId="164" fontId="25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4" fontId="34" fillId="3" borderId="1" xfId="0" applyNumberFormat="1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4" fillId="8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35" fillId="8" borderId="1" xfId="0" applyFont="1" applyFill="1" applyBorder="1" applyAlignment="1">
      <alignment horizontal="center"/>
    </xf>
    <xf numFmtId="0" fontId="37" fillId="8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/>
    </xf>
    <xf numFmtId="0" fontId="31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27" fillId="8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37" fillId="3" borderId="1" xfId="0" applyNumberFormat="1" applyFont="1" applyFill="1" applyBorder="1" applyAlignment="1">
      <alignment horizontal="center"/>
    </xf>
    <xf numFmtId="0" fontId="37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8" fillId="3" borderId="0" xfId="0" applyFont="1" applyFill="1" applyAlignment="1">
      <alignment horizontal="center" vertical="center"/>
    </xf>
    <xf numFmtId="164" fontId="31" fillId="3" borderId="1" xfId="0" applyNumberFormat="1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64" fontId="18" fillId="3" borderId="9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0" xfId="0" applyFont="1" applyFill="1"/>
    <xf numFmtId="165" fontId="25" fillId="3" borderId="0" xfId="0" applyNumberFormat="1" applyFont="1" applyFill="1" applyAlignment="1">
      <alignment horizontal="center" vertical="center"/>
    </xf>
    <xf numFmtId="0" fontId="22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4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164" fontId="8" fillId="3" borderId="1" xfId="0" applyNumberFormat="1" applyFont="1" applyFill="1" applyBorder="1" applyAlignment="1">
      <alignment horizontal="left"/>
    </xf>
    <xf numFmtId="166" fontId="6" fillId="3" borderId="1" xfId="0" applyNumberFormat="1" applyFont="1" applyFill="1" applyBorder="1" applyAlignment="1">
      <alignment horizontal="center"/>
    </xf>
    <xf numFmtId="166" fontId="22" fillId="3" borderId="1" xfId="0" applyNumberFormat="1" applyFont="1" applyFill="1" applyBorder="1" applyAlignment="1">
      <alignment horizontal="center"/>
    </xf>
    <xf numFmtId="166" fontId="24" fillId="3" borderId="1" xfId="0" applyNumberFormat="1" applyFont="1" applyFill="1" applyBorder="1" applyAlignment="1">
      <alignment horizontal="center"/>
    </xf>
    <xf numFmtId="166" fontId="17" fillId="3" borderId="1" xfId="0" applyNumberFormat="1" applyFont="1" applyFill="1" applyBorder="1" applyAlignment="1">
      <alignment horizontal="center"/>
    </xf>
    <xf numFmtId="164" fontId="22" fillId="3" borderId="1" xfId="0" applyNumberFormat="1" applyFont="1" applyFill="1" applyBorder="1" applyAlignment="1">
      <alignment horizontal="left"/>
    </xf>
    <xf numFmtId="164" fontId="24" fillId="3" borderId="1" xfId="0" applyNumberFormat="1" applyFont="1" applyFill="1" applyBorder="1" applyAlignment="1">
      <alignment horizontal="left"/>
    </xf>
    <xf numFmtId="166" fontId="22" fillId="3" borderId="1" xfId="0" applyNumberFormat="1" applyFont="1" applyFill="1" applyBorder="1" applyAlignment="1">
      <alignment horizontal="left"/>
    </xf>
    <xf numFmtId="166" fontId="24" fillId="3" borderId="1" xfId="0" applyNumberFormat="1" applyFont="1" applyFill="1" applyBorder="1" applyAlignment="1">
      <alignment horizontal="left"/>
    </xf>
    <xf numFmtId="4" fontId="29" fillId="3" borderId="0" xfId="0" applyNumberFormat="1" applyFont="1" applyFill="1" applyAlignment="1">
      <alignment horizontal="center" wrapText="1"/>
    </xf>
    <xf numFmtId="170" fontId="24" fillId="3" borderId="1" xfId="0" applyNumberFormat="1" applyFont="1" applyFill="1" applyBorder="1" applyAlignment="1">
      <alignment horizontal="center"/>
    </xf>
    <xf numFmtId="0" fontId="40" fillId="3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170" fontId="41" fillId="3" borderId="1" xfId="0" applyNumberFormat="1" applyFont="1" applyFill="1" applyBorder="1" applyAlignment="1">
      <alignment horizontal="center"/>
    </xf>
    <xf numFmtId="170" fontId="1" fillId="3" borderId="1" xfId="0" applyNumberFormat="1" applyFont="1" applyFill="1" applyBorder="1" applyAlignment="1">
      <alignment horizontal="center"/>
    </xf>
    <xf numFmtId="170" fontId="35" fillId="3" borderId="1" xfId="0" applyNumberFormat="1" applyFont="1" applyFill="1" applyBorder="1" applyAlignment="1">
      <alignment horizontal="center"/>
    </xf>
    <xf numFmtId="170" fontId="7" fillId="3" borderId="1" xfId="0" applyNumberFormat="1" applyFont="1" applyFill="1" applyBorder="1" applyAlignment="1">
      <alignment horizontal="center"/>
    </xf>
    <xf numFmtId="166" fontId="6" fillId="8" borderId="1" xfId="0" applyNumberFormat="1" applyFont="1" applyFill="1" applyBorder="1" applyAlignment="1">
      <alignment horizontal="center"/>
    </xf>
    <xf numFmtId="170" fontId="2" fillId="3" borderId="1" xfId="0" applyNumberFormat="1" applyFont="1" applyFill="1" applyBorder="1" applyAlignment="1">
      <alignment horizontal="center"/>
    </xf>
    <xf numFmtId="170" fontId="6" fillId="3" borderId="1" xfId="0" applyNumberFormat="1" applyFont="1" applyFill="1" applyBorder="1" applyAlignment="1">
      <alignment horizontal="center"/>
    </xf>
    <xf numFmtId="170" fontId="4" fillId="3" borderId="1" xfId="0" applyNumberFormat="1" applyFont="1" applyFill="1" applyBorder="1" applyAlignment="1">
      <alignment horizontal="center"/>
    </xf>
    <xf numFmtId="0" fontId="12" fillId="17" borderId="1" xfId="0" applyFont="1" applyFill="1" applyBorder="1" applyAlignment="1">
      <alignment horizontal="center"/>
    </xf>
    <xf numFmtId="170" fontId="22" fillId="3" borderId="1" xfId="0" applyNumberFormat="1" applyFont="1" applyFill="1" applyBorder="1" applyAlignment="1">
      <alignment horizontal="center"/>
    </xf>
    <xf numFmtId="170" fontId="8" fillId="3" borderId="1" xfId="0" applyNumberFormat="1" applyFont="1" applyFill="1" applyBorder="1" applyAlignment="1">
      <alignment horizontal="center"/>
    </xf>
    <xf numFmtId="170" fontId="17" fillId="3" borderId="1" xfId="0" applyNumberFormat="1" applyFont="1" applyFill="1" applyBorder="1" applyAlignment="1">
      <alignment horizontal="center"/>
    </xf>
    <xf numFmtId="3" fontId="42" fillId="0" borderId="9" xfId="0" applyNumberFormat="1" applyFont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43" fillId="3" borderId="1" xfId="0" applyFont="1" applyFill="1" applyBorder="1" applyAlignment="1">
      <alignment horizontal="center"/>
    </xf>
    <xf numFmtId="170" fontId="8" fillId="3" borderId="9" xfId="0" applyNumberFormat="1" applyFont="1" applyFill="1" applyBorder="1" applyAlignment="1">
      <alignment horizontal="center"/>
    </xf>
    <xf numFmtId="170" fontId="6" fillId="3" borderId="9" xfId="0" applyNumberFormat="1" applyFont="1" applyFill="1" applyBorder="1" applyAlignment="1">
      <alignment horizontal="center"/>
    </xf>
    <xf numFmtId="170" fontId="8" fillId="3" borderId="1" xfId="0" applyNumberFormat="1" applyFont="1" applyFill="1" applyBorder="1" applyAlignment="1">
      <alignment horizontal="left"/>
    </xf>
    <xf numFmtId="170" fontId="32" fillId="3" borderId="1" xfId="0" applyNumberFormat="1" applyFont="1" applyFill="1" applyBorder="1" applyAlignment="1">
      <alignment horizontal="center"/>
    </xf>
    <xf numFmtId="170" fontId="8" fillId="3" borderId="1" xfId="0" applyNumberFormat="1" applyFont="1" applyFill="1" applyBorder="1"/>
    <xf numFmtId="170" fontId="8" fillId="3" borderId="1" xfId="0" applyNumberFormat="1" applyFont="1" applyFill="1" applyBorder="1" applyAlignment="1">
      <alignment horizontal="center" vertical="center"/>
    </xf>
    <xf numFmtId="170" fontId="34" fillId="3" borderId="1" xfId="0" applyNumberFormat="1" applyFont="1" applyFill="1" applyBorder="1" applyAlignment="1">
      <alignment horizontal="center"/>
    </xf>
    <xf numFmtId="170" fontId="9" fillId="3" borderId="1" xfId="0" applyNumberFormat="1" applyFont="1" applyFill="1" applyBorder="1" applyAlignment="1">
      <alignment horizontal="center"/>
    </xf>
    <xf numFmtId="170" fontId="8" fillId="3" borderId="4" xfId="0" applyNumberFormat="1" applyFont="1" applyFill="1" applyBorder="1" applyAlignment="1">
      <alignment horizontal="center"/>
    </xf>
    <xf numFmtId="170" fontId="11" fillId="3" borderId="1" xfId="0" applyNumberFormat="1" applyFont="1" applyFill="1" applyBorder="1" applyAlignment="1">
      <alignment horizontal="center" vertical="center"/>
    </xf>
    <xf numFmtId="170" fontId="11" fillId="3" borderId="1" xfId="0" applyNumberFormat="1" applyFont="1" applyFill="1" applyBorder="1" applyAlignment="1">
      <alignment horizontal="center"/>
    </xf>
    <xf numFmtId="170" fontId="37" fillId="3" borderId="1" xfId="0" applyNumberFormat="1" applyFont="1" applyFill="1" applyBorder="1" applyAlignment="1">
      <alignment horizontal="center"/>
    </xf>
    <xf numFmtId="170" fontId="38" fillId="3" borderId="0" xfId="0" applyNumberFormat="1" applyFont="1" applyFill="1" applyAlignment="1">
      <alignment horizontal="center" vertical="center"/>
    </xf>
    <xf numFmtId="170" fontId="39" fillId="3" borderId="1" xfId="0" applyNumberFormat="1" applyFont="1" applyFill="1" applyBorder="1" applyAlignment="1">
      <alignment horizontal="center"/>
    </xf>
    <xf numFmtId="170" fontId="44" fillId="3" borderId="0" xfId="0" applyNumberFormat="1" applyFont="1" applyFill="1" applyAlignment="1">
      <alignment horizontal="center"/>
    </xf>
    <xf numFmtId="170" fontId="35" fillId="3" borderId="5" xfId="0" applyNumberFormat="1" applyFont="1" applyFill="1" applyBorder="1" applyAlignment="1">
      <alignment horizontal="center"/>
    </xf>
    <xf numFmtId="170" fontId="35" fillId="3" borderId="8" xfId="0" applyNumberFormat="1" applyFont="1" applyFill="1" applyBorder="1" applyAlignment="1">
      <alignment horizontal="center"/>
    </xf>
    <xf numFmtId="170" fontId="5" fillId="3" borderId="1" xfId="0" applyNumberFormat="1" applyFont="1" applyFill="1" applyBorder="1" applyAlignment="1">
      <alignment horizontal="center"/>
    </xf>
    <xf numFmtId="170" fontId="5" fillId="3" borderId="9" xfId="0" applyNumberFormat="1" applyFont="1" applyFill="1" applyBorder="1" applyAlignment="1">
      <alignment horizontal="center"/>
    </xf>
    <xf numFmtId="170" fontId="5" fillId="3" borderId="0" xfId="0" applyNumberFormat="1" applyFont="1" applyFill="1"/>
    <xf numFmtId="170" fontId="24" fillId="3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/>
    </xf>
    <xf numFmtId="0" fontId="46" fillId="0" borderId="0" xfId="0" applyFont="1"/>
    <xf numFmtId="0" fontId="47" fillId="18" borderId="10" xfId="0" applyFont="1" applyFill="1" applyBorder="1" applyAlignment="1">
      <alignment horizontal="center"/>
    </xf>
    <xf numFmtId="0" fontId="45" fillId="19" borderId="10" xfId="0" applyFont="1" applyFill="1" applyBorder="1" applyAlignment="1">
      <alignment horizontal="center" vertical="top"/>
    </xf>
    <xf numFmtId="0" fontId="25" fillId="19" borderId="10" xfId="0" applyFont="1" applyFill="1" applyBorder="1" applyAlignment="1">
      <alignment horizontal="left"/>
    </xf>
    <xf numFmtId="0" fontId="25" fillId="19" borderId="10" xfId="0" applyFont="1" applyFill="1" applyBorder="1" applyAlignment="1">
      <alignment horizontal="center"/>
    </xf>
    <xf numFmtId="0" fontId="45" fillId="19" borderId="10" xfId="0" applyFont="1" applyFill="1" applyBorder="1" applyAlignment="1">
      <alignment horizontal="center"/>
    </xf>
    <xf numFmtId="4" fontId="45" fillId="19" borderId="10" xfId="0" applyNumberFormat="1" applyFont="1" applyFill="1" applyBorder="1" applyAlignment="1">
      <alignment horizontal="center"/>
    </xf>
    <xf numFmtId="0" fontId="45" fillId="0" borderId="10" xfId="0" applyFont="1" applyBorder="1" applyAlignment="1">
      <alignment horizontal="center" vertical="top"/>
    </xf>
    <xf numFmtId="0" fontId="25" fillId="0" borderId="0" xfId="0" applyFont="1" applyAlignment="1">
      <alignment horizontal="left"/>
    </xf>
    <xf numFmtId="0" fontId="25" fillId="0" borderId="10" xfId="0" applyFont="1" applyBorder="1" applyAlignment="1">
      <alignment horizontal="center"/>
    </xf>
    <xf numFmtId="0" fontId="45" fillId="0" borderId="10" xfId="0" applyFont="1" applyBorder="1" applyAlignment="1">
      <alignment horizontal="center"/>
    </xf>
    <xf numFmtId="4" fontId="45" fillId="0" borderId="10" xfId="0" applyNumberFormat="1" applyFont="1" applyBorder="1" applyAlignment="1">
      <alignment horizontal="center"/>
    </xf>
    <xf numFmtId="0" fontId="25" fillId="19" borderId="0" xfId="0" applyFont="1" applyFill="1" applyAlignment="1">
      <alignment horizontal="left"/>
    </xf>
    <xf numFmtId="0" fontId="24" fillId="19" borderId="10" xfId="0" applyFont="1" applyFill="1" applyBorder="1" applyAlignment="1">
      <alignment horizontal="left"/>
    </xf>
    <xf numFmtId="0" fontId="24" fillId="19" borderId="10" xfId="0" applyFont="1" applyFill="1" applyBorder="1" applyAlignment="1">
      <alignment horizontal="center"/>
    </xf>
    <xf numFmtId="0" fontId="48" fillId="19" borderId="10" xfId="0" applyFont="1" applyFill="1" applyBorder="1" applyAlignment="1">
      <alignment horizontal="center"/>
    </xf>
    <xf numFmtId="4" fontId="48" fillId="19" borderId="10" xfId="0" applyNumberFormat="1" applyFont="1" applyFill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4" fillId="0" borderId="10" xfId="0" applyFont="1" applyBorder="1" applyAlignment="1">
      <alignment horizontal="left"/>
    </xf>
    <xf numFmtId="0" fontId="24" fillId="0" borderId="10" xfId="0" applyFont="1" applyBorder="1" applyAlignment="1">
      <alignment horizontal="center"/>
    </xf>
    <xf numFmtId="0" fontId="48" fillId="0" borderId="10" xfId="0" applyFont="1" applyBorder="1" applyAlignment="1">
      <alignment horizontal="center"/>
    </xf>
    <xf numFmtId="4" fontId="48" fillId="0" borderId="10" xfId="0" applyNumberFormat="1" applyFont="1" applyBorder="1" applyAlignment="1">
      <alignment horizontal="center"/>
    </xf>
    <xf numFmtId="0" fontId="23" fillId="0" borderId="10" xfId="0" applyFont="1" applyBorder="1" applyAlignment="1">
      <alignment horizontal="left"/>
    </xf>
    <xf numFmtId="0" fontId="48" fillId="19" borderId="10" xfId="0" applyFont="1" applyFill="1" applyBorder="1" applyAlignment="1">
      <alignment horizontal="left"/>
    </xf>
    <xf numFmtId="0" fontId="45" fillId="19" borderId="10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 vertical="top"/>
    </xf>
    <xf numFmtId="0" fontId="48" fillId="18" borderId="10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49" fillId="18" borderId="10" xfId="0" applyFont="1" applyFill="1" applyBorder="1" applyAlignment="1">
      <alignment horizontal="center"/>
    </xf>
    <xf numFmtId="0" fontId="28" fillId="0" borderId="0" xfId="0" applyFont="1"/>
    <xf numFmtId="0" fontId="28" fillId="0" borderId="0" xfId="0" applyFont="1" applyAlignment="1">
      <alignment horizontal="right"/>
    </xf>
    <xf numFmtId="4" fontId="28" fillId="0" borderId="0" xfId="0" applyNumberFormat="1" applyFont="1" applyAlignment="1">
      <alignment horizontal="left"/>
    </xf>
    <xf numFmtId="4" fontId="28" fillId="21" borderId="0" xfId="0" applyNumberFormat="1" applyFont="1" applyFill="1" applyAlignment="1">
      <alignment horizontal="center"/>
    </xf>
    <xf numFmtId="4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4" fontId="9" fillId="0" borderId="0" xfId="0" applyNumberFormat="1" applyFont="1" applyAlignment="1">
      <alignment horizontal="left"/>
    </xf>
    <xf numFmtId="4" fontId="51" fillId="21" borderId="11" xfId="0" applyNumberFormat="1" applyFont="1" applyFill="1" applyBorder="1" applyAlignment="1">
      <alignment horizontal="left"/>
    </xf>
    <xf numFmtId="4" fontId="28" fillId="0" borderId="12" xfId="0" applyNumberFormat="1" applyFont="1" applyBorder="1" applyAlignment="1">
      <alignment horizontal="left"/>
    </xf>
    <xf numFmtId="4" fontId="28" fillId="0" borderId="0" xfId="0" applyNumberFormat="1" applyFont="1" applyAlignment="1">
      <alignment horizontal="right"/>
    </xf>
    <xf numFmtId="4" fontId="28" fillId="0" borderId="0" xfId="0" applyNumberFormat="1" applyFont="1" applyAlignment="1">
      <alignment horizontal="center"/>
    </xf>
    <xf numFmtId="4" fontId="28" fillId="8" borderId="0" xfId="0" applyNumberFormat="1" applyFont="1" applyFill="1"/>
    <xf numFmtId="4" fontId="52" fillId="8" borderId="0" xfId="0" applyNumberFormat="1" applyFont="1" applyFill="1" applyAlignment="1">
      <alignment horizontal="center"/>
    </xf>
    <xf numFmtId="4" fontId="28" fillId="0" borderId="0" xfId="0" applyNumberFormat="1" applyFont="1"/>
    <xf numFmtId="0" fontId="50" fillId="16" borderId="14" xfId="0" applyFont="1" applyFill="1" applyBorder="1" applyAlignment="1">
      <alignment horizontal="left"/>
    </xf>
    <xf numFmtId="4" fontId="50" fillId="16" borderId="11" xfId="0" applyNumberFormat="1" applyFont="1" applyFill="1" applyBorder="1" applyAlignment="1">
      <alignment horizontal="left"/>
    </xf>
    <xf numFmtId="4" fontId="50" fillId="16" borderId="12" xfId="0" applyNumberFormat="1" applyFont="1" applyFill="1" applyBorder="1" applyAlignment="1">
      <alignment horizontal="left"/>
    </xf>
    <xf numFmtId="0" fontId="28" fillId="0" borderId="14" xfId="0" applyFont="1" applyBorder="1" applyAlignment="1">
      <alignment horizontal="right"/>
    </xf>
    <xf numFmtId="4" fontId="28" fillId="8" borderId="11" xfId="0" applyNumberFormat="1" applyFont="1" applyFill="1" applyBorder="1" applyAlignment="1">
      <alignment horizontal="left"/>
    </xf>
    <xf numFmtId="4" fontId="51" fillId="8" borderId="11" xfId="0" applyNumberFormat="1" applyFont="1" applyFill="1" applyBorder="1" applyAlignment="1">
      <alignment horizontal="left"/>
    </xf>
    <xf numFmtId="4" fontId="28" fillId="2" borderId="15" xfId="0" applyNumberFormat="1" applyFont="1" applyFill="1" applyBorder="1"/>
    <xf numFmtId="4" fontId="51" fillId="2" borderId="16" xfId="0" applyNumberFormat="1" applyFont="1" applyFill="1" applyBorder="1" applyAlignment="1">
      <alignment horizontal="left"/>
    </xf>
    <xf numFmtId="4" fontId="28" fillId="2" borderId="17" xfId="0" applyNumberFormat="1" applyFont="1" applyFill="1" applyBorder="1" applyAlignment="1">
      <alignment horizontal="left"/>
    </xf>
    <xf numFmtId="0" fontId="53" fillId="0" borderId="0" xfId="0" applyFont="1"/>
    <xf numFmtId="0" fontId="8" fillId="0" borderId="0" xfId="0" applyFont="1" applyAlignment="1">
      <alignment horizontal="left"/>
    </xf>
    <xf numFmtId="0" fontId="5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54" fillId="0" borderId="0" xfId="0" applyFont="1"/>
    <xf numFmtId="0" fontId="5" fillId="0" borderId="0" xfId="0" applyFont="1" applyAlignment="1">
      <alignment horizontal="left"/>
    </xf>
    <xf numFmtId="171" fontId="5" fillId="0" borderId="0" xfId="0" applyNumberFormat="1" applyFont="1" applyAlignment="1">
      <alignment horizontal="left"/>
    </xf>
    <xf numFmtId="0" fontId="5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71" fontId="5" fillId="0" borderId="0" xfId="0" applyNumberFormat="1" applyFont="1" applyAlignment="1">
      <alignment horizontal="center"/>
    </xf>
    <xf numFmtId="0" fontId="53" fillId="0" borderId="0" xfId="0" applyFont="1" applyAlignment="1">
      <alignment horizontal="right"/>
    </xf>
    <xf numFmtId="171" fontId="8" fillId="0" borderId="0" xfId="0" applyNumberFormat="1" applyFont="1" applyAlignment="1">
      <alignment horizontal="left"/>
    </xf>
    <xf numFmtId="171" fontId="53" fillId="0" borderId="0" xfId="0" applyNumberFormat="1" applyFont="1" applyAlignment="1">
      <alignment horizontal="left"/>
    </xf>
    <xf numFmtId="0" fontId="5" fillId="0" borderId="0" xfId="0" applyFont="1"/>
    <xf numFmtId="0" fontId="55" fillId="0" borderId="0" xfId="0" applyFont="1" applyAlignment="1">
      <alignment horizontal="center"/>
    </xf>
    <xf numFmtId="171" fontId="55" fillId="0" borderId="0" xfId="0" applyNumberFormat="1" applyFont="1" applyAlignment="1">
      <alignment horizontal="center"/>
    </xf>
    <xf numFmtId="0" fontId="56" fillId="0" borderId="0" xfId="0" applyFont="1" applyAlignment="1">
      <alignment horizontal="right"/>
    </xf>
    <xf numFmtId="0" fontId="54" fillId="0" borderId="0" xfId="0" applyFont="1" applyAlignment="1">
      <alignment horizontal="right"/>
    </xf>
    <xf numFmtId="167" fontId="53" fillId="0" borderId="0" xfId="0" applyNumberFormat="1" applyFont="1" applyAlignment="1">
      <alignment horizontal="left"/>
    </xf>
    <xf numFmtId="0" fontId="57" fillId="0" borderId="0" xfId="0" applyFont="1" applyAlignment="1">
      <alignment horizontal="right"/>
    </xf>
    <xf numFmtId="171" fontId="57" fillId="0" borderId="0" xfId="0" applyNumberFormat="1" applyFont="1" applyAlignment="1">
      <alignment horizontal="left"/>
    </xf>
    <xf numFmtId="171" fontId="5" fillId="0" borderId="0" xfId="0" applyNumberFormat="1" applyFont="1" applyAlignment="1">
      <alignment horizontal="right"/>
    </xf>
    <xf numFmtId="171" fontId="55" fillId="0" borderId="0" xfId="0" applyNumberFormat="1" applyFont="1" applyAlignment="1">
      <alignment horizontal="left"/>
    </xf>
    <xf numFmtId="0" fontId="57" fillId="0" borderId="0" xfId="0" applyFont="1" applyAlignment="1">
      <alignment horizontal="left"/>
    </xf>
    <xf numFmtId="0" fontId="55" fillId="0" borderId="0" xfId="0" applyFont="1" applyAlignment="1">
      <alignment horizontal="left"/>
    </xf>
    <xf numFmtId="0" fontId="53" fillId="15" borderId="0" xfId="0" applyFont="1" applyFill="1" applyAlignment="1">
      <alignment horizontal="center"/>
    </xf>
    <xf numFmtId="4" fontId="22" fillId="8" borderId="1" xfId="0" applyNumberFormat="1" applyFont="1" applyFill="1" applyBorder="1" applyAlignment="1">
      <alignment horizontal="center" wrapText="1"/>
    </xf>
    <xf numFmtId="4" fontId="29" fillId="4" borderId="0" xfId="0" applyNumberFormat="1" applyFont="1" applyFill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10" fillId="0" borderId="9" xfId="0" applyFont="1" applyBorder="1"/>
    <xf numFmtId="0" fontId="10" fillId="0" borderId="4" xfId="0" applyFont="1" applyBorder="1"/>
    <xf numFmtId="0" fontId="10" fillId="0" borderId="5" xfId="0" applyFont="1" applyBorder="1"/>
    <xf numFmtId="0" fontId="9" fillId="9" borderId="3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 vertical="center"/>
    </xf>
    <xf numFmtId="0" fontId="10" fillId="0" borderId="7" xfId="0" applyFont="1" applyBorder="1"/>
    <xf numFmtId="0" fontId="3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70" fontId="8" fillId="3" borderId="2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0" fillId="0" borderId="0" xfId="0"/>
    <xf numFmtId="0" fontId="50" fillId="20" borderId="0" xfId="0" applyFont="1" applyFill="1" applyAlignment="1">
      <alignment horizontal="center"/>
    </xf>
    <xf numFmtId="4" fontId="50" fillId="16" borderId="0" xfId="0" applyNumberFormat="1" applyFont="1" applyFill="1" applyAlignment="1">
      <alignment horizontal="center"/>
    </xf>
    <xf numFmtId="0" fontId="10" fillId="0" borderId="13" xfId="0" applyFont="1" applyBorder="1"/>
    <xf numFmtId="0" fontId="58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53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80"/>
  <sheetViews>
    <sheetView tabSelected="1" topLeftCell="A43" workbookViewId="0"/>
  </sheetViews>
  <sheetFormatPr defaultColWidth="12.5703125" defaultRowHeight="15" customHeight="1"/>
  <cols>
    <col min="1" max="1" width="10.5703125" customWidth="1"/>
    <col min="2" max="2" width="15.85546875" customWidth="1"/>
    <col min="3" max="3" width="14.28515625" customWidth="1"/>
    <col min="4" max="4" width="73.28515625" customWidth="1"/>
    <col min="5" max="5" width="15.42578125" bestFit="1" customWidth="1"/>
    <col min="6" max="6" width="18.42578125" customWidth="1"/>
    <col min="7" max="7" width="17.140625" customWidth="1"/>
    <col min="8" max="8" width="13.28515625" customWidth="1"/>
    <col min="9" max="9" width="11.140625" customWidth="1"/>
    <col min="10" max="10" width="12.42578125" customWidth="1"/>
  </cols>
  <sheetData>
    <row r="1" spans="1:27" ht="20.25">
      <c r="A1" s="1" t="s">
        <v>0</v>
      </c>
      <c r="B1" s="138" t="s">
        <v>1</v>
      </c>
      <c r="C1" s="139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>
      <c r="A2" s="6"/>
      <c r="B2" s="140"/>
      <c r="C2" s="141"/>
      <c r="D2" s="6"/>
      <c r="E2" s="8">
        <v>0</v>
      </c>
      <c r="F2" s="10">
        <f>SUM(B4:B2007)</f>
        <v>551184.5</v>
      </c>
      <c r="G2" s="10">
        <f>SUM(C4:C2007)+E4</f>
        <v>661725</v>
      </c>
      <c r="H2" s="10">
        <f>G2-F2</f>
        <v>110540.5</v>
      </c>
      <c r="I2" s="11">
        <v>0</v>
      </c>
      <c r="J2" s="12">
        <f>32707+34629-3303-9102-5000-1000-10000-12000-1000+761-3645-1000-1500-1000-1000-18500+10000-10000-47</f>
        <v>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>
      <c r="A3" s="260" t="s">
        <v>473</v>
      </c>
      <c r="B3" s="258"/>
      <c r="C3" s="258"/>
      <c r="D3" s="259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5.75" customHeight="1">
      <c r="A4" s="142"/>
      <c r="B4" s="143"/>
      <c r="C4" s="143"/>
      <c r="D4" s="22"/>
      <c r="E4" s="13">
        <v>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>
      <c r="A5" s="142"/>
      <c r="B5" s="143"/>
      <c r="C5" s="143"/>
      <c r="D5" s="22"/>
      <c r="E5" s="13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5.75" customHeight="1">
      <c r="A6" s="142">
        <v>46113</v>
      </c>
      <c r="B6" s="144"/>
      <c r="C6" s="143">
        <v>150000</v>
      </c>
      <c r="D6" s="6" t="s">
        <v>475</v>
      </c>
      <c r="E6" s="8">
        <f>E4+C6-B6</f>
        <v>150000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15.75" customHeight="1">
      <c r="A7" s="142">
        <v>46113</v>
      </c>
      <c r="B7" s="144"/>
      <c r="C7" s="143">
        <v>150000</v>
      </c>
      <c r="D7" s="18" t="s">
        <v>476</v>
      </c>
      <c r="E7" s="8">
        <f t="shared" ref="E7:E261" si="0">E6+C7-B7</f>
        <v>300000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5.75" customHeight="1">
      <c r="A8" s="126">
        <v>46133</v>
      </c>
      <c r="B8" s="145"/>
      <c r="C8" s="143">
        <v>42500</v>
      </c>
      <c r="D8" s="146" t="s">
        <v>477</v>
      </c>
      <c r="E8" s="8">
        <f t="shared" si="0"/>
        <v>342500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5.75" customHeight="1">
      <c r="A9" s="126">
        <v>46133</v>
      </c>
      <c r="B9" s="144">
        <v>2500</v>
      </c>
      <c r="C9" s="143"/>
      <c r="D9" s="24" t="s">
        <v>478</v>
      </c>
      <c r="E9" s="8">
        <f t="shared" si="0"/>
        <v>340000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5.75" customHeight="1">
      <c r="A10" s="126">
        <v>46135</v>
      </c>
      <c r="B10" s="147">
        <v>2750</v>
      </c>
      <c r="C10" s="143"/>
      <c r="D10" s="24" t="s">
        <v>479</v>
      </c>
      <c r="E10" s="8">
        <f t="shared" si="0"/>
        <v>337250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5.75" customHeight="1">
      <c r="A11" s="126">
        <v>46141</v>
      </c>
      <c r="B11" s="148">
        <v>6375</v>
      </c>
      <c r="C11" s="143"/>
      <c r="D11" s="25" t="s">
        <v>472</v>
      </c>
      <c r="E11" s="8">
        <f t="shared" si="0"/>
        <v>330875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5.75" customHeight="1">
      <c r="A12" s="126">
        <v>46141</v>
      </c>
      <c r="B12" s="144">
        <v>2125</v>
      </c>
      <c r="C12" s="143"/>
      <c r="D12" s="24" t="s">
        <v>480</v>
      </c>
      <c r="E12" s="8">
        <f t="shared" si="0"/>
        <v>328750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5.75" customHeight="1">
      <c r="A13" s="126">
        <v>46141</v>
      </c>
      <c r="B13" s="144">
        <v>2125</v>
      </c>
      <c r="C13" s="143"/>
      <c r="D13" s="25" t="s">
        <v>481</v>
      </c>
      <c r="E13" s="8">
        <f t="shared" si="0"/>
        <v>326625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5.75" customHeight="1">
      <c r="A14" s="129">
        <v>46142</v>
      </c>
      <c r="B14" s="149">
        <v>7500</v>
      </c>
      <c r="C14" s="143"/>
      <c r="D14" s="24" t="s">
        <v>482</v>
      </c>
      <c r="E14" s="8">
        <f t="shared" si="0"/>
        <v>319125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5.75" customHeight="1">
      <c r="A15" s="126">
        <v>46142</v>
      </c>
      <c r="B15" s="150">
        <v>2784</v>
      </c>
      <c r="C15" s="143"/>
      <c r="D15" s="24" t="s">
        <v>483</v>
      </c>
      <c r="E15" s="8">
        <f t="shared" si="0"/>
        <v>316341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5.75" customHeight="1">
      <c r="A16" s="126">
        <v>46142</v>
      </c>
      <c r="B16" s="144">
        <v>11141</v>
      </c>
      <c r="C16" s="143"/>
      <c r="D16" s="24" t="s">
        <v>484</v>
      </c>
      <c r="E16" s="8">
        <f t="shared" si="0"/>
        <v>305200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5.75" customHeight="1">
      <c r="A17" s="129">
        <v>46142</v>
      </c>
      <c r="B17" s="149">
        <v>3580</v>
      </c>
      <c r="C17" s="143"/>
      <c r="D17" s="7" t="s">
        <v>474</v>
      </c>
      <c r="E17" s="8">
        <f t="shared" si="0"/>
        <v>301620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5.75" customHeight="1">
      <c r="A18" s="129">
        <v>46114</v>
      </c>
      <c r="B18" s="24">
        <v>53507</v>
      </c>
      <c r="C18" s="24"/>
      <c r="D18" s="24" t="s">
        <v>485</v>
      </c>
      <c r="E18" s="8">
        <f t="shared" si="0"/>
        <v>248113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5.75" customHeight="1">
      <c r="A19" s="126">
        <v>46116</v>
      </c>
      <c r="B19" s="24">
        <v>33516</v>
      </c>
      <c r="C19" s="35"/>
      <c r="D19" s="35" t="s">
        <v>486</v>
      </c>
      <c r="E19" s="8">
        <f t="shared" si="0"/>
        <v>214597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5.75" customHeight="1">
      <c r="A20" s="126">
        <v>46116</v>
      </c>
      <c r="B20" s="144">
        <v>53166</v>
      </c>
      <c r="C20" s="143"/>
      <c r="D20" s="23" t="s">
        <v>487</v>
      </c>
      <c r="E20" s="8">
        <f t="shared" si="0"/>
        <v>161431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5.75" customHeight="1">
      <c r="A21" s="126">
        <v>46158</v>
      </c>
      <c r="B21" s="144"/>
      <c r="C21" s="143">
        <v>33000</v>
      </c>
      <c r="D21" s="151" t="s">
        <v>477</v>
      </c>
      <c r="E21" s="8">
        <f t="shared" si="0"/>
        <v>194431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5.75" customHeight="1">
      <c r="A22" s="126">
        <v>46160</v>
      </c>
      <c r="B22" s="144">
        <v>1650</v>
      </c>
      <c r="C22" s="143"/>
      <c r="D22" s="23" t="s">
        <v>488</v>
      </c>
      <c r="E22" s="8">
        <f t="shared" si="0"/>
        <v>192781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5.75" customHeight="1">
      <c r="A23" s="126">
        <v>46160</v>
      </c>
      <c r="B23" s="144">
        <v>5000</v>
      </c>
      <c r="C23" s="143"/>
      <c r="D23" s="23" t="s">
        <v>489</v>
      </c>
      <c r="E23" s="8">
        <f t="shared" si="0"/>
        <v>187781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5.75" customHeight="1">
      <c r="A24" s="127">
        <v>46162</v>
      </c>
      <c r="B24" s="147">
        <v>800</v>
      </c>
      <c r="C24" s="143"/>
      <c r="D24" s="24" t="s">
        <v>490</v>
      </c>
      <c r="E24" s="8">
        <f t="shared" si="0"/>
        <v>186981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5.75" customHeight="1">
      <c r="A25" s="127">
        <v>46162</v>
      </c>
      <c r="B25" s="147">
        <v>1050</v>
      </c>
      <c r="C25" s="143"/>
      <c r="D25" s="24" t="s">
        <v>491</v>
      </c>
      <c r="E25" s="8">
        <f t="shared" si="0"/>
        <v>185931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5.75" customHeight="1">
      <c r="A26" s="128">
        <v>46163</v>
      </c>
      <c r="B26" s="135">
        <v>2000</v>
      </c>
      <c r="C26" s="143"/>
      <c r="D26" s="38" t="s">
        <v>492</v>
      </c>
      <c r="E26" s="8">
        <f t="shared" si="0"/>
        <v>183931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5.75" customHeight="1">
      <c r="A27" s="128">
        <v>46163</v>
      </c>
      <c r="B27" s="135">
        <v>2436</v>
      </c>
      <c r="C27" s="143"/>
      <c r="D27" s="24" t="s">
        <v>493</v>
      </c>
      <c r="E27" s="8">
        <f t="shared" si="0"/>
        <v>181495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5.75" customHeight="1">
      <c r="A28" s="127">
        <v>46167</v>
      </c>
      <c r="B28" s="147">
        <v>2500</v>
      </c>
      <c r="C28" s="143"/>
      <c r="D28" s="38" t="s">
        <v>494</v>
      </c>
      <c r="E28" s="8">
        <f t="shared" si="0"/>
        <v>178995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5.75" customHeight="1">
      <c r="A29" s="127">
        <v>46167</v>
      </c>
      <c r="B29" s="147">
        <v>1660</v>
      </c>
      <c r="C29" s="143"/>
      <c r="D29" s="38" t="s">
        <v>495</v>
      </c>
      <c r="E29" s="8">
        <f t="shared" si="0"/>
        <v>177335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5.75" customHeight="1">
      <c r="A30" s="127">
        <v>46167</v>
      </c>
      <c r="B30" s="147">
        <v>4950</v>
      </c>
      <c r="C30" s="143"/>
      <c r="D30" s="38" t="s">
        <v>496</v>
      </c>
      <c r="E30" s="8">
        <f t="shared" si="0"/>
        <v>172385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5.75" customHeight="1">
      <c r="A31" s="127">
        <v>46167</v>
      </c>
      <c r="B31" s="147">
        <v>4950</v>
      </c>
      <c r="C31" s="143"/>
      <c r="D31" s="38" t="s">
        <v>497</v>
      </c>
      <c r="E31" s="8">
        <f t="shared" si="0"/>
        <v>167435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5.75" customHeight="1">
      <c r="A32" s="127">
        <v>46190</v>
      </c>
      <c r="B32" s="147">
        <v>21066</v>
      </c>
      <c r="C32" s="143"/>
      <c r="D32" s="35" t="s">
        <v>485</v>
      </c>
      <c r="E32" s="8">
        <f t="shared" si="0"/>
        <v>146369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5.75" customHeight="1">
      <c r="A33" s="127">
        <v>46190</v>
      </c>
      <c r="B33" s="147">
        <v>67382</v>
      </c>
      <c r="C33" s="143"/>
      <c r="D33" s="35" t="s">
        <v>486</v>
      </c>
      <c r="E33" s="8">
        <f t="shared" si="0"/>
        <v>78987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5.75" customHeight="1">
      <c r="A34" s="127">
        <v>46190</v>
      </c>
      <c r="B34" s="147">
        <v>63820</v>
      </c>
      <c r="C34" s="143"/>
      <c r="D34" s="152" t="s">
        <v>487</v>
      </c>
      <c r="E34" s="8">
        <f t="shared" si="0"/>
        <v>15167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5.75" customHeight="1">
      <c r="A35" s="127">
        <v>46190</v>
      </c>
      <c r="B35" s="148">
        <v>11207.5</v>
      </c>
      <c r="C35" s="143"/>
      <c r="D35" s="22" t="s">
        <v>498</v>
      </c>
      <c r="E35" s="8">
        <f t="shared" si="0"/>
        <v>3959.5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5.75" customHeight="1">
      <c r="A36" s="127">
        <v>46195</v>
      </c>
      <c r="B36" s="144"/>
      <c r="C36" s="143">
        <v>20000</v>
      </c>
      <c r="D36" s="146" t="s">
        <v>499</v>
      </c>
      <c r="E36" s="8">
        <f t="shared" si="0"/>
        <v>23959.5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5.75" customHeight="1">
      <c r="A37" s="127">
        <v>46196</v>
      </c>
      <c r="B37" s="144"/>
      <c r="C37" s="143">
        <v>10000</v>
      </c>
      <c r="D37" s="146" t="s">
        <v>500</v>
      </c>
      <c r="E37" s="8">
        <f t="shared" si="0"/>
        <v>33959.5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5.75" customHeight="1">
      <c r="A38" s="128">
        <v>46202</v>
      </c>
      <c r="B38" s="144"/>
      <c r="C38" s="143">
        <v>224225</v>
      </c>
      <c r="D38" s="146" t="s">
        <v>501</v>
      </c>
      <c r="E38" s="8">
        <f t="shared" si="0"/>
        <v>258184.5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5.75" customHeight="1">
      <c r="A39" s="128">
        <v>46203</v>
      </c>
      <c r="B39" s="144"/>
      <c r="C39" s="143">
        <v>32000</v>
      </c>
      <c r="D39" s="146" t="s">
        <v>502</v>
      </c>
      <c r="E39" s="8">
        <f t="shared" si="0"/>
        <v>290184.5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5.75" customHeight="1">
      <c r="A40" s="128">
        <v>46203</v>
      </c>
      <c r="B40" s="153">
        <v>3100</v>
      </c>
      <c r="C40" s="143"/>
      <c r="D40" s="23" t="s">
        <v>503</v>
      </c>
      <c r="E40" s="8">
        <f t="shared" si="0"/>
        <v>287084.5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5.75" customHeight="1">
      <c r="A41" s="128">
        <v>46203</v>
      </c>
      <c r="B41" s="153">
        <v>33600</v>
      </c>
      <c r="C41" s="143"/>
      <c r="D41" s="23" t="s">
        <v>504</v>
      </c>
      <c r="E41" s="8">
        <f t="shared" si="0"/>
        <v>253484.5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5.75" customHeight="1">
      <c r="A42" s="128">
        <v>46203</v>
      </c>
      <c r="B42" s="154">
        <v>9000</v>
      </c>
      <c r="C42" s="143"/>
      <c r="D42" s="23" t="s">
        <v>505</v>
      </c>
      <c r="E42" s="8">
        <f t="shared" si="0"/>
        <v>244484.5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5.75" customHeight="1">
      <c r="A43" s="128">
        <v>46203</v>
      </c>
      <c r="B43" s="144">
        <v>4500</v>
      </c>
      <c r="C43" s="143"/>
      <c r="D43" s="23" t="s">
        <v>506</v>
      </c>
      <c r="E43" s="8">
        <f t="shared" si="0"/>
        <v>239984.5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5.75" customHeight="1">
      <c r="A44" s="128">
        <v>46203</v>
      </c>
      <c r="B44" s="144">
        <v>3100</v>
      </c>
      <c r="C44" s="143"/>
      <c r="D44" s="23" t="s">
        <v>507</v>
      </c>
      <c r="E44" s="8">
        <f t="shared" si="0"/>
        <v>236884.5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5.75" customHeight="1">
      <c r="A45" s="128">
        <v>46203</v>
      </c>
      <c r="B45" s="144">
        <v>500</v>
      </c>
      <c r="C45" s="143"/>
      <c r="D45" s="23" t="s">
        <v>508</v>
      </c>
      <c r="E45" s="8">
        <f t="shared" si="0"/>
        <v>236384.5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5.75" customHeight="1">
      <c r="A46" s="128">
        <v>46203</v>
      </c>
      <c r="B46" s="147">
        <v>250</v>
      </c>
      <c r="C46" s="143"/>
      <c r="D46" s="38" t="s">
        <v>509</v>
      </c>
      <c r="E46" s="8">
        <f t="shared" si="0"/>
        <v>236134.5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5.75" customHeight="1">
      <c r="A47" s="128">
        <v>46203</v>
      </c>
      <c r="B47" s="149">
        <v>1121</v>
      </c>
      <c r="C47" s="143"/>
      <c r="D47" s="7" t="s">
        <v>510</v>
      </c>
      <c r="E47" s="8">
        <f t="shared" si="0"/>
        <v>235013.5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5.75" customHeight="1">
      <c r="A48" s="129">
        <v>46205</v>
      </c>
      <c r="B48" s="149">
        <v>5930</v>
      </c>
      <c r="C48" s="143"/>
      <c r="D48" s="22" t="s">
        <v>511</v>
      </c>
      <c r="E48" s="8">
        <f t="shared" si="0"/>
        <v>229083.5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5.75" customHeight="1">
      <c r="A49" s="127">
        <v>46216</v>
      </c>
      <c r="B49" s="147">
        <v>14600</v>
      </c>
      <c r="C49" s="143"/>
      <c r="D49" s="38" t="s">
        <v>512</v>
      </c>
      <c r="E49" s="8">
        <f t="shared" si="0"/>
        <v>214483.5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5.75" customHeight="1">
      <c r="A50" s="127">
        <v>46216</v>
      </c>
      <c r="B50" s="135">
        <v>1600</v>
      </c>
      <c r="C50" s="143"/>
      <c r="D50" s="35" t="s">
        <v>513</v>
      </c>
      <c r="E50" s="8">
        <f t="shared" si="0"/>
        <v>212883.5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5.75" customHeight="1">
      <c r="A51" s="127">
        <v>46216</v>
      </c>
      <c r="B51" s="135">
        <v>6424</v>
      </c>
      <c r="C51" s="143"/>
      <c r="D51" s="24" t="s">
        <v>514</v>
      </c>
      <c r="E51" s="8">
        <f t="shared" si="0"/>
        <v>206459.5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5.75" customHeight="1">
      <c r="A52" s="130">
        <v>46216</v>
      </c>
      <c r="B52" s="147">
        <v>48599</v>
      </c>
      <c r="C52" s="143"/>
      <c r="D52" s="24" t="s">
        <v>487</v>
      </c>
      <c r="E52" s="8">
        <f t="shared" si="0"/>
        <v>157860.5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5.75" customHeight="1">
      <c r="A53" s="130">
        <v>46216</v>
      </c>
      <c r="B53" s="147">
        <v>2325</v>
      </c>
      <c r="C53" s="143"/>
      <c r="D53" s="38" t="s">
        <v>515</v>
      </c>
      <c r="E53" s="8">
        <f t="shared" si="0"/>
        <v>155535.5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5.75" customHeight="1">
      <c r="A54" s="130">
        <v>46216</v>
      </c>
      <c r="B54" s="135">
        <v>1867</v>
      </c>
      <c r="C54" s="143"/>
      <c r="D54" s="24" t="s">
        <v>516</v>
      </c>
      <c r="E54" s="8">
        <f t="shared" si="0"/>
        <v>153668.5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5.75" customHeight="1">
      <c r="A55" s="130">
        <v>46216</v>
      </c>
      <c r="B55" s="147">
        <v>31917</v>
      </c>
      <c r="C55" s="143"/>
      <c r="D55" s="38" t="s">
        <v>517</v>
      </c>
      <c r="E55" s="8">
        <f t="shared" si="0"/>
        <v>121751.5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5.75" customHeight="1">
      <c r="A56" s="130">
        <v>46216</v>
      </c>
      <c r="B56" s="147">
        <v>11211</v>
      </c>
      <c r="C56" s="143"/>
      <c r="D56" s="38" t="s">
        <v>518</v>
      </c>
      <c r="E56" s="8">
        <f t="shared" si="0"/>
        <v>110540.5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5.75" customHeight="1">
      <c r="A57" s="130"/>
      <c r="B57" s="147"/>
      <c r="C57" s="143"/>
      <c r="D57" s="38"/>
      <c r="E57" s="8">
        <f t="shared" si="0"/>
        <v>110540.5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5.75" customHeight="1">
      <c r="A58" s="130"/>
      <c r="B58" s="147"/>
      <c r="C58" s="143"/>
      <c r="D58" s="38"/>
      <c r="E58" s="8">
        <f t="shared" si="0"/>
        <v>110540.5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5.75" customHeight="1">
      <c r="A59" s="130"/>
      <c r="B59" s="147"/>
      <c r="C59" s="143"/>
      <c r="D59" s="38"/>
      <c r="E59" s="8">
        <f t="shared" si="0"/>
        <v>110540.5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8.75" customHeight="1">
      <c r="A60" s="132"/>
      <c r="B60" s="147"/>
      <c r="C60" s="143"/>
      <c r="D60" s="38"/>
      <c r="E60" s="8">
        <f t="shared" si="0"/>
        <v>110540.5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75" customHeight="1">
      <c r="A61" s="125"/>
      <c r="B61" s="148"/>
      <c r="C61" s="143"/>
      <c r="D61" s="35"/>
      <c r="E61" s="8">
        <f t="shared" si="0"/>
        <v>110540.5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5.75" customHeight="1">
      <c r="A62" s="125"/>
      <c r="B62" s="148"/>
      <c r="C62" s="143"/>
      <c r="D62" s="35"/>
      <c r="E62" s="8">
        <f t="shared" si="0"/>
        <v>110540.5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5.75" customHeight="1">
      <c r="A63" s="121"/>
      <c r="B63" s="147"/>
      <c r="C63" s="143"/>
      <c r="D63" s="38"/>
      <c r="E63" s="8">
        <f t="shared" si="0"/>
        <v>110540.5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5.75" customHeight="1">
      <c r="A64" s="121"/>
      <c r="B64" s="147"/>
      <c r="C64" s="143"/>
      <c r="D64" s="38"/>
      <c r="E64" s="8">
        <f t="shared" si="0"/>
        <v>110540.5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5.75" customHeight="1">
      <c r="A65" s="123"/>
      <c r="B65" s="135"/>
      <c r="C65" s="143"/>
      <c r="D65" s="24"/>
      <c r="E65" s="8">
        <f t="shared" si="0"/>
        <v>110540.5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5.75" customHeight="1">
      <c r="A66" s="133"/>
      <c r="B66" s="135"/>
      <c r="C66" s="143"/>
      <c r="D66" s="24"/>
      <c r="E66" s="8">
        <f t="shared" si="0"/>
        <v>110540.5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5.75" customHeight="1">
      <c r="A67" s="133"/>
      <c r="B67" s="148"/>
      <c r="C67" s="143"/>
      <c r="D67" s="38"/>
      <c r="E67" s="8">
        <f t="shared" si="0"/>
        <v>110540.5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5.75" customHeight="1">
      <c r="A68" s="128"/>
      <c r="B68" s="135"/>
      <c r="C68" s="143"/>
      <c r="D68" s="24"/>
      <c r="E68" s="8">
        <f t="shared" si="0"/>
        <v>110540.5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5.75" customHeight="1">
      <c r="A69" s="127"/>
      <c r="B69" s="147"/>
      <c r="C69" s="143"/>
      <c r="D69" s="38"/>
      <c r="E69" s="8">
        <f t="shared" si="0"/>
        <v>110540.5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5.75" customHeight="1">
      <c r="A70" s="127"/>
      <c r="B70" s="147"/>
      <c r="C70" s="143"/>
      <c r="D70" s="7"/>
      <c r="E70" s="8">
        <f t="shared" si="0"/>
        <v>110540.5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5.75" customHeight="1">
      <c r="A71" s="127"/>
      <c r="B71" s="147"/>
      <c r="C71" s="143"/>
      <c r="D71" s="38"/>
      <c r="E71" s="8">
        <f t="shared" si="0"/>
        <v>110540.5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5.75" customHeight="1">
      <c r="A72" s="127"/>
      <c r="B72" s="147"/>
      <c r="C72" s="143"/>
      <c r="D72" s="38"/>
      <c r="E72" s="8">
        <f t="shared" si="0"/>
        <v>110540.5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5.75" customHeight="1">
      <c r="A73" s="127"/>
      <c r="B73" s="147"/>
      <c r="C73" s="143"/>
      <c r="D73" s="38"/>
      <c r="E73" s="8">
        <f t="shared" si="0"/>
        <v>110540.5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5.75" customHeight="1">
      <c r="A74" s="127"/>
      <c r="B74" s="147"/>
      <c r="C74" s="143"/>
      <c r="D74" s="38"/>
      <c r="E74" s="8">
        <f t="shared" si="0"/>
        <v>110540.5</v>
      </c>
      <c r="F74" s="51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5.75" customHeight="1">
      <c r="A75" s="127"/>
      <c r="B75" s="148"/>
      <c r="C75" s="143"/>
      <c r="D75" s="7"/>
      <c r="E75" s="8">
        <f t="shared" si="0"/>
        <v>110540.5</v>
      </c>
      <c r="F75" s="51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5.75" customHeight="1">
      <c r="A76" s="127"/>
      <c r="B76" s="147"/>
      <c r="C76" s="143"/>
      <c r="D76" s="136"/>
      <c r="E76" s="8">
        <f t="shared" si="0"/>
        <v>110540.5</v>
      </c>
      <c r="F76" s="51"/>
      <c r="G76" s="14"/>
      <c r="H76" s="14"/>
      <c r="I76" s="14"/>
      <c r="J76" s="13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5.75" customHeight="1">
      <c r="A77" s="127"/>
      <c r="B77" s="147"/>
      <c r="C77" s="143"/>
      <c r="D77" s="38"/>
      <c r="E77" s="8">
        <f t="shared" si="0"/>
        <v>110540.5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5.75" customHeight="1">
      <c r="A78" s="127"/>
      <c r="B78" s="147"/>
      <c r="C78" s="143"/>
      <c r="D78" s="24"/>
      <c r="E78" s="8">
        <f t="shared" si="0"/>
        <v>110540.5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8">
      <c r="A79" s="127"/>
      <c r="B79" s="147"/>
      <c r="C79" s="143"/>
      <c r="D79" s="38"/>
      <c r="E79" s="8">
        <f t="shared" si="0"/>
        <v>110540.5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5.75" customHeight="1">
      <c r="A80" s="45"/>
      <c r="B80" s="148"/>
      <c r="C80" s="143"/>
      <c r="D80" s="24"/>
      <c r="E80" s="8">
        <f t="shared" si="0"/>
        <v>110540.5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5.75" customHeight="1">
      <c r="A81" s="127"/>
      <c r="B81" s="147"/>
      <c r="C81" s="143"/>
      <c r="D81" s="38"/>
      <c r="E81" s="8">
        <f t="shared" si="0"/>
        <v>110540.5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5.75" customHeight="1">
      <c r="A82" s="127"/>
      <c r="B82" s="144"/>
      <c r="C82" s="143"/>
      <c r="D82" s="7"/>
      <c r="E82" s="8">
        <f t="shared" si="0"/>
        <v>110540.5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5.75" customHeight="1">
      <c r="A83" s="127"/>
      <c r="B83" s="144"/>
      <c r="C83" s="143"/>
      <c r="D83" s="7"/>
      <c r="E83" s="8">
        <f t="shared" si="0"/>
        <v>110540.5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5.75" customHeight="1">
      <c r="A84" s="127"/>
      <c r="B84" s="147"/>
      <c r="C84" s="143"/>
      <c r="D84" s="38"/>
      <c r="E84" s="8">
        <f t="shared" si="0"/>
        <v>110540.5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5.75" customHeight="1">
      <c r="A85" s="127"/>
      <c r="B85" s="147"/>
      <c r="C85" s="143"/>
      <c r="D85" s="37"/>
      <c r="E85" s="8">
        <f t="shared" si="0"/>
        <v>110540.5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5.75" customHeight="1">
      <c r="A86" s="127"/>
      <c r="B86" s="144"/>
      <c r="C86" s="143"/>
      <c r="D86" s="24"/>
      <c r="E86" s="8">
        <f t="shared" si="0"/>
        <v>110540.5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5.75" customHeight="1">
      <c r="A87" s="127"/>
      <c r="B87" s="144"/>
      <c r="C87" s="143"/>
      <c r="D87" s="24"/>
      <c r="E87" s="8">
        <f t="shared" si="0"/>
        <v>110540.5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5.75" customHeight="1">
      <c r="A88" s="53"/>
      <c r="B88" s="144"/>
      <c r="C88" s="143"/>
      <c r="D88" s="7"/>
      <c r="E88" s="8">
        <f t="shared" si="0"/>
        <v>110540.5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5.75" customHeight="1">
      <c r="A89" s="130"/>
      <c r="B89" s="147"/>
      <c r="C89" s="143"/>
      <c r="D89" s="7"/>
      <c r="E89" s="8">
        <f t="shared" si="0"/>
        <v>110540.5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5.75" customHeight="1">
      <c r="A90" s="130"/>
      <c r="B90" s="147"/>
      <c r="C90" s="143"/>
      <c r="D90" s="37"/>
      <c r="E90" s="8">
        <f t="shared" si="0"/>
        <v>110540.5</v>
      </c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 spans="1:27" ht="15.75" customHeight="1">
      <c r="A91" s="130"/>
      <c r="B91" s="147"/>
      <c r="C91" s="143"/>
      <c r="D91" s="37"/>
      <c r="E91" s="8">
        <f t="shared" si="0"/>
        <v>110540.5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5.75" customHeight="1">
      <c r="A92" s="121"/>
      <c r="B92" s="147"/>
      <c r="C92" s="143"/>
      <c r="D92" s="38"/>
      <c r="E92" s="8">
        <f t="shared" si="0"/>
        <v>110540.5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5.75" customHeight="1">
      <c r="A93" s="132"/>
      <c r="B93" s="147"/>
      <c r="C93" s="143"/>
      <c r="D93" s="38"/>
      <c r="E93" s="8">
        <f t="shared" si="0"/>
        <v>110540.5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5.75" customHeight="1">
      <c r="A94" s="130"/>
      <c r="B94" s="147"/>
      <c r="C94" s="143"/>
      <c r="D94" s="38"/>
      <c r="E94" s="8">
        <f t="shared" si="0"/>
        <v>110540.5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5.75" customHeight="1">
      <c r="A95" s="130"/>
      <c r="B95" s="147"/>
      <c r="C95" s="143"/>
      <c r="D95" s="38"/>
      <c r="E95" s="8">
        <f t="shared" si="0"/>
        <v>110540.5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5.75" customHeight="1">
      <c r="A96" s="130"/>
      <c r="B96" s="147"/>
      <c r="C96" s="143"/>
      <c r="D96" s="38"/>
      <c r="E96" s="8">
        <f t="shared" si="0"/>
        <v>110540.5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5.75" customHeight="1">
      <c r="A97" s="133"/>
      <c r="B97" s="148"/>
      <c r="C97" s="143"/>
      <c r="D97" s="24"/>
      <c r="E97" s="8">
        <f t="shared" si="0"/>
        <v>110540.5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5.75" customHeight="1">
      <c r="A98" s="133"/>
      <c r="B98" s="148"/>
      <c r="C98" s="143"/>
      <c r="D98" s="24"/>
      <c r="E98" s="8">
        <f t="shared" si="0"/>
        <v>110540.5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5.75" customHeight="1">
      <c r="A99" s="131"/>
      <c r="B99" s="148"/>
      <c r="C99" s="143"/>
      <c r="D99" s="24"/>
      <c r="E99" s="8">
        <f t="shared" si="0"/>
        <v>110540.5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5.75" customHeight="1">
      <c r="A100" s="131"/>
      <c r="B100" s="148"/>
      <c r="C100" s="143"/>
      <c r="D100" s="24"/>
      <c r="E100" s="8">
        <f t="shared" si="0"/>
        <v>110540.5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5.75" customHeight="1">
      <c r="A101" s="131"/>
      <c r="B101" s="148"/>
      <c r="C101" s="143"/>
      <c r="D101" s="24"/>
      <c r="E101" s="8">
        <f t="shared" si="0"/>
        <v>110540.5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5.75" customHeight="1">
      <c r="A102" s="123"/>
      <c r="B102" s="135"/>
      <c r="C102" s="143"/>
      <c r="D102" s="42"/>
      <c r="E102" s="8">
        <f t="shared" si="0"/>
        <v>110540.5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5.75" customHeight="1">
      <c r="A103" s="123"/>
      <c r="B103" s="148"/>
      <c r="C103" s="143"/>
      <c r="D103" s="24"/>
      <c r="E103" s="8">
        <f t="shared" si="0"/>
        <v>110540.5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5.75" customHeight="1">
      <c r="A104" s="123"/>
      <c r="B104" s="148"/>
      <c r="C104" s="143"/>
      <c r="D104" s="35"/>
      <c r="E104" s="8">
        <f t="shared" si="0"/>
        <v>110540.5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5.75" customHeight="1">
      <c r="A105" s="123"/>
      <c r="B105" s="148"/>
      <c r="C105" s="143"/>
      <c r="D105" s="35"/>
      <c r="E105" s="8">
        <f t="shared" si="0"/>
        <v>110540.5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8">
      <c r="A106" s="123"/>
      <c r="B106" s="148"/>
      <c r="C106" s="143"/>
      <c r="D106" s="96"/>
      <c r="E106" s="8">
        <f t="shared" si="0"/>
        <v>110540.5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5.75" customHeight="1">
      <c r="A107" s="29"/>
      <c r="B107" s="148"/>
      <c r="C107" s="143"/>
      <c r="D107" s="7"/>
      <c r="E107" s="8">
        <f t="shared" si="0"/>
        <v>110540.5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5.75" customHeight="1">
      <c r="A108" s="29"/>
      <c r="B108" s="148"/>
      <c r="C108" s="143"/>
      <c r="D108" s="35"/>
      <c r="E108" s="8">
        <f t="shared" si="0"/>
        <v>110540.5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5.75" customHeight="1">
      <c r="A109" s="29"/>
      <c r="B109" s="148"/>
      <c r="C109" s="143"/>
      <c r="D109" s="24"/>
      <c r="E109" s="8">
        <f t="shared" si="0"/>
        <v>110540.5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5.75" customHeight="1">
      <c r="A110" s="29"/>
      <c r="B110" s="148"/>
      <c r="C110" s="143"/>
      <c r="D110" s="24"/>
      <c r="E110" s="8">
        <f t="shared" si="0"/>
        <v>110540.5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5.75" customHeight="1">
      <c r="A111" s="29"/>
      <c r="B111" s="148"/>
      <c r="C111" s="143"/>
      <c r="D111" s="35"/>
      <c r="E111" s="8">
        <f t="shared" si="0"/>
        <v>110540.5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5.75" customHeight="1">
      <c r="A112" s="123"/>
      <c r="B112" s="148"/>
      <c r="C112" s="143"/>
      <c r="D112" s="24"/>
      <c r="E112" s="8">
        <f t="shared" si="0"/>
        <v>110540.5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5.75" customHeight="1">
      <c r="A113" s="123"/>
      <c r="B113" s="148"/>
      <c r="C113" s="143"/>
      <c r="D113" s="24"/>
      <c r="E113" s="8">
        <f t="shared" si="0"/>
        <v>110540.5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5.75" customHeight="1">
      <c r="A114" s="124"/>
      <c r="B114" s="148"/>
      <c r="C114" s="143"/>
      <c r="D114" s="35"/>
      <c r="E114" s="8">
        <f t="shared" si="0"/>
        <v>110540.5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5.75" customHeight="1">
      <c r="A115" s="124"/>
      <c r="B115" s="148"/>
      <c r="C115" s="143"/>
      <c r="D115" s="35"/>
      <c r="E115" s="8">
        <f t="shared" si="0"/>
        <v>110540.5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5.75" customHeight="1">
      <c r="A116" s="124"/>
      <c r="B116" s="148"/>
      <c r="C116" s="143"/>
      <c r="D116" s="64"/>
      <c r="E116" s="8">
        <f t="shared" si="0"/>
        <v>110540.5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5.75" customHeight="1">
      <c r="A117" s="122"/>
      <c r="B117" s="148"/>
      <c r="C117" s="143"/>
      <c r="D117" s="24"/>
      <c r="E117" s="8">
        <f t="shared" si="0"/>
        <v>110540.5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5.75" customHeight="1">
      <c r="A118" s="124"/>
      <c r="B118" s="148"/>
      <c r="C118" s="143"/>
      <c r="D118" s="64"/>
      <c r="E118" s="8">
        <f t="shared" si="0"/>
        <v>110540.5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5.75" customHeight="1">
      <c r="A119" s="123"/>
      <c r="B119" s="148"/>
      <c r="C119" s="143"/>
      <c r="D119" s="24"/>
      <c r="E119" s="8">
        <f t="shared" si="0"/>
        <v>110540.5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5.75" customHeight="1">
      <c r="A120" s="123"/>
      <c r="B120" s="148"/>
      <c r="C120" s="143"/>
      <c r="D120" s="24"/>
      <c r="E120" s="8">
        <f t="shared" si="0"/>
        <v>110540.5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5.75" customHeight="1">
      <c r="A121" s="123"/>
      <c r="B121" s="148"/>
      <c r="C121" s="143"/>
      <c r="D121" s="24"/>
      <c r="E121" s="8">
        <f t="shared" si="0"/>
        <v>110540.5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5.75" customHeight="1">
      <c r="A122" s="123"/>
      <c r="B122" s="148"/>
      <c r="C122" s="143"/>
      <c r="D122" s="24"/>
      <c r="E122" s="8">
        <f t="shared" si="0"/>
        <v>110540.5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5.75" customHeight="1">
      <c r="A123" s="123"/>
      <c r="B123" s="148"/>
      <c r="C123" s="143"/>
      <c r="D123" s="35"/>
      <c r="E123" s="8">
        <f t="shared" si="0"/>
        <v>110540.5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5.75" customHeight="1">
      <c r="A124" s="123"/>
      <c r="B124" s="148"/>
      <c r="C124" s="143"/>
      <c r="D124" s="24"/>
      <c r="E124" s="8">
        <f t="shared" si="0"/>
        <v>110540.5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5.75" customHeight="1">
      <c r="A125" s="123"/>
      <c r="B125" s="148"/>
      <c r="C125" s="143"/>
      <c r="D125" s="42"/>
      <c r="E125" s="8">
        <f t="shared" si="0"/>
        <v>110540.5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5.75" customHeight="1">
      <c r="A126" s="123"/>
      <c r="B126" s="148"/>
      <c r="C126" s="143"/>
      <c r="D126" s="24"/>
      <c r="E126" s="8">
        <f t="shared" si="0"/>
        <v>110540.5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5.75" customHeight="1">
      <c r="A127" s="123"/>
      <c r="B127" s="148"/>
      <c r="C127" s="143"/>
      <c r="D127" s="24"/>
      <c r="E127" s="8">
        <f t="shared" si="0"/>
        <v>110540.5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5.75" customHeight="1">
      <c r="A128" s="123"/>
      <c r="B128" s="148"/>
      <c r="C128" s="143"/>
      <c r="D128" s="35"/>
      <c r="E128" s="8">
        <f t="shared" si="0"/>
        <v>110540.5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5.75" customHeight="1">
      <c r="A129" s="123"/>
      <c r="B129" s="148"/>
      <c r="C129" s="143"/>
      <c r="D129" s="24"/>
      <c r="E129" s="8">
        <f t="shared" si="0"/>
        <v>110540.5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5.75" customHeight="1">
      <c r="A130" s="123"/>
      <c r="B130" s="148"/>
      <c r="C130" s="143"/>
      <c r="D130" s="24"/>
      <c r="E130" s="8">
        <f t="shared" si="0"/>
        <v>110540.5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5.75" customHeight="1">
      <c r="A131" s="123"/>
      <c r="B131" s="155"/>
      <c r="C131" s="143"/>
      <c r="D131" s="24"/>
      <c r="E131" s="8">
        <f t="shared" si="0"/>
        <v>110540.5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5.75" customHeight="1">
      <c r="A132" s="123"/>
      <c r="B132" s="148"/>
      <c r="C132" s="143"/>
      <c r="D132" s="24"/>
      <c r="E132" s="8">
        <f t="shared" si="0"/>
        <v>110540.5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5.75" customHeight="1">
      <c r="A133" s="131"/>
      <c r="B133" s="148"/>
      <c r="C133" s="143"/>
      <c r="D133" s="35"/>
      <c r="E133" s="8">
        <f t="shared" si="0"/>
        <v>110540.5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5.75" customHeight="1">
      <c r="A134" s="123"/>
      <c r="B134" s="148"/>
      <c r="C134" s="143"/>
      <c r="D134" s="24"/>
      <c r="E134" s="8">
        <f t="shared" si="0"/>
        <v>110540.5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5.75" customHeight="1">
      <c r="A135" s="41"/>
      <c r="B135" s="148"/>
      <c r="C135" s="143"/>
      <c r="D135" s="24"/>
      <c r="E135" s="8">
        <f t="shared" si="0"/>
        <v>110540.5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5.75" customHeight="1">
      <c r="A136" s="41"/>
      <c r="B136" s="148"/>
      <c r="C136" s="143"/>
      <c r="D136" s="24"/>
      <c r="E136" s="8">
        <f t="shared" si="0"/>
        <v>110540.5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5.75" customHeight="1">
      <c r="A137" s="61"/>
      <c r="B137" s="156"/>
      <c r="C137" s="143"/>
      <c r="D137" s="63"/>
      <c r="E137" s="8">
        <f t="shared" si="0"/>
        <v>110540.5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5.75" customHeight="1">
      <c r="A138" s="41"/>
      <c r="B138" s="148"/>
      <c r="C138" s="143"/>
      <c r="D138" s="24"/>
      <c r="E138" s="8">
        <f t="shared" si="0"/>
        <v>110540.5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5.75" customHeight="1">
      <c r="A139" s="41"/>
      <c r="B139" s="148"/>
      <c r="C139" s="143"/>
      <c r="D139" s="24"/>
      <c r="E139" s="8">
        <f t="shared" si="0"/>
        <v>110540.5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5.75" customHeight="1">
      <c r="A140" s="41"/>
      <c r="B140" s="148"/>
      <c r="C140" s="143"/>
      <c r="D140" s="35"/>
      <c r="E140" s="8">
        <f t="shared" si="0"/>
        <v>110540.5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5.75" customHeight="1">
      <c r="A141" s="41"/>
      <c r="B141" s="135"/>
      <c r="C141" s="143"/>
      <c r="D141" s="41"/>
      <c r="E141" s="8">
        <f t="shared" si="0"/>
        <v>110540.5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5.75" customHeight="1">
      <c r="A142" s="41"/>
      <c r="B142" s="157"/>
      <c r="C142" s="143"/>
      <c r="D142" s="35"/>
      <c r="E142" s="8">
        <f t="shared" si="0"/>
        <v>110540.5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5.75" customHeight="1">
      <c r="A143" s="41"/>
      <c r="B143" s="148"/>
      <c r="C143" s="143"/>
      <c r="D143" s="24"/>
      <c r="E143" s="8">
        <f t="shared" si="0"/>
        <v>110540.5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5.75" customHeight="1">
      <c r="A144" s="41"/>
      <c r="B144" s="157"/>
      <c r="C144" s="143"/>
      <c r="D144" s="35"/>
      <c r="E144" s="8">
        <f t="shared" si="0"/>
        <v>110540.5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5.75" customHeight="1">
      <c r="A145" s="41"/>
      <c r="B145" s="148"/>
      <c r="C145" s="143"/>
      <c r="D145" s="24"/>
      <c r="E145" s="8">
        <f t="shared" si="0"/>
        <v>110540.5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5.75" customHeight="1">
      <c r="A146" s="41"/>
      <c r="B146" s="157"/>
      <c r="C146" s="143"/>
      <c r="D146" s="35"/>
      <c r="E146" s="8">
        <f t="shared" si="0"/>
        <v>110540.5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5.75" customHeight="1">
      <c r="A147" s="41"/>
      <c r="B147" s="148"/>
      <c r="C147" s="143"/>
      <c r="D147" s="24"/>
      <c r="E147" s="8">
        <f t="shared" si="0"/>
        <v>110540.5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5.75" customHeight="1">
      <c r="A148" s="41"/>
      <c r="B148" s="148"/>
      <c r="C148" s="143"/>
      <c r="D148" s="24"/>
      <c r="E148" s="8">
        <f t="shared" si="0"/>
        <v>110540.5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5.75" customHeight="1">
      <c r="A149" s="41"/>
      <c r="B149" s="148"/>
      <c r="C149" s="143"/>
      <c r="D149" s="24"/>
      <c r="E149" s="8">
        <f t="shared" si="0"/>
        <v>110540.5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5.75" customHeight="1">
      <c r="A150" s="41"/>
      <c r="B150" s="148"/>
      <c r="C150" s="143"/>
      <c r="D150" s="24"/>
      <c r="E150" s="8">
        <f t="shared" si="0"/>
        <v>110540.5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5.75" customHeight="1">
      <c r="A151" s="41"/>
      <c r="B151" s="148"/>
      <c r="C151" s="143"/>
      <c r="D151" s="24"/>
      <c r="E151" s="8">
        <f t="shared" si="0"/>
        <v>110540.5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5.75" customHeight="1">
      <c r="A152" s="41"/>
      <c r="B152" s="148"/>
      <c r="C152" s="143"/>
      <c r="D152" s="24"/>
      <c r="E152" s="8">
        <f t="shared" si="0"/>
        <v>110540.5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5.75" customHeight="1">
      <c r="A153" s="41"/>
      <c r="B153" s="148"/>
      <c r="C153" s="143"/>
      <c r="D153" s="35"/>
      <c r="E153" s="8">
        <f t="shared" si="0"/>
        <v>110540.5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5.75" customHeight="1">
      <c r="A154" s="41"/>
      <c r="B154" s="148"/>
      <c r="C154" s="143"/>
      <c r="D154" s="24"/>
      <c r="E154" s="8">
        <f t="shared" si="0"/>
        <v>110540.5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5.75" customHeight="1">
      <c r="A155" s="41"/>
      <c r="B155" s="148"/>
      <c r="C155" s="143"/>
      <c r="D155" s="24"/>
      <c r="E155" s="8">
        <f t="shared" si="0"/>
        <v>110540.5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5.75" customHeight="1">
      <c r="A156" s="41"/>
      <c r="B156" s="148"/>
      <c r="C156" s="143"/>
      <c r="D156" s="24"/>
      <c r="E156" s="8">
        <f t="shared" si="0"/>
        <v>110540.5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5.75" customHeight="1">
      <c r="A157" s="41"/>
      <c r="B157" s="148"/>
      <c r="C157" s="143"/>
      <c r="D157" s="24"/>
      <c r="E157" s="8">
        <f t="shared" si="0"/>
        <v>110540.5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5.75" customHeight="1">
      <c r="A158" s="41"/>
      <c r="B158" s="148"/>
      <c r="C158" s="143"/>
      <c r="D158" s="24"/>
      <c r="E158" s="8">
        <f t="shared" si="0"/>
        <v>110540.5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5.75" customHeight="1">
      <c r="A159" s="41"/>
      <c r="B159" s="135"/>
      <c r="C159" s="143"/>
      <c r="D159" s="42"/>
      <c r="E159" s="8">
        <f t="shared" si="0"/>
        <v>110540.5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5.75" customHeight="1">
      <c r="A160" s="41"/>
      <c r="B160" s="148"/>
      <c r="C160" s="143"/>
      <c r="D160" s="24"/>
      <c r="E160" s="8">
        <f t="shared" si="0"/>
        <v>110540.5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5.75" customHeight="1">
      <c r="A161" s="41"/>
      <c r="B161" s="148"/>
      <c r="C161" s="143"/>
      <c r="D161" s="24"/>
      <c r="E161" s="8">
        <f t="shared" si="0"/>
        <v>110540.5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5.75" customHeight="1">
      <c r="A162" s="41"/>
      <c r="B162" s="148"/>
      <c r="C162" s="143"/>
      <c r="D162" s="24"/>
      <c r="E162" s="8">
        <f t="shared" si="0"/>
        <v>110540.5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5.75" customHeight="1">
      <c r="A163" s="41"/>
      <c r="B163" s="148"/>
      <c r="C163" s="143"/>
      <c r="D163" s="24"/>
      <c r="E163" s="8">
        <f t="shared" si="0"/>
        <v>110540.5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5.75" customHeight="1">
      <c r="A164" s="41"/>
      <c r="B164" s="148"/>
      <c r="C164" s="143"/>
      <c r="D164" s="24"/>
      <c r="E164" s="8">
        <f t="shared" si="0"/>
        <v>110540.5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5.75" customHeight="1">
      <c r="A165" s="45"/>
      <c r="B165" s="148"/>
      <c r="C165" s="143"/>
      <c r="D165" s="24"/>
      <c r="E165" s="8">
        <f t="shared" si="0"/>
        <v>110540.5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5.75" customHeight="1">
      <c r="A166" s="41"/>
      <c r="B166" s="148"/>
      <c r="C166" s="143"/>
      <c r="D166" s="24"/>
      <c r="E166" s="8">
        <f t="shared" si="0"/>
        <v>110540.5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5.75" customHeight="1">
      <c r="A167" s="41"/>
      <c r="B167" s="148"/>
      <c r="C167" s="143"/>
      <c r="D167" s="24"/>
      <c r="E167" s="8">
        <f t="shared" si="0"/>
        <v>110540.5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5.75" customHeight="1">
      <c r="A168" s="41"/>
      <c r="B168" s="148"/>
      <c r="C168" s="143"/>
      <c r="D168" s="24"/>
      <c r="E168" s="8">
        <f t="shared" si="0"/>
        <v>110540.5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5.75" customHeight="1">
      <c r="A169" s="41"/>
      <c r="B169" s="148"/>
      <c r="C169" s="143"/>
      <c r="D169" s="24"/>
      <c r="E169" s="8">
        <f t="shared" si="0"/>
        <v>110540.5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5.75" customHeight="1">
      <c r="A170" s="41"/>
      <c r="B170" s="148"/>
      <c r="C170" s="143"/>
      <c r="D170" s="24"/>
      <c r="E170" s="8">
        <f t="shared" si="0"/>
        <v>110540.5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5.75" customHeight="1">
      <c r="A171" s="41"/>
      <c r="B171" s="148"/>
      <c r="C171" s="143"/>
      <c r="D171" s="24"/>
      <c r="E171" s="8">
        <f t="shared" si="0"/>
        <v>110540.5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5.75" customHeight="1">
      <c r="A172" s="41"/>
      <c r="B172" s="148"/>
      <c r="C172" s="143"/>
      <c r="D172" s="24"/>
      <c r="E172" s="8">
        <f t="shared" si="0"/>
        <v>110540.5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5.75" customHeight="1">
      <c r="A173" s="41"/>
      <c r="B173" s="148"/>
      <c r="C173" s="143"/>
      <c r="D173" s="24"/>
      <c r="E173" s="8">
        <f t="shared" si="0"/>
        <v>110540.5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5.75" customHeight="1">
      <c r="A174" s="41"/>
      <c r="B174" s="156"/>
      <c r="C174" s="143"/>
      <c r="D174" s="24"/>
      <c r="E174" s="8">
        <f t="shared" si="0"/>
        <v>110540.5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5.75" customHeight="1">
      <c r="A175" s="41"/>
      <c r="B175" s="156"/>
      <c r="C175" s="143"/>
      <c r="D175" s="65"/>
      <c r="E175" s="8">
        <f t="shared" si="0"/>
        <v>110540.5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5.75" customHeight="1">
      <c r="A176" s="41"/>
      <c r="B176" s="156"/>
      <c r="C176" s="143"/>
      <c r="D176" s="62"/>
      <c r="E176" s="8">
        <f t="shared" si="0"/>
        <v>110540.5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5.75" customHeight="1">
      <c r="A177" s="41"/>
      <c r="B177" s="148"/>
      <c r="C177" s="143"/>
      <c r="D177" s="35"/>
      <c r="E177" s="8">
        <f t="shared" si="0"/>
        <v>110540.5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5.75" customHeight="1">
      <c r="A178" s="41"/>
      <c r="B178" s="148"/>
      <c r="C178" s="143"/>
      <c r="D178" s="24"/>
      <c r="E178" s="8">
        <f t="shared" si="0"/>
        <v>110540.5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5.75" customHeight="1">
      <c r="A179" s="41"/>
      <c r="B179" s="156"/>
      <c r="C179" s="143"/>
      <c r="D179" s="35"/>
      <c r="E179" s="8">
        <f t="shared" si="0"/>
        <v>110540.5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5.75" customHeight="1">
      <c r="A180" s="41"/>
      <c r="B180" s="156"/>
      <c r="C180" s="143"/>
      <c r="D180" s="65"/>
      <c r="E180" s="8">
        <f t="shared" si="0"/>
        <v>110540.5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5.75" customHeight="1">
      <c r="A181" s="41"/>
      <c r="B181" s="156"/>
      <c r="C181" s="143"/>
      <c r="D181" s="62"/>
      <c r="E181" s="8">
        <f t="shared" si="0"/>
        <v>110540.5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5.75" customHeight="1">
      <c r="A182" s="35"/>
      <c r="B182" s="148"/>
      <c r="C182" s="143"/>
      <c r="D182" s="35"/>
      <c r="E182" s="8">
        <f t="shared" si="0"/>
        <v>110540.5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5.75" customHeight="1">
      <c r="A183" s="41"/>
      <c r="B183" s="156"/>
      <c r="C183" s="143"/>
      <c r="D183" s="65"/>
      <c r="E183" s="8">
        <f t="shared" si="0"/>
        <v>110540.5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5.75" customHeight="1">
      <c r="A184" s="41"/>
      <c r="B184" s="156"/>
      <c r="C184" s="143"/>
      <c r="D184" s="62"/>
      <c r="E184" s="8">
        <f t="shared" si="0"/>
        <v>110540.5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5.75" customHeight="1">
      <c r="A185" s="41"/>
      <c r="B185" s="156"/>
      <c r="C185" s="143"/>
      <c r="D185" s="35"/>
      <c r="E185" s="8">
        <f t="shared" si="0"/>
        <v>110540.5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5.75" customHeight="1">
      <c r="A186" s="24"/>
      <c r="B186" s="148"/>
      <c r="C186" s="143"/>
      <c r="D186" s="24"/>
      <c r="E186" s="8">
        <f t="shared" si="0"/>
        <v>110540.5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5.75" customHeight="1">
      <c r="A187" s="70"/>
      <c r="B187" s="148"/>
      <c r="C187" s="143"/>
      <c r="D187" s="35"/>
      <c r="E187" s="8">
        <f t="shared" si="0"/>
        <v>110540.5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5.75" customHeight="1">
      <c r="A188" s="71"/>
      <c r="B188" s="148"/>
      <c r="C188" s="143"/>
      <c r="D188" s="24"/>
      <c r="E188" s="8">
        <f t="shared" si="0"/>
        <v>110540.5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5.75" customHeight="1">
      <c r="A189" s="41"/>
      <c r="B189" s="156"/>
      <c r="C189" s="143"/>
      <c r="D189" s="35"/>
      <c r="E189" s="8">
        <f t="shared" si="0"/>
        <v>110540.5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5.75" customHeight="1">
      <c r="A190" s="41"/>
      <c r="B190" s="156"/>
      <c r="C190" s="143"/>
      <c r="D190" s="65"/>
      <c r="E190" s="8">
        <f t="shared" si="0"/>
        <v>110540.5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5.75" customHeight="1">
      <c r="A191" s="41"/>
      <c r="B191" s="156"/>
      <c r="C191" s="143"/>
      <c r="D191" s="62"/>
      <c r="E191" s="8">
        <f t="shared" si="0"/>
        <v>110540.5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5.75" customHeight="1">
      <c r="A192" s="41"/>
      <c r="B192" s="148"/>
      <c r="C192" s="143"/>
      <c r="D192" s="35"/>
      <c r="E192" s="8">
        <f t="shared" si="0"/>
        <v>110540.5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5.75" customHeight="1">
      <c r="A193" s="41"/>
      <c r="B193" s="148"/>
      <c r="C193" s="143"/>
      <c r="D193" s="24"/>
      <c r="E193" s="8">
        <f t="shared" si="0"/>
        <v>110540.5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5.75" customHeight="1">
      <c r="A194" s="24"/>
      <c r="B194" s="148"/>
      <c r="C194" s="143"/>
      <c r="D194" s="24"/>
      <c r="E194" s="8">
        <f t="shared" si="0"/>
        <v>110540.5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5.75" customHeight="1">
      <c r="A195" s="24"/>
      <c r="B195" s="148"/>
      <c r="C195" s="143"/>
      <c r="D195" s="24"/>
      <c r="E195" s="8">
        <f t="shared" si="0"/>
        <v>110540.5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5.75" customHeight="1">
      <c r="A196" s="24"/>
      <c r="B196" s="148"/>
      <c r="C196" s="143"/>
      <c r="D196" s="24"/>
      <c r="E196" s="8">
        <f t="shared" si="0"/>
        <v>110540.5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5.75" customHeight="1">
      <c r="A197" s="24"/>
      <c r="B197" s="148"/>
      <c r="C197" s="143"/>
      <c r="D197" s="24"/>
      <c r="E197" s="8">
        <f t="shared" si="0"/>
        <v>110540.5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5.75" customHeight="1">
      <c r="A198" s="24"/>
      <c r="B198" s="148"/>
      <c r="C198" s="143"/>
      <c r="D198" s="24"/>
      <c r="E198" s="8">
        <f t="shared" si="0"/>
        <v>110540.5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5.75" customHeight="1">
      <c r="A199" s="24"/>
      <c r="B199" s="148"/>
      <c r="C199" s="143"/>
      <c r="D199" s="24"/>
      <c r="E199" s="8">
        <f t="shared" si="0"/>
        <v>110540.5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5.75" customHeight="1">
      <c r="A200" s="24"/>
      <c r="B200" s="148"/>
      <c r="C200" s="143"/>
      <c r="D200" s="35"/>
      <c r="E200" s="8">
        <f t="shared" si="0"/>
        <v>110540.5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5.75" customHeight="1">
      <c r="A201" s="24"/>
      <c r="B201" s="148"/>
      <c r="C201" s="143"/>
      <c r="D201" s="35"/>
      <c r="E201" s="8">
        <f t="shared" si="0"/>
        <v>110540.5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5.75" customHeight="1">
      <c r="A202" s="24"/>
      <c r="B202" s="148"/>
      <c r="C202" s="143"/>
      <c r="D202" s="35"/>
      <c r="E202" s="8">
        <f t="shared" si="0"/>
        <v>110540.5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5.75" customHeight="1">
      <c r="A203" s="35"/>
      <c r="B203" s="148"/>
      <c r="C203" s="143"/>
      <c r="D203" s="24"/>
      <c r="E203" s="8">
        <f t="shared" si="0"/>
        <v>110540.5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5.75" customHeight="1">
      <c r="A204" s="35"/>
      <c r="B204" s="148"/>
      <c r="C204" s="143"/>
      <c r="D204" s="35"/>
      <c r="E204" s="8">
        <f t="shared" si="0"/>
        <v>110540.5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5.75" customHeight="1">
      <c r="A205" s="35"/>
      <c r="B205" s="148"/>
      <c r="C205" s="143"/>
      <c r="D205" s="24"/>
      <c r="E205" s="8">
        <f t="shared" si="0"/>
        <v>110540.5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5.75" customHeight="1">
      <c r="A206" s="24"/>
      <c r="B206" s="148"/>
      <c r="C206" s="143"/>
      <c r="D206" s="24"/>
      <c r="E206" s="8">
        <f t="shared" si="0"/>
        <v>110540.5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5.75" customHeight="1">
      <c r="A207" s="24"/>
      <c r="B207" s="148"/>
      <c r="C207" s="143"/>
      <c r="D207" s="35"/>
      <c r="E207" s="8">
        <f t="shared" si="0"/>
        <v>110540.5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5.75" customHeight="1">
      <c r="A208" s="24"/>
      <c r="B208" s="148"/>
      <c r="C208" s="143"/>
      <c r="D208" s="24"/>
      <c r="E208" s="8">
        <f t="shared" si="0"/>
        <v>110540.5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5.75" customHeight="1">
      <c r="A209" s="24"/>
      <c r="B209" s="148"/>
      <c r="C209" s="143"/>
      <c r="D209" s="35"/>
      <c r="E209" s="8">
        <f t="shared" si="0"/>
        <v>110540.5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5.75" customHeight="1">
      <c r="A210" s="35"/>
      <c r="B210" s="148"/>
      <c r="C210" s="143"/>
      <c r="D210" s="35"/>
      <c r="E210" s="8">
        <f t="shared" si="0"/>
        <v>110540.5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5.75" customHeight="1">
      <c r="A211" s="35"/>
      <c r="B211" s="148"/>
      <c r="C211" s="143"/>
      <c r="D211" s="24"/>
      <c r="E211" s="8">
        <f t="shared" si="0"/>
        <v>110540.5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5.75" customHeight="1">
      <c r="A212" s="35"/>
      <c r="B212" s="148"/>
      <c r="C212" s="143"/>
      <c r="D212" s="35"/>
      <c r="E212" s="8">
        <f t="shared" si="0"/>
        <v>110540.5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5.75" customHeight="1">
      <c r="A213" s="35"/>
      <c r="B213" s="148"/>
      <c r="C213" s="143"/>
      <c r="D213" s="24"/>
      <c r="E213" s="8">
        <f t="shared" si="0"/>
        <v>110540.5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5.75" customHeight="1">
      <c r="A214" s="24"/>
      <c r="B214" s="148"/>
      <c r="C214" s="143"/>
      <c r="D214" s="24"/>
      <c r="E214" s="8">
        <f t="shared" si="0"/>
        <v>110540.5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5.75" customHeight="1">
      <c r="A215" s="24"/>
      <c r="B215" s="148"/>
      <c r="C215" s="143"/>
      <c r="D215" s="24"/>
      <c r="E215" s="8">
        <f t="shared" si="0"/>
        <v>110540.5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5.75" customHeight="1">
      <c r="A216" s="71"/>
      <c r="B216" s="148"/>
      <c r="C216" s="143"/>
      <c r="D216" s="24"/>
      <c r="E216" s="8">
        <f t="shared" si="0"/>
        <v>110540.5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5.75" customHeight="1">
      <c r="A217" s="71"/>
      <c r="B217" s="148"/>
      <c r="C217" s="143"/>
      <c r="D217" s="24"/>
      <c r="E217" s="8">
        <f t="shared" si="0"/>
        <v>110540.5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5.75" customHeight="1">
      <c r="A218" s="71"/>
      <c r="B218" s="148"/>
      <c r="C218" s="143"/>
      <c r="D218" s="35"/>
      <c r="E218" s="8">
        <f t="shared" si="0"/>
        <v>110540.5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5.75" customHeight="1">
      <c r="A219" s="71"/>
      <c r="B219" s="148"/>
      <c r="C219" s="143"/>
      <c r="D219" s="24"/>
      <c r="E219" s="8">
        <f t="shared" si="0"/>
        <v>110540.5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5.75" customHeight="1">
      <c r="A220" s="71"/>
      <c r="B220" s="148"/>
      <c r="C220" s="143"/>
      <c r="D220" s="24"/>
      <c r="E220" s="8">
        <f t="shared" si="0"/>
        <v>110540.5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5.75" customHeight="1">
      <c r="A221" s="71"/>
      <c r="B221" s="148"/>
      <c r="C221" s="143"/>
      <c r="D221" s="24"/>
      <c r="E221" s="8">
        <f t="shared" si="0"/>
        <v>110540.5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5.75" customHeight="1">
      <c r="A222" s="71"/>
      <c r="B222" s="148"/>
      <c r="C222" s="143"/>
      <c r="D222" s="35"/>
      <c r="E222" s="8">
        <f t="shared" si="0"/>
        <v>110540.5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5.75" customHeight="1">
      <c r="A223" s="71"/>
      <c r="B223" s="148"/>
      <c r="C223" s="143"/>
      <c r="D223" s="24"/>
      <c r="E223" s="8">
        <f t="shared" si="0"/>
        <v>110540.5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5.75" customHeight="1">
      <c r="A224" s="71"/>
      <c r="B224" s="148"/>
      <c r="C224" s="143"/>
      <c r="D224" s="35"/>
      <c r="E224" s="8">
        <f t="shared" si="0"/>
        <v>110540.5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5.75" customHeight="1">
      <c r="A225" s="71"/>
      <c r="B225" s="148"/>
      <c r="C225" s="143"/>
      <c r="D225" s="24"/>
      <c r="E225" s="8">
        <f t="shared" si="0"/>
        <v>110540.5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5.75" customHeight="1">
      <c r="A226" s="71"/>
      <c r="B226" s="148"/>
      <c r="C226" s="143"/>
      <c r="D226" s="24"/>
      <c r="E226" s="8">
        <f t="shared" si="0"/>
        <v>110540.5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5.75" customHeight="1">
      <c r="A227" s="71"/>
      <c r="B227" s="148"/>
      <c r="C227" s="143"/>
      <c r="D227" s="35"/>
      <c r="E227" s="8">
        <f t="shared" si="0"/>
        <v>110540.5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5.75" customHeight="1">
      <c r="A228" s="71"/>
      <c r="B228" s="148"/>
      <c r="C228" s="143"/>
      <c r="D228" s="24"/>
      <c r="E228" s="8">
        <f t="shared" si="0"/>
        <v>110540.5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5.75" customHeight="1">
      <c r="A229" s="70"/>
      <c r="B229" s="148"/>
      <c r="C229" s="143"/>
      <c r="D229" s="35"/>
      <c r="E229" s="8">
        <f t="shared" si="0"/>
        <v>110540.5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5.75" customHeight="1">
      <c r="A230" s="70"/>
      <c r="B230" s="148"/>
      <c r="C230" s="143"/>
      <c r="D230" s="35"/>
      <c r="E230" s="8">
        <f t="shared" si="0"/>
        <v>110540.5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5.75" customHeight="1">
      <c r="A231" s="71"/>
      <c r="B231" s="148"/>
      <c r="C231" s="143"/>
      <c r="D231" s="24"/>
      <c r="E231" s="8">
        <f t="shared" si="0"/>
        <v>110540.5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5.75" customHeight="1">
      <c r="A232" s="72"/>
      <c r="B232" s="135"/>
      <c r="C232" s="143"/>
      <c r="D232" s="42"/>
      <c r="E232" s="8">
        <f t="shared" si="0"/>
        <v>110540.5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5.75" customHeight="1">
      <c r="A233" s="71"/>
      <c r="B233" s="148"/>
      <c r="C233" s="143"/>
      <c r="D233" s="38"/>
      <c r="E233" s="8">
        <f t="shared" si="0"/>
        <v>110540.5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5.75" customHeight="1">
      <c r="A234" s="71"/>
      <c r="B234" s="148"/>
      <c r="C234" s="143"/>
      <c r="D234" s="35"/>
      <c r="E234" s="8">
        <f t="shared" si="0"/>
        <v>110540.5</v>
      </c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5.75" customHeight="1">
      <c r="A235" s="70"/>
      <c r="B235" s="148"/>
      <c r="C235" s="143"/>
      <c r="D235" s="24"/>
      <c r="E235" s="8">
        <f t="shared" si="0"/>
        <v>110540.5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5.75" customHeight="1">
      <c r="A236" s="71"/>
      <c r="B236" s="148"/>
      <c r="C236" s="143"/>
      <c r="D236" s="24"/>
      <c r="E236" s="8">
        <f t="shared" si="0"/>
        <v>110540.5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5.75" customHeight="1">
      <c r="A237" s="71"/>
      <c r="B237" s="148"/>
      <c r="C237" s="143"/>
      <c r="D237" s="24"/>
      <c r="E237" s="8">
        <f t="shared" si="0"/>
        <v>110540.5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5.75" customHeight="1">
      <c r="A238" s="71"/>
      <c r="B238" s="148"/>
      <c r="C238" s="143"/>
      <c r="D238" s="35"/>
      <c r="E238" s="8">
        <f t="shared" si="0"/>
        <v>110540.5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5.75" customHeight="1">
      <c r="A239" s="71"/>
      <c r="B239" s="148"/>
      <c r="C239" s="143"/>
      <c r="D239" s="24"/>
      <c r="E239" s="8">
        <f t="shared" si="0"/>
        <v>110540.5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5.75" customHeight="1">
      <c r="A240" s="71"/>
      <c r="B240" s="148"/>
      <c r="C240" s="143"/>
      <c r="D240" s="35"/>
      <c r="E240" s="8">
        <f t="shared" si="0"/>
        <v>110540.5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5.75" customHeight="1">
      <c r="A241" s="71"/>
      <c r="B241" s="148"/>
      <c r="C241" s="143"/>
      <c r="D241" s="24"/>
      <c r="E241" s="8">
        <f t="shared" si="0"/>
        <v>110540.5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5.75" customHeight="1">
      <c r="A242" s="71"/>
      <c r="B242" s="148"/>
      <c r="C242" s="143"/>
      <c r="D242" s="24"/>
      <c r="E242" s="8">
        <f t="shared" si="0"/>
        <v>110540.5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5.75" customHeight="1">
      <c r="A243" s="71"/>
      <c r="B243" s="148"/>
      <c r="C243" s="143"/>
      <c r="D243" s="35"/>
      <c r="E243" s="8">
        <f t="shared" si="0"/>
        <v>110540.5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5.75" customHeight="1">
      <c r="A244" s="70"/>
      <c r="B244" s="148"/>
      <c r="C244" s="143"/>
      <c r="D244" s="35"/>
      <c r="E244" s="8">
        <f t="shared" si="0"/>
        <v>110540.5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5.75" customHeight="1">
      <c r="A245" s="71"/>
      <c r="B245" s="148"/>
      <c r="C245" s="143"/>
      <c r="D245" s="24"/>
      <c r="E245" s="8">
        <f t="shared" si="0"/>
        <v>110540.5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5.75" customHeight="1">
      <c r="A246" s="71"/>
      <c r="B246" s="148"/>
      <c r="C246" s="143"/>
      <c r="D246" s="24"/>
      <c r="E246" s="8">
        <f t="shared" si="0"/>
        <v>110540.5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5.75" customHeight="1">
      <c r="A247" s="71"/>
      <c r="B247" s="148"/>
      <c r="C247" s="143"/>
      <c r="D247" s="24"/>
      <c r="E247" s="8">
        <f t="shared" si="0"/>
        <v>110540.5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5.75" customHeight="1">
      <c r="A248" s="71"/>
      <c r="B248" s="148"/>
      <c r="C248" s="143"/>
      <c r="D248" s="35"/>
      <c r="E248" s="8">
        <f t="shared" si="0"/>
        <v>110540.5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5.75" customHeight="1">
      <c r="A249" s="71"/>
      <c r="B249" s="148"/>
      <c r="C249" s="143"/>
      <c r="D249" s="24"/>
      <c r="E249" s="8">
        <f t="shared" si="0"/>
        <v>110540.5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5.75" customHeight="1">
      <c r="A250" s="24"/>
      <c r="B250" s="148"/>
      <c r="C250" s="143"/>
      <c r="D250" s="24"/>
      <c r="E250" s="8">
        <f t="shared" si="0"/>
        <v>110540.5</v>
      </c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5.75" customHeight="1">
      <c r="A251" s="24"/>
      <c r="B251" s="156"/>
      <c r="C251" s="143"/>
      <c r="D251" s="62"/>
      <c r="E251" s="8">
        <f t="shared" si="0"/>
        <v>110540.5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5.75" customHeight="1">
      <c r="A252" s="24"/>
      <c r="B252" s="148"/>
      <c r="C252" s="143"/>
      <c r="D252" s="24"/>
      <c r="E252" s="8">
        <f t="shared" si="0"/>
        <v>110540.5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5.75" customHeight="1">
      <c r="A253" s="24"/>
      <c r="B253" s="148"/>
      <c r="C253" s="143"/>
      <c r="D253" s="24"/>
      <c r="E253" s="8">
        <f t="shared" si="0"/>
        <v>110540.5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5.75" customHeight="1">
      <c r="A254" s="24"/>
      <c r="B254" s="148"/>
      <c r="C254" s="143"/>
      <c r="D254" s="24"/>
      <c r="E254" s="8">
        <f t="shared" si="0"/>
        <v>110540.5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5.75" customHeight="1">
      <c r="A255" s="24"/>
      <c r="B255" s="148"/>
      <c r="C255" s="143"/>
      <c r="D255" s="24"/>
      <c r="E255" s="8">
        <f t="shared" si="0"/>
        <v>110540.5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5.75" customHeight="1">
      <c r="A256" s="24"/>
      <c r="B256" s="148"/>
      <c r="C256" s="143"/>
      <c r="D256" s="35"/>
      <c r="E256" s="8">
        <f t="shared" si="0"/>
        <v>110540.5</v>
      </c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5.75" customHeight="1">
      <c r="A257" s="24"/>
      <c r="B257" s="148"/>
      <c r="C257" s="143"/>
      <c r="D257" s="35"/>
      <c r="E257" s="8">
        <f t="shared" si="0"/>
        <v>110540.5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5.75" customHeight="1">
      <c r="A258" s="24"/>
      <c r="B258" s="148"/>
      <c r="C258" s="143"/>
      <c r="D258" s="24"/>
      <c r="E258" s="8">
        <f t="shared" si="0"/>
        <v>110540.5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5.75" customHeight="1">
      <c r="A259" s="24"/>
      <c r="B259" s="135"/>
      <c r="C259" s="143"/>
      <c r="D259" s="42"/>
      <c r="E259" s="8">
        <f t="shared" si="0"/>
        <v>110540.5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5.75" customHeight="1">
      <c r="A260" s="24"/>
      <c r="B260" s="148"/>
      <c r="C260" s="143"/>
      <c r="D260" s="24"/>
      <c r="E260" s="8">
        <f t="shared" si="0"/>
        <v>110540.5</v>
      </c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5.75" customHeight="1">
      <c r="A261" s="24"/>
      <c r="B261" s="148"/>
      <c r="C261" s="143"/>
      <c r="D261" s="24"/>
      <c r="E261" s="8">
        <f t="shared" si="0"/>
        <v>110540.5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5.75" customHeight="1">
      <c r="A262" s="35"/>
      <c r="B262" s="148"/>
      <c r="C262" s="143"/>
      <c r="D262" s="35"/>
      <c r="E262" s="8">
        <f t="shared" ref="E262:E516" si="1">E261+C262-B262</f>
        <v>110540.5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5.75" customHeight="1">
      <c r="A263" s="35"/>
      <c r="B263" s="148"/>
      <c r="C263" s="143"/>
      <c r="D263" s="35"/>
      <c r="E263" s="8">
        <f t="shared" si="1"/>
        <v>110540.5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5.75" customHeight="1">
      <c r="A264" s="24"/>
      <c r="B264" s="148"/>
      <c r="C264" s="143"/>
      <c r="D264" s="35"/>
      <c r="E264" s="8">
        <f t="shared" si="1"/>
        <v>110540.5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5.75" customHeight="1">
      <c r="A265" s="24"/>
      <c r="B265" s="148"/>
      <c r="C265" s="143"/>
      <c r="D265" s="24"/>
      <c r="E265" s="8">
        <f t="shared" si="1"/>
        <v>110540.5</v>
      </c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5.75" customHeight="1">
      <c r="A266" s="35"/>
      <c r="B266" s="148"/>
      <c r="C266" s="143"/>
      <c r="D266" s="35"/>
      <c r="E266" s="8">
        <f t="shared" si="1"/>
        <v>110540.5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5.75" customHeight="1">
      <c r="A267" s="24"/>
      <c r="B267" s="148"/>
      <c r="C267" s="143"/>
      <c r="D267" s="24"/>
      <c r="E267" s="8">
        <f t="shared" si="1"/>
        <v>110540.5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5.75" customHeight="1">
      <c r="A268" s="24"/>
      <c r="B268" s="148"/>
      <c r="C268" s="143"/>
      <c r="D268" s="24"/>
      <c r="E268" s="8">
        <f t="shared" si="1"/>
        <v>110540.5</v>
      </c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5.75" customHeight="1">
      <c r="A269" s="71"/>
      <c r="B269" s="148"/>
      <c r="C269" s="143"/>
      <c r="D269" s="24"/>
      <c r="E269" s="8">
        <f t="shared" si="1"/>
        <v>110540.5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5.75" customHeight="1">
      <c r="A270" s="70"/>
      <c r="B270" s="148"/>
      <c r="C270" s="143"/>
      <c r="D270" s="35"/>
      <c r="E270" s="8">
        <f t="shared" si="1"/>
        <v>110540.5</v>
      </c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5.75" customHeight="1">
      <c r="A271" s="71"/>
      <c r="B271" s="148"/>
      <c r="C271" s="143"/>
      <c r="D271" s="24"/>
      <c r="E271" s="8">
        <f t="shared" si="1"/>
        <v>110540.5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5.75" customHeight="1">
      <c r="A272" s="71"/>
      <c r="B272" s="148"/>
      <c r="C272" s="143"/>
      <c r="D272" s="24"/>
      <c r="E272" s="8">
        <f t="shared" si="1"/>
        <v>110540.5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5.75" customHeight="1">
      <c r="A273" s="71"/>
      <c r="B273" s="148"/>
      <c r="C273" s="143"/>
      <c r="D273" s="24"/>
      <c r="E273" s="8">
        <f t="shared" si="1"/>
        <v>110540.5</v>
      </c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5.75" customHeight="1">
      <c r="A274" s="71"/>
      <c r="B274" s="148"/>
      <c r="C274" s="143"/>
      <c r="D274" s="24"/>
      <c r="E274" s="8">
        <f t="shared" si="1"/>
        <v>110540.5</v>
      </c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5.75" customHeight="1">
      <c r="A275" s="71"/>
      <c r="B275" s="148"/>
      <c r="C275" s="143"/>
      <c r="D275" s="35"/>
      <c r="E275" s="8">
        <f t="shared" si="1"/>
        <v>110540.5</v>
      </c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5.75" customHeight="1">
      <c r="A276" s="70"/>
      <c r="B276" s="148"/>
      <c r="C276" s="143"/>
      <c r="D276" s="35"/>
      <c r="E276" s="8">
        <f t="shared" si="1"/>
        <v>110540.5</v>
      </c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5.75" customHeight="1">
      <c r="A277" s="71"/>
      <c r="B277" s="148"/>
      <c r="C277" s="143"/>
      <c r="D277" s="24"/>
      <c r="E277" s="8">
        <f t="shared" si="1"/>
        <v>110540.5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5.75" customHeight="1">
      <c r="A278" s="71"/>
      <c r="B278" s="148"/>
      <c r="C278" s="143"/>
      <c r="D278" s="35"/>
      <c r="E278" s="8">
        <f t="shared" si="1"/>
        <v>110540.5</v>
      </c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5.75" customHeight="1">
      <c r="A279" s="71"/>
      <c r="B279" s="148"/>
      <c r="C279" s="143"/>
      <c r="D279" s="35"/>
      <c r="E279" s="8">
        <f t="shared" si="1"/>
        <v>110540.5</v>
      </c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5.75" customHeight="1">
      <c r="A280" s="71"/>
      <c r="B280" s="148"/>
      <c r="C280" s="143"/>
      <c r="D280" s="35"/>
      <c r="E280" s="8">
        <f t="shared" si="1"/>
        <v>110540.5</v>
      </c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5.75" customHeight="1">
      <c r="A281" s="70"/>
      <c r="B281" s="148"/>
      <c r="C281" s="143"/>
      <c r="D281" s="35"/>
      <c r="E281" s="8">
        <f t="shared" si="1"/>
        <v>110540.5</v>
      </c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5.75" customHeight="1">
      <c r="A282" s="24"/>
      <c r="B282" s="148"/>
      <c r="C282" s="143"/>
      <c r="D282" s="24"/>
      <c r="E282" s="8">
        <f t="shared" si="1"/>
        <v>110540.5</v>
      </c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5.75" customHeight="1">
      <c r="A283" s="71"/>
      <c r="B283" s="148"/>
      <c r="C283" s="143"/>
      <c r="D283" s="24"/>
      <c r="E283" s="8">
        <f t="shared" si="1"/>
        <v>110540.5</v>
      </c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5.75" customHeight="1">
      <c r="A284" s="73"/>
      <c r="B284" s="158"/>
      <c r="C284" s="143"/>
      <c r="D284" s="74"/>
      <c r="E284" s="8">
        <f t="shared" si="1"/>
        <v>110540.5</v>
      </c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5.75" customHeight="1">
      <c r="A285" s="72"/>
      <c r="B285" s="159"/>
      <c r="C285" s="143"/>
      <c r="D285" s="75"/>
      <c r="E285" s="8">
        <f t="shared" si="1"/>
        <v>110540.5</v>
      </c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5.75" customHeight="1">
      <c r="A286" s="70"/>
      <c r="B286" s="148"/>
      <c r="C286" s="143"/>
      <c r="D286" s="35"/>
      <c r="E286" s="8">
        <f t="shared" si="1"/>
        <v>110540.5</v>
      </c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5.75" customHeight="1">
      <c r="A287" s="71"/>
      <c r="B287" s="148"/>
      <c r="C287" s="143"/>
      <c r="D287" s="35"/>
      <c r="E287" s="8">
        <f t="shared" si="1"/>
        <v>110540.5</v>
      </c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5.75" customHeight="1">
      <c r="A288" s="71"/>
      <c r="B288" s="148"/>
      <c r="C288" s="143"/>
      <c r="D288" s="35"/>
      <c r="E288" s="8">
        <f t="shared" si="1"/>
        <v>110540.5</v>
      </c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5.75" customHeight="1">
      <c r="A289" s="71"/>
      <c r="B289" s="148"/>
      <c r="C289" s="143"/>
      <c r="D289" s="24"/>
      <c r="E289" s="8">
        <f t="shared" si="1"/>
        <v>110540.5</v>
      </c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5.75" customHeight="1">
      <c r="A290" s="71"/>
      <c r="B290" s="148"/>
      <c r="C290" s="143"/>
      <c r="D290" s="24"/>
      <c r="E290" s="8">
        <f t="shared" si="1"/>
        <v>110540.5</v>
      </c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5.75" customHeight="1">
      <c r="A291" s="71"/>
      <c r="B291" s="148"/>
      <c r="C291" s="143"/>
      <c r="D291" s="35"/>
      <c r="E291" s="8">
        <f t="shared" si="1"/>
        <v>110540.5</v>
      </c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5.75" customHeight="1">
      <c r="A292" s="71"/>
      <c r="B292" s="148"/>
      <c r="C292" s="143"/>
      <c r="D292" s="24"/>
      <c r="E292" s="8">
        <f t="shared" si="1"/>
        <v>110540.5</v>
      </c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5.75" customHeight="1">
      <c r="A293" s="71"/>
      <c r="B293" s="148"/>
      <c r="C293" s="143"/>
      <c r="D293" s="24"/>
      <c r="E293" s="8">
        <f t="shared" si="1"/>
        <v>110540.5</v>
      </c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5.75" customHeight="1">
      <c r="A294" s="71"/>
      <c r="B294" s="148"/>
      <c r="C294" s="143"/>
      <c r="D294" s="35"/>
      <c r="E294" s="8">
        <f t="shared" si="1"/>
        <v>110540.5</v>
      </c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5.75" customHeight="1">
      <c r="A295" s="71"/>
      <c r="B295" s="160"/>
      <c r="C295" s="143"/>
      <c r="D295" s="35"/>
      <c r="E295" s="8">
        <f t="shared" si="1"/>
        <v>110540.5</v>
      </c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5.75" customHeight="1">
      <c r="A296" s="71"/>
      <c r="B296" s="148"/>
      <c r="C296" s="143"/>
      <c r="D296" s="24"/>
      <c r="E296" s="8">
        <f t="shared" si="1"/>
        <v>110540.5</v>
      </c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5.75" customHeight="1">
      <c r="A297" s="70"/>
      <c r="B297" s="148"/>
      <c r="C297" s="143"/>
      <c r="D297" s="35"/>
      <c r="E297" s="8">
        <f t="shared" si="1"/>
        <v>110540.5</v>
      </c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5.75" customHeight="1">
      <c r="A298" s="71"/>
      <c r="B298" s="148"/>
      <c r="C298" s="143"/>
      <c r="D298" s="24"/>
      <c r="E298" s="8">
        <f t="shared" si="1"/>
        <v>110540.5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5.75" customHeight="1">
      <c r="A299" s="71"/>
      <c r="B299" s="148"/>
      <c r="C299" s="143"/>
      <c r="D299" s="24"/>
      <c r="E299" s="8">
        <f t="shared" si="1"/>
        <v>110540.5</v>
      </c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5.75" customHeight="1">
      <c r="A300" s="70"/>
      <c r="B300" s="148"/>
      <c r="C300" s="143"/>
      <c r="D300" s="35"/>
      <c r="E300" s="8">
        <f t="shared" si="1"/>
        <v>110540.5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5.75" customHeight="1">
      <c r="A301" s="71"/>
      <c r="B301" s="148"/>
      <c r="C301" s="143"/>
      <c r="D301" s="24"/>
      <c r="E301" s="8">
        <f t="shared" si="1"/>
        <v>110540.5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5.75" customHeight="1">
      <c r="A302" s="70"/>
      <c r="B302" s="148"/>
      <c r="C302" s="143"/>
      <c r="D302" s="35"/>
      <c r="E302" s="8">
        <f t="shared" si="1"/>
        <v>110540.5</v>
      </c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5.75" customHeight="1">
      <c r="A303" s="76"/>
      <c r="B303" s="135"/>
      <c r="C303" s="143"/>
      <c r="D303" s="42"/>
      <c r="E303" s="8">
        <f t="shared" si="1"/>
        <v>110540.5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5.75" customHeight="1">
      <c r="A304" s="70"/>
      <c r="B304" s="148"/>
      <c r="C304" s="143"/>
      <c r="D304" s="35"/>
      <c r="E304" s="8">
        <f t="shared" si="1"/>
        <v>110540.5</v>
      </c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5.75" customHeight="1">
      <c r="A305" s="71"/>
      <c r="B305" s="148"/>
      <c r="C305" s="143"/>
      <c r="D305" s="35"/>
      <c r="E305" s="8">
        <f t="shared" si="1"/>
        <v>110540.5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5.75" customHeight="1">
      <c r="A306" s="70"/>
      <c r="B306" s="148"/>
      <c r="C306" s="143"/>
      <c r="D306" s="35"/>
      <c r="E306" s="8">
        <f t="shared" si="1"/>
        <v>110540.5</v>
      </c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5.75" customHeight="1">
      <c r="A307" s="71"/>
      <c r="B307" s="148"/>
      <c r="C307" s="143"/>
      <c r="D307" s="35"/>
      <c r="E307" s="8">
        <f t="shared" si="1"/>
        <v>110540.5</v>
      </c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5.75" customHeight="1">
      <c r="A308" s="71"/>
      <c r="B308" s="148"/>
      <c r="C308" s="143"/>
      <c r="D308" s="24"/>
      <c r="E308" s="8">
        <f t="shared" si="1"/>
        <v>110540.5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5.75" customHeight="1">
      <c r="A309" s="70"/>
      <c r="B309" s="148"/>
      <c r="C309" s="143"/>
      <c r="D309" s="35"/>
      <c r="E309" s="8">
        <f t="shared" si="1"/>
        <v>110540.5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5.75" customHeight="1">
      <c r="A310" s="71"/>
      <c r="B310" s="148"/>
      <c r="C310" s="143"/>
      <c r="D310" s="24"/>
      <c r="E310" s="8">
        <f t="shared" si="1"/>
        <v>110540.5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5.75" customHeight="1">
      <c r="A311" s="70"/>
      <c r="B311" s="148"/>
      <c r="C311" s="143"/>
      <c r="D311" s="35"/>
      <c r="E311" s="8">
        <f t="shared" si="1"/>
        <v>110540.5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5.75" customHeight="1">
      <c r="A312" s="71"/>
      <c r="B312" s="148"/>
      <c r="C312" s="143"/>
      <c r="D312" s="24"/>
      <c r="E312" s="8">
        <f t="shared" si="1"/>
        <v>110540.5</v>
      </c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5.75" customHeight="1">
      <c r="A313" s="70"/>
      <c r="B313" s="148"/>
      <c r="C313" s="143"/>
      <c r="D313" s="35"/>
      <c r="E313" s="8">
        <f t="shared" si="1"/>
        <v>110540.5</v>
      </c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5.75" customHeight="1">
      <c r="A314" s="70"/>
      <c r="B314" s="148"/>
      <c r="C314" s="143"/>
      <c r="D314" s="35"/>
      <c r="E314" s="8">
        <f t="shared" si="1"/>
        <v>110540.5</v>
      </c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5.75" customHeight="1">
      <c r="A315" s="70"/>
      <c r="B315" s="148"/>
      <c r="C315" s="143"/>
      <c r="D315" s="35"/>
      <c r="E315" s="8">
        <f t="shared" si="1"/>
        <v>110540.5</v>
      </c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5.75" customHeight="1">
      <c r="A316" s="77"/>
      <c r="B316" s="160"/>
      <c r="C316" s="143"/>
      <c r="D316" s="64"/>
      <c r="E316" s="8">
        <f t="shared" si="1"/>
        <v>110540.5</v>
      </c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5.75" customHeight="1">
      <c r="A317" s="70"/>
      <c r="B317" s="148"/>
      <c r="C317" s="143"/>
      <c r="D317" s="35"/>
      <c r="E317" s="8">
        <f t="shared" si="1"/>
        <v>110540.5</v>
      </c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5.75" customHeight="1">
      <c r="A318" s="70"/>
      <c r="B318" s="148"/>
      <c r="C318" s="143"/>
      <c r="D318" s="35"/>
      <c r="E318" s="8">
        <f t="shared" si="1"/>
        <v>110540.5</v>
      </c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5.75" customHeight="1">
      <c r="A319" s="70"/>
      <c r="B319" s="148"/>
      <c r="C319" s="143"/>
      <c r="D319" s="35"/>
      <c r="E319" s="8">
        <f t="shared" si="1"/>
        <v>110540.5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5.75" customHeight="1">
      <c r="A320" s="70"/>
      <c r="B320" s="148"/>
      <c r="C320" s="143"/>
      <c r="D320" s="35"/>
      <c r="E320" s="8">
        <f t="shared" si="1"/>
        <v>110540.5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5.75" customHeight="1">
      <c r="A321" s="71"/>
      <c r="B321" s="148"/>
      <c r="C321" s="143"/>
      <c r="D321" s="24"/>
      <c r="E321" s="8">
        <f t="shared" si="1"/>
        <v>110540.5</v>
      </c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5.75" customHeight="1">
      <c r="A322" s="70"/>
      <c r="B322" s="148"/>
      <c r="C322" s="143"/>
      <c r="D322" s="35"/>
      <c r="E322" s="8">
        <f t="shared" si="1"/>
        <v>110540.5</v>
      </c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5.75" customHeight="1">
      <c r="A323" s="71"/>
      <c r="B323" s="148"/>
      <c r="C323" s="143"/>
      <c r="D323" s="24"/>
      <c r="E323" s="8">
        <f t="shared" si="1"/>
        <v>110540.5</v>
      </c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5.75" customHeight="1">
      <c r="A324" s="70"/>
      <c r="B324" s="148"/>
      <c r="C324" s="143"/>
      <c r="D324" s="35"/>
      <c r="E324" s="8">
        <f t="shared" si="1"/>
        <v>110540.5</v>
      </c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5.75" customHeight="1">
      <c r="A325" s="71"/>
      <c r="B325" s="148"/>
      <c r="C325" s="143"/>
      <c r="D325" s="24"/>
      <c r="E325" s="8">
        <f t="shared" si="1"/>
        <v>110540.5</v>
      </c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5.75" customHeight="1">
      <c r="A326" s="70"/>
      <c r="B326" s="148"/>
      <c r="C326" s="143"/>
      <c r="D326" s="35"/>
      <c r="E326" s="8">
        <f t="shared" si="1"/>
        <v>110540.5</v>
      </c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5.75" customHeight="1">
      <c r="A327" s="71"/>
      <c r="B327" s="148"/>
      <c r="C327" s="143"/>
      <c r="D327" s="24"/>
      <c r="E327" s="8">
        <f t="shared" si="1"/>
        <v>110540.5</v>
      </c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5.75" customHeight="1">
      <c r="A328" s="70"/>
      <c r="B328" s="148"/>
      <c r="C328" s="143"/>
      <c r="D328" s="35"/>
      <c r="E328" s="8">
        <f t="shared" si="1"/>
        <v>110540.5</v>
      </c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5.75" customHeight="1">
      <c r="A329" s="71"/>
      <c r="B329" s="148"/>
      <c r="C329" s="143"/>
      <c r="D329" s="35"/>
      <c r="E329" s="8">
        <f t="shared" si="1"/>
        <v>110540.5</v>
      </c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5.75" customHeight="1">
      <c r="A330" s="71"/>
      <c r="B330" s="148"/>
      <c r="C330" s="143"/>
      <c r="D330" s="24"/>
      <c r="E330" s="8">
        <f t="shared" si="1"/>
        <v>110540.5</v>
      </c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5.75" customHeight="1">
      <c r="A331" s="71"/>
      <c r="B331" s="148"/>
      <c r="C331" s="143"/>
      <c r="D331" s="24"/>
      <c r="E331" s="8">
        <f t="shared" si="1"/>
        <v>110540.5</v>
      </c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5.75" customHeight="1">
      <c r="A332" s="71"/>
      <c r="B332" s="148"/>
      <c r="C332" s="143"/>
      <c r="D332" s="24"/>
      <c r="E332" s="8">
        <f t="shared" si="1"/>
        <v>110540.5</v>
      </c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5.75" customHeight="1">
      <c r="A333" s="71"/>
      <c r="B333" s="148"/>
      <c r="C333" s="143"/>
      <c r="D333" s="24"/>
      <c r="E333" s="8">
        <f t="shared" si="1"/>
        <v>110540.5</v>
      </c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5.75" customHeight="1">
      <c r="A334" s="78"/>
      <c r="B334" s="160"/>
      <c r="C334" s="143"/>
      <c r="D334" s="79"/>
      <c r="E334" s="8">
        <f t="shared" si="1"/>
        <v>110540.5</v>
      </c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5.75" customHeight="1">
      <c r="A335" s="71"/>
      <c r="B335" s="148"/>
      <c r="C335" s="143"/>
      <c r="D335" s="24"/>
      <c r="E335" s="8">
        <f t="shared" si="1"/>
        <v>110540.5</v>
      </c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5.75" customHeight="1">
      <c r="A336" s="70"/>
      <c r="B336" s="148"/>
      <c r="C336" s="143"/>
      <c r="D336" s="35"/>
      <c r="E336" s="8">
        <f t="shared" si="1"/>
        <v>110540.5</v>
      </c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5.75" customHeight="1">
      <c r="A337" s="35"/>
      <c r="B337" s="148"/>
      <c r="C337" s="143"/>
      <c r="D337" s="79"/>
      <c r="E337" s="8">
        <f t="shared" si="1"/>
        <v>110540.5</v>
      </c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5.75" customHeight="1">
      <c r="A338" s="79"/>
      <c r="B338" s="159"/>
      <c r="C338" s="143"/>
      <c r="D338" s="79"/>
      <c r="E338" s="8">
        <f t="shared" si="1"/>
        <v>110540.5</v>
      </c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5.75" customHeight="1">
      <c r="A339" s="35"/>
      <c r="B339" s="148"/>
      <c r="C339" s="143"/>
      <c r="D339" s="35"/>
      <c r="E339" s="8">
        <f t="shared" si="1"/>
        <v>110540.5</v>
      </c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5.75" customHeight="1">
      <c r="A340" s="24"/>
      <c r="B340" s="148"/>
      <c r="C340" s="143"/>
      <c r="D340" s="24"/>
      <c r="E340" s="8">
        <f t="shared" si="1"/>
        <v>110540.5</v>
      </c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5.75" customHeight="1">
      <c r="A341" s="24"/>
      <c r="B341" s="148"/>
      <c r="C341" s="143"/>
      <c r="D341" s="24"/>
      <c r="E341" s="8">
        <f t="shared" si="1"/>
        <v>110540.5</v>
      </c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5.75" customHeight="1">
      <c r="A342" s="24"/>
      <c r="B342" s="148"/>
      <c r="C342" s="143"/>
      <c r="D342" s="24"/>
      <c r="E342" s="8">
        <f t="shared" si="1"/>
        <v>110540.5</v>
      </c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5.75" customHeight="1">
      <c r="A343" s="24"/>
      <c r="B343" s="148"/>
      <c r="C343" s="143"/>
      <c r="D343" s="35"/>
      <c r="E343" s="8">
        <f t="shared" si="1"/>
        <v>110540.5</v>
      </c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5.75" customHeight="1">
      <c r="A344" s="24"/>
      <c r="B344" s="140"/>
      <c r="C344" s="143"/>
      <c r="D344" s="35"/>
      <c r="E344" s="8">
        <f t="shared" si="1"/>
        <v>110540.5</v>
      </c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5.75" customHeight="1">
      <c r="A345" s="24"/>
      <c r="B345" s="148"/>
      <c r="C345" s="143"/>
      <c r="D345" s="35"/>
      <c r="E345" s="8">
        <f t="shared" si="1"/>
        <v>110540.5</v>
      </c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5.75" customHeight="1">
      <c r="A346" s="24"/>
      <c r="B346" s="148"/>
      <c r="C346" s="143"/>
      <c r="D346" s="79"/>
      <c r="E346" s="8">
        <f t="shared" si="1"/>
        <v>110540.5</v>
      </c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5.75" customHeight="1">
      <c r="A347" s="24"/>
      <c r="B347" s="148"/>
      <c r="C347" s="143"/>
      <c r="D347" s="35"/>
      <c r="E347" s="8">
        <f t="shared" si="1"/>
        <v>110540.5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5.75" customHeight="1">
      <c r="A348" s="24"/>
      <c r="B348" s="148"/>
      <c r="C348" s="143"/>
      <c r="D348" s="35"/>
      <c r="E348" s="8">
        <f t="shared" si="1"/>
        <v>110540.5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5.75" customHeight="1">
      <c r="A349" s="24"/>
      <c r="B349" s="148"/>
      <c r="C349" s="143"/>
      <c r="D349" s="35"/>
      <c r="E349" s="8">
        <f t="shared" si="1"/>
        <v>110540.5</v>
      </c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5.75" customHeight="1">
      <c r="A350" s="24"/>
      <c r="B350" s="148"/>
      <c r="C350" s="143"/>
      <c r="D350" s="82"/>
      <c r="E350" s="8">
        <f t="shared" si="1"/>
        <v>110540.5</v>
      </c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5.75" customHeight="1">
      <c r="A351" s="35"/>
      <c r="B351" s="148"/>
      <c r="C351" s="143"/>
      <c r="D351" s="79"/>
      <c r="E351" s="8">
        <f t="shared" si="1"/>
        <v>110540.5</v>
      </c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5.75" customHeight="1">
      <c r="A352" s="24"/>
      <c r="B352" s="148"/>
      <c r="C352" s="143"/>
      <c r="D352" s="82"/>
      <c r="E352" s="8">
        <f t="shared" si="1"/>
        <v>110540.5</v>
      </c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5.75" customHeight="1">
      <c r="A353" s="24"/>
      <c r="B353" s="148"/>
      <c r="C353" s="143"/>
      <c r="D353" s="24"/>
      <c r="E353" s="8">
        <f t="shared" si="1"/>
        <v>110540.5</v>
      </c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5.75" customHeight="1">
      <c r="A354" s="24"/>
      <c r="B354" s="148"/>
      <c r="C354" s="143"/>
      <c r="D354" s="24"/>
      <c r="E354" s="8">
        <f t="shared" si="1"/>
        <v>110540.5</v>
      </c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5.75" customHeight="1">
      <c r="A355" s="71"/>
      <c r="B355" s="148"/>
      <c r="C355" s="143"/>
      <c r="D355" s="24"/>
      <c r="E355" s="8">
        <f t="shared" si="1"/>
        <v>110540.5</v>
      </c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5.75" customHeight="1">
      <c r="A356" s="71"/>
      <c r="B356" s="148"/>
      <c r="C356" s="143"/>
      <c r="D356" s="24"/>
      <c r="E356" s="8">
        <f t="shared" si="1"/>
        <v>110540.5</v>
      </c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5.75" customHeight="1">
      <c r="A357" s="24"/>
      <c r="B357" s="149"/>
      <c r="C357" s="143"/>
      <c r="D357" s="29"/>
      <c r="E357" s="8">
        <f t="shared" si="1"/>
        <v>110540.5</v>
      </c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5.75" customHeight="1">
      <c r="A358" s="71"/>
      <c r="B358" s="149"/>
      <c r="C358" s="143"/>
      <c r="D358" s="30"/>
      <c r="E358" s="8">
        <f t="shared" si="1"/>
        <v>110540.5</v>
      </c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5.75" customHeight="1">
      <c r="A359" s="71"/>
      <c r="B359" s="149"/>
      <c r="C359" s="143"/>
      <c r="D359" s="7"/>
      <c r="E359" s="8">
        <f t="shared" si="1"/>
        <v>110540.5</v>
      </c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5.75" customHeight="1">
      <c r="A360" s="71"/>
      <c r="B360" s="149"/>
      <c r="C360" s="143"/>
      <c r="D360" s="81"/>
      <c r="E360" s="8">
        <f t="shared" si="1"/>
        <v>110540.5</v>
      </c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5.75" customHeight="1">
      <c r="A361" s="71"/>
      <c r="B361" s="135"/>
      <c r="C361" s="143"/>
      <c r="D361" s="42"/>
      <c r="E361" s="8">
        <f t="shared" si="1"/>
        <v>110540.5</v>
      </c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5.75" customHeight="1">
      <c r="A362" s="71"/>
      <c r="B362" s="135"/>
      <c r="C362" s="143"/>
      <c r="D362" s="35"/>
      <c r="E362" s="8">
        <f t="shared" si="1"/>
        <v>110540.5</v>
      </c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5.75" customHeight="1">
      <c r="A363" s="71"/>
      <c r="B363" s="135"/>
      <c r="C363" s="143"/>
      <c r="D363" s="42"/>
      <c r="E363" s="8">
        <f t="shared" si="1"/>
        <v>110540.5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5.75" customHeight="1">
      <c r="A364" s="71"/>
      <c r="B364" s="148"/>
      <c r="C364" s="143"/>
      <c r="D364" s="35"/>
      <c r="E364" s="8">
        <f t="shared" si="1"/>
        <v>110540.5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5.75" customHeight="1">
      <c r="A365" s="71"/>
      <c r="B365" s="148"/>
      <c r="C365" s="143"/>
      <c r="D365" s="24"/>
      <c r="E365" s="8">
        <f t="shared" si="1"/>
        <v>110540.5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5.75" customHeight="1">
      <c r="A366" s="70"/>
      <c r="B366" s="140"/>
      <c r="C366" s="143"/>
      <c r="D366" s="35"/>
      <c r="E366" s="8">
        <f t="shared" si="1"/>
        <v>110540.5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5.75" customHeight="1">
      <c r="A367" s="71"/>
      <c r="B367" s="148"/>
      <c r="C367" s="143"/>
      <c r="D367" s="24"/>
      <c r="E367" s="8">
        <f t="shared" si="1"/>
        <v>110540.5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5.75" customHeight="1">
      <c r="A368" s="70"/>
      <c r="B368" s="148"/>
      <c r="C368" s="143"/>
      <c r="D368" s="35"/>
      <c r="E368" s="8">
        <f t="shared" si="1"/>
        <v>110540.5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5.75" customHeight="1">
      <c r="A369" s="71"/>
      <c r="B369" s="148"/>
      <c r="C369" s="143"/>
      <c r="D369" s="24"/>
      <c r="E369" s="8">
        <f t="shared" si="1"/>
        <v>110540.5</v>
      </c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5.75" customHeight="1">
      <c r="A370" s="70"/>
      <c r="B370" s="148"/>
      <c r="C370" s="143"/>
      <c r="D370" s="35"/>
      <c r="E370" s="8">
        <f t="shared" si="1"/>
        <v>110540.5</v>
      </c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5.75" customHeight="1">
      <c r="A371" s="71"/>
      <c r="B371" s="148"/>
      <c r="C371" s="143"/>
      <c r="D371" s="24"/>
      <c r="E371" s="8">
        <f t="shared" si="1"/>
        <v>110540.5</v>
      </c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5.75" customHeight="1">
      <c r="A372" s="71"/>
      <c r="B372" s="148"/>
      <c r="C372" s="143"/>
      <c r="D372" s="24"/>
      <c r="E372" s="8">
        <f t="shared" si="1"/>
        <v>110540.5</v>
      </c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5.75" customHeight="1">
      <c r="A373" s="71"/>
      <c r="B373" s="148"/>
      <c r="C373" s="143"/>
      <c r="D373" s="24"/>
      <c r="E373" s="8">
        <f t="shared" si="1"/>
        <v>110540.5</v>
      </c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5.75" customHeight="1">
      <c r="A374" s="70"/>
      <c r="B374" s="148"/>
      <c r="C374" s="143"/>
      <c r="D374" s="35"/>
      <c r="E374" s="8">
        <f t="shared" si="1"/>
        <v>110540.5</v>
      </c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5.75" customHeight="1">
      <c r="A375" s="70"/>
      <c r="B375" s="148"/>
      <c r="C375" s="143"/>
      <c r="D375" s="100"/>
      <c r="E375" s="8">
        <f t="shared" si="1"/>
        <v>110540.5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5.75" customHeight="1">
      <c r="A376" s="71"/>
      <c r="B376" s="148"/>
      <c r="C376" s="143"/>
      <c r="D376" s="24"/>
      <c r="E376" s="8">
        <f t="shared" si="1"/>
        <v>110540.5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5.75" customHeight="1">
      <c r="A377" s="71"/>
      <c r="B377" s="148"/>
      <c r="C377" s="143"/>
      <c r="D377" s="35"/>
      <c r="E377" s="8">
        <f t="shared" si="1"/>
        <v>110540.5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5.75" customHeight="1">
      <c r="A378" s="71"/>
      <c r="B378" s="148"/>
      <c r="C378" s="143"/>
      <c r="D378" s="24"/>
      <c r="E378" s="8">
        <f t="shared" si="1"/>
        <v>110540.5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5.75" customHeight="1">
      <c r="A379" s="71"/>
      <c r="B379" s="148"/>
      <c r="C379" s="143"/>
      <c r="D379" s="24"/>
      <c r="E379" s="8">
        <f t="shared" si="1"/>
        <v>110540.5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5.75" customHeight="1">
      <c r="A380" s="71"/>
      <c r="B380" s="148"/>
      <c r="C380" s="143"/>
      <c r="D380" s="24"/>
      <c r="E380" s="8">
        <f t="shared" si="1"/>
        <v>110540.5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5.75" customHeight="1">
      <c r="A381" s="71"/>
      <c r="B381" s="148"/>
      <c r="C381" s="143"/>
      <c r="D381" s="35"/>
      <c r="E381" s="8">
        <f t="shared" si="1"/>
        <v>110540.5</v>
      </c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5.75" customHeight="1">
      <c r="A382" s="71"/>
      <c r="B382" s="148"/>
      <c r="C382" s="143"/>
      <c r="D382" s="24"/>
      <c r="E382" s="8">
        <f t="shared" si="1"/>
        <v>110540.5</v>
      </c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5.75" customHeight="1">
      <c r="A383" s="71"/>
      <c r="B383" s="148"/>
      <c r="C383" s="143"/>
      <c r="D383" s="35"/>
      <c r="E383" s="8">
        <f t="shared" si="1"/>
        <v>110540.5</v>
      </c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5.75" customHeight="1">
      <c r="A384" s="71"/>
      <c r="B384" s="148"/>
      <c r="C384" s="143"/>
      <c r="D384" s="35"/>
      <c r="E384" s="8">
        <f t="shared" si="1"/>
        <v>110540.5</v>
      </c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5.75" customHeight="1">
      <c r="A385" s="71"/>
      <c r="B385" s="148"/>
      <c r="C385" s="143"/>
      <c r="D385" s="24"/>
      <c r="E385" s="8">
        <f t="shared" si="1"/>
        <v>110540.5</v>
      </c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5.75" customHeight="1">
      <c r="A386" s="24"/>
      <c r="B386" s="148"/>
      <c r="C386" s="143"/>
      <c r="D386" s="24"/>
      <c r="E386" s="8">
        <f t="shared" si="1"/>
        <v>110540.5</v>
      </c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5.75" customHeight="1">
      <c r="A387" s="24"/>
      <c r="B387" s="148"/>
      <c r="C387" s="143"/>
      <c r="D387" s="100"/>
      <c r="E387" s="8">
        <f t="shared" si="1"/>
        <v>110540.5</v>
      </c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5.75" customHeight="1">
      <c r="A388" s="24"/>
      <c r="B388" s="148"/>
      <c r="C388" s="143"/>
      <c r="D388" s="24"/>
      <c r="E388" s="8">
        <f t="shared" si="1"/>
        <v>110540.5</v>
      </c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5.75" customHeight="1">
      <c r="A389" s="24"/>
      <c r="B389" s="148"/>
      <c r="C389" s="143"/>
      <c r="D389" s="35"/>
      <c r="E389" s="8">
        <f t="shared" si="1"/>
        <v>110540.5</v>
      </c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5.75" customHeight="1">
      <c r="A390" s="24"/>
      <c r="B390" s="148"/>
      <c r="C390" s="143"/>
      <c r="D390" s="24"/>
      <c r="E390" s="8">
        <f t="shared" si="1"/>
        <v>110540.5</v>
      </c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5.75" customHeight="1">
      <c r="A391" s="35"/>
      <c r="B391" s="148"/>
      <c r="C391" s="143"/>
      <c r="D391" s="100"/>
      <c r="E391" s="8">
        <f t="shared" si="1"/>
        <v>110540.5</v>
      </c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5.75" customHeight="1">
      <c r="A392" s="24"/>
      <c r="B392" s="148"/>
      <c r="C392" s="143"/>
      <c r="D392" s="24"/>
      <c r="E392" s="8">
        <f t="shared" si="1"/>
        <v>110540.5</v>
      </c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5.75" customHeight="1">
      <c r="A393" s="35"/>
      <c r="B393" s="148"/>
      <c r="C393" s="143"/>
      <c r="D393" s="24"/>
      <c r="E393" s="8">
        <f t="shared" si="1"/>
        <v>110540.5</v>
      </c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5.75" customHeight="1">
      <c r="A394" s="24"/>
      <c r="B394" s="148"/>
      <c r="C394" s="143"/>
      <c r="D394" s="100"/>
      <c r="E394" s="8">
        <f t="shared" si="1"/>
        <v>110540.5</v>
      </c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5.75" customHeight="1">
      <c r="A395" s="24"/>
      <c r="B395" s="148"/>
      <c r="C395" s="143"/>
      <c r="D395" s="24"/>
      <c r="E395" s="8">
        <f t="shared" si="1"/>
        <v>110540.5</v>
      </c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5.75" customHeight="1">
      <c r="A396" s="24"/>
      <c r="B396" s="148"/>
      <c r="C396" s="143"/>
      <c r="D396" s="100"/>
      <c r="E396" s="8">
        <f t="shared" si="1"/>
        <v>110540.5</v>
      </c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5.75" customHeight="1">
      <c r="A397" s="24"/>
      <c r="B397" s="148"/>
      <c r="C397" s="143"/>
      <c r="D397" s="24"/>
      <c r="E397" s="8">
        <f t="shared" si="1"/>
        <v>110540.5</v>
      </c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5.75" customHeight="1">
      <c r="A398" s="24"/>
      <c r="B398" s="148"/>
      <c r="C398" s="143"/>
      <c r="D398" s="100"/>
      <c r="E398" s="8">
        <f t="shared" si="1"/>
        <v>110540.5</v>
      </c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5.75" customHeight="1">
      <c r="A399" s="35"/>
      <c r="B399" s="148"/>
      <c r="C399" s="143"/>
      <c r="D399" s="35"/>
      <c r="E399" s="8">
        <f t="shared" si="1"/>
        <v>110540.5</v>
      </c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5.75" customHeight="1">
      <c r="A400" s="24"/>
      <c r="B400" s="148"/>
      <c r="C400" s="143"/>
      <c r="D400" s="100"/>
      <c r="E400" s="8">
        <f t="shared" si="1"/>
        <v>110540.5</v>
      </c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5.75" customHeight="1">
      <c r="A401" s="35"/>
      <c r="B401" s="148"/>
      <c r="C401" s="143"/>
      <c r="D401" s="35"/>
      <c r="E401" s="8">
        <f t="shared" si="1"/>
        <v>110540.5</v>
      </c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5.75" customHeight="1">
      <c r="A402" s="24"/>
      <c r="B402" s="148"/>
      <c r="C402" s="143"/>
      <c r="D402" s="24"/>
      <c r="E402" s="8">
        <f t="shared" si="1"/>
        <v>110540.5</v>
      </c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5.75" customHeight="1">
      <c r="A403" s="35"/>
      <c r="B403" s="148"/>
      <c r="C403" s="143"/>
      <c r="D403" s="100"/>
      <c r="E403" s="8">
        <f t="shared" si="1"/>
        <v>110540.5</v>
      </c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5.75" customHeight="1">
      <c r="A404" s="42"/>
      <c r="B404" s="156"/>
      <c r="C404" s="143"/>
      <c r="D404" s="42"/>
      <c r="E404" s="8">
        <f t="shared" si="1"/>
        <v>110540.5</v>
      </c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5.75" customHeight="1">
      <c r="A405" s="24"/>
      <c r="B405" s="148"/>
      <c r="C405" s="143"/>
      <c r="D405" s="24"/>
      <c r="E405" s="8">
        <f t="shared" si="1"/>
        <v>110540.5</v>
      </c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5.75" customHeight="1">
      <c r="A406" s="24"/>
      <c r="B406" s="148"/>
      <c r="C406" s="143"/>
      <c r="D406" s="24"/>
      <c r="E406" s="8">
        <f t="shared" si="1"/>
        <v>110540.5</v>
      </c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5.75" customHeight="1">
      <c r="A407" s="24"/>
      <c r="B407" s="148"/>
      <c r="C407" s="143"/>
      <c r="D407" s="24"/>
      <c r="E407" s="8">
        <f t="shared" si="1"/>
        <v>110540.5</v>
      </c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5.75" customHeight="1">
      <c r="A408" s="24"/>
      <c r="B408" s="148"/>
      <c r="C408" s="143"/>
      <c r="D408" s="24"/>
      <c r="E408" s="8">
        <f t="shared" si="1"/>
        <v>110540.5</v>
      </c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5.75" customHeight="1">
      <c r="A409" s="24"/>
      <c r="B409" s="148"/>
      <c r="C409" s="143"/>
      <c r="D409" s="24"/>
      <c r="E409" s="8">
        <f t="shared" si="1"/>
        <v>110540.5</v>
      </c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5.75" customHeight="1">
      <c r="A410" s="24"/>
      <c r="B410" s="148"/>
      <c r="C410" s="143"/>
      <c r="D410" s="24"/>
      <c r="E410" s="8">
        <f t="shared" si="1"/>
        <v>110540.5</v>
      </c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5.75" customHeight="1">
      <c r="A411" s="71"/>
      <c r="B411" s="148"/>
      <c r="C411" s="143"/>
      <c r="D411" s="35"/>
      <c r="E411" s="8">
        <f t="shared" si="1"/>
        <v>110540.5</v>
      </c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5.75" customHeight="1">
      <c r="A412" s="71"/>
      <c r="B412" s="148"/>
      <c r="C412" s="143"/>
      <c r="D412" s="24"/>
      <c r="E412" s="8">
        <f t="shared" si="1"/>
        <v>110540.5</v>
      </c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5.75" customHeight="1">
      <c r="A413" s="71"/>
      <c r="B413" s="148"/>
      <c r="C413" s="143"/>
      <c r="D413" s="24"/>
      <c r="E413" s="8">
        <f t="shared" si="1"/>
        <v>110540.5</v>
      </c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5.75" customHeight="1">
      <c r="A414" s="71"/>
      <c r="B414" s="148"/>
      <c r="C414" s="143"/>
      <c r="D414" s="24"/>
      <c r="E414" s="8">
        <f t="shared" si="1"/>
        <v>110540.5</v>
      </c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5.75" customHeight="1">
      <c r="A415" s="71"/>
      <c r="B415" s="148"/>
      <c r="C415" s="143"/>
      <c r="D415" s="24"/>
      <c r="E415" s="8">
        <f t="shared" si="1"/>
        <v>110540.5</v>
      </c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5.75" customHeight="1">
      <c r="A416" s="71"/>
      <c r="B416" s="148"/>
      <c r="C416" s="143"/>
      <c r="D416" s="24"/>
      <c r="E416" s="8">
        <f t="shared" si="1"/>
        <v>110540.5</v>
      </c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5.75" customHeight="1">
      <c r="A417" s="71"/>
      <c r="B417" s="148"/>
      <c r="C417" s="143"/>
      <c r="D417" s="24"/>
      <c r="E417" s="8">
        <f t="shared" si="1"/>
        <v>110540.5</v>
      </c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5.75" customHeight="1">
      <c r="A418" s="71"/>
      <c r="B418" s="148"/>
      <c r="C418" s="143"/>
      <c r="D418" s="24"/>
      <c r="E418" s="8">
        <f t="shared" si="1"/>
        <v>110540.5</v>
      </c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5.75" customHeight="1">
      <c r="A419" s="24"/>
      <c r="B419" s="148"/>
      <c r="C419" s="143"/>
      <c r="D419" s="24"/>
      <c r="E419" s="8">
        <f t="shared" si="1"/>
        <v>110540.5</v>
      </c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5.75" customHeight="1">
      <c r="A420" s="71"/>
      <c r="B420" s="148"/>
      <c r="C420" s="143"/>
      <c r="D420" s="24"/>
      <c r="E420" s="8">
        <f t="shared" si="1"/>
        <v>110540.5</v>
      </c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5.75" customHeight="1">
      <c r="A421" s="71"/>
      <c r="B421" s="148"/>
      <c r="C421" s="143"/>
      <c r="D421" s="24"/>
      <c r="E421" s="8">
        <f t="shared" si="1"/>
        <v>110540.5</v>
      </c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5.75" customHeight="1">
      <c r="A422" s="71"/>
      <c r="B422" s="148"/>
      <c r="C422" s="143"/>
      <c r="D422" s="24"/>
      <c r="E422" s="8">
        <f t="shared" si="1"/>
        <v>110540.5</v>
      </c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5.75" customHeight="1">
      <c r="A423" s="71"/>
      <c r="B423" s="148"/>
      <c r="C423" s="143"/>
      <c r="D423" s="24"/>
      <c r="E423" s="8">
        <f t="shared" si="1"/>
        <v>110540.5</v>
      </c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5.75" customHeight="1">
      <c r="A424" s="71"/>
      <c r="B424" s="148"/>
      <c r="C424" s="143"/>
      <c r="D424" s="24"/>
      <c r="E424" s="8">
        <f t="shared" si="1"/>
        <v>110540.5</v>
      </c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5.75" customHeight="1">
      <c r="A425" s="71"/>
      <c r="B425" s="148"/>
      <c r="C425" s="143"/>
      <c r="D425" s="24"/>
      <c r="E425" s="8">
        <f t="shared" si="1"/>
        <v>110540.5</v>
      </c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5.75" customHeight="1">
      <c r="A426" s="71"/>
      <c r="B426" s="148"/>
      <c r="C426" s="143"/>
      <c r="D426" s="24"/>
      <c r="E426" s="8">
        <f t="shared" si="1"/>
        <v>110540.5</v>
      </c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5.75" customHeight="1">
      <c r="A427" s="71"/>
      <c r="B427" s="148"/>
      <c r="C427" s="143"/>
      <c r="D427" s="24"/>
      <c r="E427" s="8">
        <f t="shared" si="1"/>
        <v>110540.5</v>
      </c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5.75" customHeight="1">
      <c r="A428" s="71"/>
      <c r="B428" s="148"/>
      <c r="C428" s="143"/>
      <c r="D428" s="24"/>
      <c r="E428" s="8">
        <f t="shared" si="1"/>
        <v>110540.5</v>
      </c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5.75" customHeight="1">
      <c r="A429" s="35"/>
      <c r="B429" s="148"/>
      <c r="C429" s="143"/>
      <c r="D429" s="35"/>
      <c r="E429" s="8">
        <f t="shared" si="1"/>
        <v>110540.5</v>
      </c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5.75" customHeight="1">
      <c r="A430" s="24"/>
      <c r="B430" s="148"/>
      <c r="C430" s="143"/>
      <c r="D430" s="24"/>
      <c r="E430" s="8">
        <f t="shared" si="1"/>
        <v>110540.5</v>
      </c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5.75" customHeight="1">
      <c r="A431" s="35"/>
      <c r="B431" s="148"/>
      <c r="C431" s="143"/>
      <c r="D431" s="35"/>
      <c r="E431" s="8">
        <f t="shared" si="1"/>
        <v>110540.5</v>
      </c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5.75" customHeight="1">
      <c r="A432" s="24"/>
      <c r="B432" s="148"/>
      <c r="C432" s="143"/>
      <c r="D432" s="100"/>
      <c r="E432" s="8">
        <f t="shared" si="1"/>
        <v>110540.5</v>
      </c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5.75" customHeight="1">
      <c r="A433" s="24"/>
      <c r="B433" s="148"/>
      <c r="C433" s="143"/>
      <c r="D433" s="24"/>
      <c r="E433" s="8">
        <f t="shared" si="1"/>
        <v>110540.5</v>
      </c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5.75" customHeight="1">
      <c r="A434" s="24"/>
      <c r="B434" s="148"/>
      <c r="C434" s="143"/>
      <c r="D434" s="35"/>
      <c r="E434" s="8">
        <f t="shared" si="1"/>
        <v>110540.5</v>
      </c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5.75" customHeight="1">
      <c r="A435" s="24"/>
      <c r="B435" s="148"/>
      <c r="C435" s="143"/>
      <c r="D435" s="24"/>
      <c r="E435" s="8">
        <f t="shared" si="1"/>
        <v>110540.5</v>
      </c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5.75" customHeight="1">
      <c r="A436" s="24"/>
      <c r="B436" s="158"/>
      <c r="C436" s="143"/>
      <c r="D436" s="100"/>
      <c r="E436" s="8">
        <f t="shared" si="1"/>
        <v>110540.5</v>
      </c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5.75" customHeight="1">
      <c r="A437" s="24"/>
      <c r="B437" s="148"/>
      <c r="C437" s="143"/>
      <c r="D437" s="35"/>
      <c r="E437" s="8">
        <f t="shared" si="1"/>
        <v>110540.5</v>
      </c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5.75" customHeight="1">
      <c r="A438" s="24"/>
      <c r="B438" s="148"/>
      <c r="C438" s="143"/>
      <c r="D438" s="35"/>
      <c r="E438" s="8">
        <f t="shared" si="1"/>
        <v>110540.5</v>
      </c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5.75" customHeight="1">
      <c r="A439" s="24"/>
      <c r="B439" s="148"/>
      <c r="C439" s="143"/>
      <c r="D439" s="35"/>
      <c r="E439" s="8">
        <f t="shared" si="1"/>
        <v>110540.5</v>
      </c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5.75" customHeight="1">
      <c r="A440" s="24"/>
      <c r="B440" s="148"/>
      <c r="C440" s="143"/>
      <c r="D440" s="35"/>
      <c r="E440" s="8">
        <f t="shared" si="1"/>
        <v>110540.5</v>
      </c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5.75" customHeight="1">
      <c r="A441" s="24"/>
      <c r="B441" s="148"/>
      <c r="C441" s="143"/>
      <c r="D441" s="24"/>
      <c r="E441" s="8">
        <f t="shared" si="1"/>
        <v>110540.5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5.75" customHeight="1">
      <c r="A442" s="24"/>
      <c r="B442" s="158"/>
      <c r="C442" s="143"/>
      <c r="D442" s="24"/>
      <c r="E442" s="8">
        <f t="shared" si="1"/>
        <v>110540.5</v>
      </c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5.75" customHeight="1">
      <c r="A443" s="24"/>
      <c r="B443" s="158"/>
      <c r="C443" s="143"/>
      <c r="D443" s="74"/>
      <c r="E443" s="8">
        <f t="shared" si="1"/>
        <v>110540.5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5.75" customHeight="1">
      <c r="A444" s="24"/>
      <c r="B444" s="158"/>
      <c r="C444" s="143"/>
      <c r="D444" s="35"/>
      <c r="E444" s="8">
        <f t="shared" si="1"/>
        <v>110540.5</v>
      </c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5.75" customHeight="1">
      <c r="A445" s="90"/>
      <c r="B445" s="161"/>
      <c r="C445" s="143"/>
      <c r="D445" s="114"/>
      <c r="E445" s="8">
        <f t="shared" si="1"/>
        <v>110540.5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5.75" customHeight="1">
      <c r="A446" s="71"/>
      <c r="B446" s="158"/>
      <c r="C446" s="143"/>
      <c r="D446" s="74"/>
      <c r="E446" s="8">
        <f t="shared" si="1"/>
        <v>110540.5</v>
      </c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5.75" customHeight="1">
      <c r="A447" s="71"/>
      <c r="B447" s="158"/>
      <c r="C447" s="143"/>
      <c r="D447" s="24"/>
      <c r="E447" s="8">
        <f t="shared" si="1"/>
        <v>110540.5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5.75" customHeight="1">
      <c r="A448" s="71"/>
      <c r="B448" s="158"/>
      <c r="C448" s="143"/>
      <c r="D448" s="74"/>
      <c r="E448" s="8">
        <f t="shared" si="1"/>
        <v>110540.5</v>
      </c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5.75" customHeight="1">
      <c r="A449" s="71"/>
      <c r="B449" s="158"/>
      <c r="C449" s="143"/>
      <c r="D449" s="24"/>
      <c r="E449" s="8">
        <f t="shared" si="1"/>
        <v>110540.5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5.75" customHeight="1">
      <c r="A450" s="71"/>
      <c r="B450" s="158"/>
      <c r="C450" s="143"/>
      <c r="D450" s="35"/>
      <c r="E450" s="8">
        <f t="shared" si="1"/>
        <v>110540.5</v>
      </c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5.75" customHeight="1">
      <c r="A451" s="70"/>
      <c r="B451" s="158"/>
      <c r="C451" s="143"/>
      <c r="D451" s="35"/>
      <c r="E451" s="8">
        <f t="shared" si="1"/>
        <v>110540.5</v>
      </c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5.75" customHeight="1">
      <c r="A452" s="71"/>
      <c r="B452" s="158"/>
      <c r="C452" s="143"/>
      <c r="D452" s="24"/>
      <c r="E452" s="8">
        <f t="shared" si="1"/>
        <v>110540.5</v>
      </c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5.75" customHeight="1">
      <c r="A453" s="91"/>
      <c r="B453" s="148"/>
      <c r="C453" s="143"/>
      <c r="D453" s="35"/>
      <c r="E453" s="8">
        <f t="shared" si="1"/>
        <v>110540.5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5.75" customHeight="1">
      <c r="A454" s="91"/>
      <c r="B454" s="148"/>
      <c r="C454" s="143"/>
      <c r="D454" s="35"/>
      <c r="E454" s="8">
        <f t="shared" si="1"/>
        <v>110540.5</v>
      </c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5.75" customHeight="1">
      <c r="A455" s="91"/>
      <c r="B455" s="148"/>
      <c r="C455" s="143"/>
      <c r="D455" s="35"/>
      <c r="E455" s="8">
        <f t="shared" si="1"/>
        <v>110540.5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5.75" customHeight="1">
      <c r="A456" s="91"/>
      <c r="B456" s="148"/>
      <c r="C456" s="143"/>
      <c r="D456" s="35"/>
      <c r="E456" s="8">
        <f t="shared" si="1"/>
        <v>110540.5</v>
      </c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5.75" customHeight="1">
      <c r="A457" s="71"/>
      <c r="B457" s="147"/>
      <c r="C457" s="143"/>
      <c r="D457" s="35"/>
      <c r="E457" s="8">
        <f t="shared" si="1"/>
        <v>110540.5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5.75" customHeight="1">
      <c r="A458" s="71"/>
      <c r="B458" s="148"/>
      <c r="C458" s="143"/>
      <c r="D458" s="24"/>
      <c r="E458" s="8">
        <f t="shared" si="1"/>
        <v>110540.5</v>
      </c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5.75" customHeight="1">
      <c r="A459" s="71"/>
      <c r="B459" s="148"/>
      <c r="C459" s="143"/>
      <c r="D459" s="24"/>
      <c r="E459" s="8">
        <f t="shared" si="1"/>
        <v>110540.5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5.75" customHeight="1">
      <c r="A460" s="71"/>
      <c r="B460" s="148"/>
      <c r="C460" s="143"/>
      <c r="D460" s="24"/>
      <c r="E460" s="8">
        <f t="shared" si="1"/>
        <v>110540.5</v>
      </c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5.75" customHeight="1">
      <c r="A461" s="70"/>
      <c r="B461" s="148"/>
      <c r="C461" s="143"/>
      <c r="D461" s="24"/>
      <c r="E461" s="8">
        <f t="shared" si="1"/>
        <v>110540.5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5.75" customHeight="1">
      <c r="A462" s="71"/>
      <c r="B462" s="148"/>
      <c r="C462" s="143"/>
      <c r="D462" s="35"/>
      <c r="E462" s="8">
        <f t="shared" si="1"/>
        <v>110540.5</v>
      </c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5.75" customHeight="1">
      <c r="A463" s="71"/>
      <c r="B463" s="148"/>
      <c r="C463" s="143"/>
      <c r="D463" s="24"/>
      <c r="E463" s="8">
        <f t="shared" si="1"/>
        <v>110540.5</v>
      </c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5.75" customHeight="1">
      <c r="A464" s="71"/>
      <c r="B464" s="148"/>
      <c r="C464" s="143"/>
      <c r="D464" s="24"/>
      <c r="E464" s="8">
        <f t="shared" si="1"/>
        <v>110540.5</v>
      </c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5.75" customHeight="1">
      <c r="A465" s="71"/>
      <c r="B465" s="148"/>
      <c r="C465" s="143"/>
      <c r="D465" s="24"/>
      <c r="E465" s="8">
        <f t="shared" si="1"/>
        <v>110540.5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5.75" customHeight="1">
      <c r="A466" s="71"/>
      <c r="B466" s="148"/>
      <c r="C466" s="143"/>
      <c r="D466" s="24"/>
      <c r="E466" s="8">
        <f t="shared" si="1"/>
        <v>110540.5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5.75" customHeight="1">
      <c r="A467" s="71"/>
      <c r="B467" s="148"/>
      <c r="C467" s="143"/>
      <c r="D467" s="24"/>
      <c r="E467" s="8">
        <f t="shared" si="1"/>
        <v>110540.5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5.75" customHeight="1">
      <c r="A468" s="70"/>
      <c r="B468" s="148"/>
      <c r="C468" s="143"/>
      <c r="D468" s="24"/>
      <c r="E468" s="8">
        <f t="shared" si="1"/>
        <v>110540.5</v>
      </c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5.75" customHeight="1">
      <c r="A469" s="71"/>
      <c r="B469" s="148"/>
      <c r="C469" s="143"/>
      <c r="D469" s="24"/>
      <c r="E469" s="8">
        <f t="shared" si="1"/>
        <v>110540.5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5.75" customHeight="1">
      <c r="A470" s="71"/>
      <c r="B470" s="148"/>
      <c r="C470" s="143"/>
      <c r="D470" s="24"/>
      <c r="E470" s="8">
        <f t="shared" si="1"/>
        <v>110540.5</v>
      </c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5.75" customHeight="1">
      <c r="A471" s="70"/>
      <c r="B471" s="148"/>
      <c r="C471" s="143"/>
      <c r="D471" s="35"/>
      <c r="E471" s="8">
        <f t="shared" si="1"/>
        <v>110540.5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5.75" customHeight="1">
      <c r="A472" s="35"/>
      <c r="B472" s="148"/>
      <c r="C472" s="143"/>
      <c r="D472" s="24"/>
      <c r="E472" s="8">
        <f t="shared" si="1"/>
        <v>110540.5</v>
      </c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5.75" customHeight="1">
      <c r="A473" s="71"/>
      <c r="B473" s="148"/>
      <c r="C473" s="143"/>
      <c r="D473" s="24"/>
      <c r="E473" s="8">
        <f t="shared" si="1"/>
        <v>110540.5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5.75" customHeight="1">
      <c r="A474" s="71"/>
      <c r="B474" s="148"/>
      <c r="C474" s="143"/>
      <c r="D474" s="24"/>
      <c r="E474" s="8">
        <f t="shared" si="1"/>
        <v>110540.5</v>
      </c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5.75" hidden="1" customHeight="1">
      <c r="A475" s="71"/>
      <c r="B475" s="148"/>
      <c r="C475" s="143"/>
      <c r="D475" s="24"/>
      <c r="E475" s="8">
        <f t="shared" si="1"/>
        <v>110540.5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5.75" customHeight="1">
      <c r="A476" s="35"/>
      <c r="B476" s="148"/>
      <c r="C476" s="143"/>
      <c r="D476" s="35"/>
      <c r="E476" s="8">
        <f t="shared" si="1"/>
        <v>110540.5</v>
      </c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5.75" customHeight="1">
      <c r="A477" s="24"/>
      <c r="B477" s="148"/>
      <c r="C477" s="143"/>
      <c r="D477" s="24"/>
      <c r="E477" s="8">
        <f t="shared" si="1"/>
        <v>110540.5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5.75" customHeight="1">
      <c r="A478" s="24"/>
      <c r="B478" s="148"/>
      <c r="C478" s="143"/>
      <c r="D478" s="24"/>
      <c r="E478" s="8">
        <f t="shared" si="1"/>
        <v>110540.5</v>
      </c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5.75" customHeight="1">
      <c r="A479" s="35"/>
      <c r="B479" s="148"/>
      <c r="C479" s="143"/>
      <c r="D479" s="35"/>
      <c r="E479" s="8">
        <f t="shared" si="1"/>
        <v>110540.5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5.75" customHeight="1">
      <c r="A480" s="24"/>
      <c r="B480" s="148"/>
      <c r="C480" s="143"/>
      <c r="D480" s="24"/>
      <c r="E480" s="8">
        <f t="shared" si="1"/>
        <v>110540.5</v>
      </c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5.75" customHeight="1">
      <c r="A481" s="24"/>
      <c r="B481" s="148"/>
      <c r="C481" s="143"/>
      <c r="D481" s="35"/>
      <c r="E481" s="8">
        <f t="shared" si="1"/>
        <v>110540.5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5.75" customHeight="1">
      <c r="A482" s="24"/>
      <c r="B482" s="148"/>
      <c r="C482" s="143"/>
      <c r="D482" s="24"/>
      <c r="E482" s="8">
        <f t="shared" si="1"/>
        <v>110540.5</v>
      </c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5.75" customHeight="1">
      <c r="A483" s="24"/>
      <c r="B483" s="148"/>
      <c r="C483" s="143"/>
      <c r="D483" s="24"/>
      <c r="E483" s="8">
        <f t="shared" si="1"/>
        <v>110540.5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5.75" customHeight="1">
      <c r="A484" s="24"/>
      <c r="B484" s="148"/>
      <c r="C484" s="143"/>
      <c r="D484" s="35"/>
      <c r="E484" s="8">
        <f t="shared" si="1"/>
        <v>110540.5</v>
      </c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5.75" customHeight="1">
      <c r="A485" s="24"/>
      <c r="B485" s="148"/>
      <c r="C485" s="143"/>
      <c r="D485" s="24"/>
      <c r="E485" s="8">
        <f t="shared" si="1"/>
        <v>110540.5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5.75" customHeight="1">
      <c r="A486" s="92"/>
      <c r="B486" s="148"/>
      <c r="C486" s="143"/>
      <c r="D486" s="24"/>
      <c r="E486" s="8">
        <f t="shared" si="1"/>
        <v>110540.5</v>
      </c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5.75" customHeight="1">
      <c r="A487" s="24"/>
      <c r="B487" s="148"/>
      <c r="C487" s="143"/>
      <c r="D487" s="24"/>
      <c r="E487" s="8">
        <f t="shared" si="1"/>
        <v>110540.5</v>
      </c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5.75" customHeight="1">
      <c r="A488" s="24"/>
      <c r="B488" s="148"/>
      <c r="C488" s="143"/>
      <c r="D488" s="24"/>
      <c r="E488" s="8">
        <f t="shared" si="1"/>
        <v>110540.5</v>
      </c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5.75" customHeight="1">
      <c r="A489" s="24"/>
      <c r="B489" s="148"/>
      <c r="C489" s="143"/>
      <c r="D489" s="24"/>
      <c r="E489" s="8">
        <f t="shared" si="1"/>
        <v>110540.5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5.75" customHeight="1">
      <c r="A490" s="24"/>
      <c r="B490" s="148"/>
      <c r="C490" s="143"/>
      <c r="D490" s="24"/>
      <c r="E490" s="8">
        <f t="shared" si="1"/>
        <v>110540.5</v>
      </c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5.75" customHeight="1">
      <c r="A491" s="24"/>
      <c r="B491" s="148"/>
      <c r="C491" s="143"/>
      <c r="D491" s="24"/>
      <c r="E491" s="8">
        <f t="shared" si="1"/>
        <v>110540.5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5.75" customHeight="1">
      <c r="A492" s="24"/>
      <c r="B492" s="148"/>
      <c r="C492" s="143"/>
      <c r="D492" s="35"/>
      <c r="E492" s="8">
        <f t="shared" si="1"/>
        <v>110540.5</v>
      </c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5.75" customHeight="1">
      <c r="A493" s="24"/>
      <c r="B493" s="148"/>
      <c r="C493" s="143"/>
      <c r="D493" s="24"/>
      <c r="E493" s="8">
        <f t="shared" si="1"/>
        <v>110540.5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5.75" customHeight="1">
      <c r="A494" s="24"/>
      <c r="B494" s="148"/>
      <c r="C494" s="143"/>
      <c r="D494" s="24"/>
      <c r="E494" s="8">
        <f t="shared" si="1"/>
        <v>110540.5</v>
      </c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5.75" customHeight="1">
      <c r="A495" s="35"/>
      <c r="B495" s="148"/>
      <c r="C495" s="143"/>
      <c r="D495" s="24"/>
      <c r="E495" s="8">
        <f t="shared" si="1"/>
        <v>110540.5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5.75" customHeight="1">
      <c r="A496" s="24"/>
      <c r="B496" s="148"/>
      <c r="C496" s="143"/>
      <c r="D496" s="24"/>
      <c r="E496" s="8">
        <f t="shared" si="1"/>
        <v>110540.5</v>
      </c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5.75" customHeight="1">
      <c r="A497" s="24"/>
      <c r="B497" s="148"/>
      <c r="C497" s="143"/>
      <c r="D497" s="24"/>
      <c r="E497" s="8">
        <f t="shared" si="1"/>
        <v>110540.5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5.75" customHeight="1">
      <c r="A498" s="24"/>
      <c r="B498" s="148"/>
      <c r="C498" s="143"/>
      <c r="D498" s="35"/>
      <c r="E498" s="8">
        <f t="shared" si="1"/>
        <v>110540.5</v>
      </c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5.75" customHeight="1">
      <c r="A499" s="24"/>
      <c r="B499" s="148"/>
      <c r="C499" s="143"/>
      <c r="D499" s="35"/>
      <c r="E499" s="8">
        <f t="shared" si="1"/>
        <v>110540.5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5.75" customHeight="1">
      <c r="A500" s="24"/>
      <c r="B500" s="148"/>
      <c r="C500" s="143"/>
      <c r="D500" s="35"/>
      <c r="E500" s="8">
        <f t="shared" si="1"/>
        <v>110540.5</v>
      </c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5.75" customHeight="1">
      <c r="A501" s="24"/>
      <c r="B501" s="148"/>
      <c r="C501" s="143"/>
      <c r="D501" s="24"/>
      <c r="E501" s="8">
        <f t="shared" si="1"/>
        <v>110540.5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5.75" customHeight="1">
      <c r="A502" s="24"/>
      <c r="B502" s="148"/>
      <c r="C502" s="143"/>
      <c r="D502" s="24"/>
      <c r="E502" s="8">
        <f t="shared" si="1"/>
        <v>110540.5</v>
      </c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5.75" customHeight="1">
      <c r="A503" s="24"/>
      <c r="B503" s="148"/>
      <c r="C503" s="143"/>
      <c r="D503" s="35"/>
      <c r="E503" s="8">
        <f t="shared" si="1"/>
        <v>110540.5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5.75" customHeight="1">
      <c r="A504" s="24"/>
      <c r="B504" s="148"/>
      <c r="C504" s="143"/>
      <c r="D504" s="24"/>
      <c r="E504" s="8">
        <f t="shared" si="1"/>
        <v>110540.5</v>
      </c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5.75" customHeight="1">
      <c r="A505" s="24"/>
      <c r="B505" s="148"/>
      <c r="C505" s="143"/>
      <c r="D505" s="24"/>
      <c r="E505" s="8">
        <f t="shared" si="1"/>
        <v>110540.5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5.75" customHeight="1">
      <c r="A506" s="35"/>
      <c r="B506" s="148"/>
      <c r="C506" s="143"/>
      <c r="D506" s="35"/>
      <c r="E506" s="8">
        <f t="shared" si="1"/>
        <v>110540.5</v>
      </c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5.75" customHeight="1">
      <c r="A507" s="24"/>
      <c r="B507" s="148"/>
      <c r="C507" s="143"/>
      <c r="D507" s="24"/>
      <c r="E507" s="8">
        <f t="shared" si="1"/>
        <v>110540.5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5.75" customHeight="1">
      <c r="A508" s="24"/>
      <c r="B508" s="148"/>
      <c r="C508" s="143"/>
      <c r="D508" s="35"/>
      <c r="E508" s="8">
        <f t="shared" si="1"/>
        <v>110540.5</v>
      </c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5.75" customHeight="1">
      <c r="A509" s="24"/>
      <c r="B509" s="148"/>
      <c r="C509" s="143"/>
      <c r="D509" s="35"/>
      <c r="E509" s="8">
        <f t="shared" si="1"/>
        <v>110540.5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5.75" customHeight="1">
      <c r="A510" s="24"/>
      <c r="B510" s="148"/>
      <c r="C510" s="143"/>
      <c r="D510" s="35"/>
      <c r="E510" s="8">
        <f t="shared" si="1"/>
        <v>110540.5</v>
      </c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5.75" customHeight="1">
      <c r="A511" s="24"/>
      <c r="B511" s="148"/>
      <c r="C511" s="143"/>
      <c r="D511" s="35"/>
      <c r="E511" s="8">
        <f t="shared" si="1"/>
        <v>110540.5</v>
      </c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5.75" customHeight="1">
      <c r="A512" s="35"/>
      <c r="B512" s="148"/>
      <c r="C512" s="143"/>
      <c r="D512" s="24"/>
      <c r="E512" s="8">
        <f t="shared" si="1"/>
        <v>110540.5</v>
      </c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5.75" customHeight="1">
      <c r="A513" s="24"/>
      <c r="B513" s="148"/>
      <c r="C513" s="143"/>
      <c r="D513" s="24"/>
      <c r="E513" s="8">
        <f t="shared" si="1"/>
        <v>110540.5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5.75" customHeight="1">
      <c r="A514" s="24"/>
      <c r="B514" s="148"/>
      <c r="C514" s="143"/>
      <c r="D514" s="24"/>
      <c r="E514" s="8">
        <f t="shared" si="1"/>
        <v>110540.5</v>
      </c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5.75" customHeight="1">
      <c r="A515" s="24"/>
      <c r="B515" s="148"/>
      <c r="C515" s="143"/>
      <c r="D515" s="24"/>
      <c r="E515" s="8">
        <f t="shared" si="1"/>
        <v>110540.5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5.75" customHeight="1">
      <c r="A516" s="24"/>
      <c r="B516" s="148"/>
      <c r="C516" s="143"/>
      <c r="D516" s="24"/>
      <c r="E516" s="8">
        <f t="shared" si="1"/>
        <v>110540.5</v>
      </c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5.75" customHeight="1">
      <c r="A517" s="24"/>
      <c r="B517" s="148"/>
      <c r="C517" s="143"/>
      <c r="D517" s="24"/>
      <c r="E517" s="8">
        <f t="shared" ref="E517:E547" si="2">E516+C517-B517</f>
        <v>110540.5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5.75" customHeight="1">
      <c r="A518" s="24"/>
      <c r="B518" s="148"/>
      <c r="C518" s="143"/>
      <c r="D518" s="24"/>
      <c r="E518" s="8">
        <f t="shared" si="2"/>
        <v>110540.5</v>
      </c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5.75" customHeight="1">
      <c r="A519" s="24"/>
      <c r="B519" s="148"/>
      <c r="C519" s="143"/>
      <c r="D519" s="24"/>
      <c r="E519" s="8">
        <f t="shared" si="2"/>
        <v>110540.5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5.75" customHeight="1">
      <c r="A520" s="24"/>
      <c r="B520" s="148"/>
      <c r="C520" s="143"/>
      <c r="D520" s="24"/>
      <c r="E520" s="8">
        <f t="shared" si="2"/>
        <v>110540.5</v>
      </c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5.75" customHeight="1">
      <c r="A521" s="24"/>
      <c r="B521" s="148"/>
      <c r="C521" s="143"/>
      <c r="D521" s="24"/>
      <c r="E521" s="8">
        <f t="shared" si="2"/>
        <v>110540.5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5.75" customHeight="1">
      <c r="A522" s="24"/>
      <c r="B522" s="148"/>
      <c r="C522" s="143"/>
      <c r="D522" s="24"/>
      <c r="E522" s="8">
        <f t="shared" si="2"/>
        <v>110540.5</v>
      </c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5.75" customHeight="1">
      <c r="A523" s="24"/>
      <c r="B523" s="148"/>
      <c r="C523" s="143"/>
      <c r="D523" s="24"/>
      <c r="E523" s="8">
        <f t="shared" si="2"/>
        <v>110540.5</v>
      </c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5.75" customHeight="1">
      <c r="A524" s="24"/>
      <c r="B524" s="148"/>
      <c r="C524" s="143"/>
      <c r="D524" s="24"/>
      <c r="E524" s="8">
        <f t="shared" si="2"/>
        <v>110540.5</v>
      </c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5.75" customHeight="1">
      <c r="A525" s="71"/>
      <c r="B525" s="148"/>
      <c r="C525" s="143"/>
      <c r="D525" s="24"/>
      <c r="E525" s="8">
        <f t="shared" si="2"/>
        <v>110540.5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5.75" customHeight="1">
      <c r="A526" s="70"/>
      <c r="B526" s="148"/>
      <c r="C526" s="143"/>
      <c r="D526" s="24"/>
      <c r="E526" s="8">
        <f t="shared" si="2"/>
        <v>110540.5</v>
      </c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5.75" customHeight="1">
      <c r="A527" s="71"/>
      <c r="B527" s="148"/>
      <c r="C527" s="143"/>
      <c r="D527" s="24"/>
      <c r="E527" s="8">
        <f t="shared" si="2"/>
        <v>110540.5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5.75" customHeight="1">
      <c r="A528" s="71"/>
      <c r="B528" s="148"/>
      <c r="C528" s="143"/>
      <c r="D528" s="24"/>
      <c r="E528" s="8">
        <f t="shared" si="2"/>
        <v>110540.5</v>
      </c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5.75" customHeight="1">
      <c r="A529" s="71"/>
      <c r="B529" s="148"/>
      <c r="C529" s="143"/>
      <c r="D529" s="24"/>
      <c r="E529" s="8">
        <f t="shared" si="2"/>
        <v>110540.5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5.75" customHeight="1">
      <c r="A530" s="71"/>
      <c r="B530" s="148"/>
      <c r="C530" s="143"/>
      <c r="D530" s="24"/>
      <c r="E530" s="8">
        <f t="shared" si="2"/>
        <v>110540.5</v>
      </c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5.75" customHeight="1">
      <c r="A531" s="70"/>
      <c r="B531" s="148"/>
      <c r="C531" s="143"/>
      <c r="D531" s="24"/>
      <c r="E531" s="8">
        <f t="shared" si="2"/>
        <v>110540.5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5.75" customHeight="1">
      <c r="A532" s="71"/>
      <c r="B532" s="148"/>
      <c r="C532" s="143"/>
      <c r="D532" s="24"/>
      <c r="E532" s="8">
        <f t="shared" si="2"/>
        <v>110540.5</v>
      </c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5.75" customHeight="1">
      <c r="A533" s="71"/>
      <c r="B533" s="148"/>
      <c r="C533" s="143"/>
      <c r="D533" s="24"/>
      <c r="E533" s="8">
        <f t="shared" si="2"/>
        <v>110540.5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5.75" customHeight="1">
      <c r="A534" s="71"/>
      <c r="B534" s="148"/>
      <c r="C534" s="143"/>
      <c r="D534" s="24"/>
      <c r="E534" s="8">
        <f t="shared" si="2"/>
        <v>110540.5</v>
      </c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5.75" customHeight="1">
      <c r="A535" s="70"/>
      <c r="B535" s="148"/>
      <c r="C535" s="143"/>
      <c r="D535" s="24"/>
      <c r="E535" s="8">
        <f t="shared" si="2"/>
        <v>110540.5</v>
      </c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5.75" customHeight="1">
      <c r="A536" s="71"/>
      <c r="B536" s="148"/>
      <c r="C536" s="143"/>
      <c r="D536" s="24"/>
      <c r="E536" s="8">
        <f t="shared" si="2"/>
        <v>110540.5</v>
      </c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5.75" customHeight="1">
      <c r="A537" s="71"/>
      <c r="B537" s="148"/>
      <c r="C537" s="143"/>
      <c r="D537" s="24"/>
      <c r="E537" s="8">
        <f t="shared" si="2"/>
        <v>110540.5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5.75" customHeight="1">
      <c r="A538" s="71"/>
      <c r="B538" s="148"/>
      <c r="C538" s="143"/>
      <c r="D538" s="35"/>
      <c r="E538" s="8">
        <f t="shared" si="2"/>
        <v>110540.5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5.75" customHeight="1">
      <c r="A539" s="71"/>
      <c r="B539" s="148"/>
      <c r="C539" s="143"/>
      <c r="D539" s="24"/>
      <c r="E539" s="8">
        <f t="shared" si="2"/>
        <v>110540.5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5.75" customHeight="1">
      <c r="A540" s="24"/>
      <c r="B540" s="148"/>
      <c r="C540" s="143"/>
      <c r="D540" s="24"/>
      <c r="E540" s="8">
        <f t="shared" si="2"/>
        <v>110540.5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5.75" customHeight="1">
      <c r="A541" s="35"/>
      <c r="B541" s="148"/>
      <c r="C541" s="143"/>
      <c r="D541" s="24"/>
      <c r="E541" s="8">
        <f t="shared" si="2"/>
        <v>110540.5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5.75" customHeight="1">
      <c r="A542" s="71"/>
      <c r="B542" s="148"/>
      <c r="C542" s="143"/>
      <c r="D542" s="24"/>
      <c r="E542" s="8">
        <f t="shared" si="2"/>
        <v>110540.5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5.75" customHeight="1">
      <c r="A543" s="71"/>
      <c r="B543" s="148"/>
      <c r="C543" s="143"/>
      <c r="D543" s="24"/>
      <c r="E543" s="8">
        <f t="shared" si="2"/>
        <v>110540.5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5.75" customHeight="1">
      <c r="A544" s="71"/>
      <c r="B544" s="148"/>
      <c r="C544" s="143"/>
      <c r="D544" s="35"/>
      <c r="E544" s="8">
        <f t="shared" si="2"/>
        <v>110540.5</v>
      </c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5.75" customHeight="1">
      <c r="A545" s="71"/>
      <c r="B545" s="148"/>
      <c r="C545" s="143"/>
      <c r="D545" s="24"/>
      <c r="E545" s="8">
        <f t="shared" si="2"/>
        <v>110540.5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5.75" customHeight="1">
      <c r="A546" s="24"/>
      <c r="B546" s="148"/>
      <c r="C546" s="143"/>
      <c r="D546" s="24"/>
      <c r="E546" s="8">
        <f t="shared" si="2"/>
        <v>110540.5</v>
      </c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5.75" customHeight="1">
      <c r="A547" s="24"/>
      <c r="B547" s="148"/>
      <c r="C547" s="143"/>
      <c r="D547" s="24"/>
      <c r="E547" s="8">
        <f t="shared" si="2"/>
        <v>110540.5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5.75" customHeight="1">
      <c r="A548" s="24"/>
      <c r="B548" s="148"/>
      <c r="C548" s="143"/>
      <c r="D548" s="24"/>
      <c r="E548" s="8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5.75" customHeight="1">
      <c r="A549" s="35"/>
      <c r="B549" s="148"/>
      <c r="C549" s="143"/>
      <c r="D549" s="24"/>
      <c r="E549" s="8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5.75" customHeight="1">
      <c r="A550" s="24"/>
      <c r="B550" s="148"/>
      <c r="C550" s="143"/>
      <c r="D550" s="24"/>
      <c r="E550" s="8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5.75" customHeight="1">
      <c r="A551" s="24"/>
      <c r="B551" s="148"/>
      <c r="C551" s="143"/>
      <c r="D551" s="24"/>
      <c r="E551" s="8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5.75" customHeight="1">
      <c r="A552" s="24"/>
      <c r="B552" s="148"/>
      <c r="C552" s="143"/>
      <c r="D552" s="24"/>
      <c r="E552" s="8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5.75" customHeight="1">
      <c r="A553" s="24"/>
      <c r="B553" s="148"/>
      <c r="C553" s="143"/>
      <c r="D553" s="24"/>
      <c r="E553" s="8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5.75" customHeight="1">
      <c r="A554" s="24"/>
      <c r="B554" s="148"/>
      <c r="C554" s="143"/>
      <c r="D554" s="24"/>
      <c r="E554" s="8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5.75" customHeight="1">
      <c r="A555" s="71"/>
      <c r="B555" s="148"/>
      <c r="C555" s="143"/>
      <c r="D555" s="24"/>
      <c r="E555" s="8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5.75" customHeight="1">
      <c r="A556" s="70"/>
      <c r="B556" s="148"/>
      <c r="C556" s="143"/>
      <c r="D556" s="24"/>
      <c r="E556" s="8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5.75" customHeight="1">
      <c r="A557" s="71"/>
      <c r="B557" s="148"/>
      <c r="C557" s="143"/>
      <c r="D557" s="24"/>
      <c r="E557" s="8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5.75" customHeight="1">
      <c r="A558" s="71"/>
      <c r="B558" s="162"/>
      <c r="C558" s="143"/>
      <c r="D558" s="96"/>
      <c r="E558" s="8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5.75" customHeight="1">
      <c r="A559" s="71"/>
      <c r="B559" s="163"/>
      <c r="C559" s="143"/>
      <c r="D559" s="96"/>
      <c r="E559" s="8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5.75" customHeight="1">
      <c r="A560" s="71"/>
      <c r="B560" s="148"/>
      <c r="C560" s="143"/>
      <c r="D560" s="24"/>
      <c r="E560" s="8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5.75" customHeight="1">
      <c r="A561" s="71"/>
      <c r="B561" s="148"/>
      <c r="C561" s="143"/>
      <c r="D561" s="24"/>
      <c r="E561" s="8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5.75" customHeight="1">
      <c r="A562" s="71"/>
      <c r="B562" s="148"/>
      <c r="C562" s="143"/>
      <c r="D562" s="35"/>
      <c r="E562" s="8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5.75" customHeight="1">
      <c r="A563" s="70"/>
      <c r="B563" s="148"/>
      <c r="C563" s="143"/>
      <c r="D563" s="35"/>
      <c r="E563" s="8"/>
      <c r="F563" s="14"/>
      <c r="G563" s="14"/>
      <c r="H563" s="48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5.75" customHeight="1">
      <c r="A564" s="71"/>
      <c r="B564" s="148"/>
      <c r="C564" s="143"/>
      <c r="D564" s="24"/>
      <c r="E564" s="8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5.75" customHeight="1">
      <c r="A565" s="71"/>
      <c r="B565" s="148"/>
      <c r="C565" s="143"/>
      <c r="D565" s="24"/>
      <c r="E565" s="8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5.75" customHeight="1">
      <c r="A566" s="71"/>
      <c r="B566" s="148"/>
      <c r="C566" s="143"/>
      <c r="D566" s="24"/>
      <c r="E566" s="8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5.75" customHeight="1">
      <c r="A567" s="53"/>
      <c r="B567" s="148"/>
      <c r="C567" s="143"/>
      <c r="D567" s="24"/>
      <c r="E567" s="8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5.75" customHeight="1">
      <c r="A568" s="53"/>
      <c r="B568" s="148"/>
      <c r="C568" s="143"/>
      <c r="D568" s="24"/>
      <c r="E568" s="8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5.75" customHeight="1">
      <c r="A569" s="53"/>
      <c r="B569" s="148"/>
      <c r="C569" s="143"/>
      <c r="D569" s="24"/>
      <c r="E569" s="8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5.75" customHeight="1">
      <c r="A570" s="99"/>
      <c r="B570" s="164"/>
      <c r="C570" s="143"/>
      <c r="D570" s="100"/>
      <c r="E570" s="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 spans="1:27" ht="15.75" customHeight="1">
      <c r="A571" s="99"/>
      <c r="B571" s="164"/>
      <c r="C571" s="143"/>
      <c r="D571" s="100"/>
      <c r="E571" s="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 spans="1:27" ht="15.75" customHeight="1">
      <c r="A572" s="99"/>
      <c r="B572" s="164"/>
      <c r="C572" s="143"/>
      <c r="D572" s="101"/>
      <c r="E572" s="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 spans="1:27" ht="15.75" customHeight="1">
      <c r="A573" s="70"/>
      <c r="B573" s="148"/>
      <c r="C573" s="143"/>
      <c r="D573" s="35"/>
      <c r="E573" s="8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5.75" customHeight="1">
      <c r="A574" s="70"/>
      <c r="B574" s="148"/>
      <c r="C574" s="143"/>
      <c r="D574" s="24"/>
      <c r="E574" s="8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5.75" customHeight="1">
      <c r="A575" s="70"/>
      <c r="B575" s="148"/>
      <c r="C575" s="143"/>
      <c r="D575" s="35"/>
      <c r="E575" s="8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5.75" customHeight="1">
      <c r="A576" s="71"/>
      <c r="B576" s="148"/>
      <c r="C576" s="143"/>
      <c r="D576" s="35"/>
      <c r="E576" s="8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5.75" customHeight="1">
      <c r="A577" s="71"/>
      <c r="B577" s="148"/>
      <c r="C577" s="143"/>
      <c r="D577" s="101"/>
      <c r="E577" s="8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5.75" customHeight="1">
      <c r="A578" s="35"/>
      <c r="B578" s="148"/>
      <c r="C578" s="143"/>
      <c r="D578" s="35"/>
      <c r="E578" s="8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5.75" customHeight="1">
      <c r="A579" s="24"/>
      <c r="B579" s="165"/>
      <c r="C579" s="143"/>
      <c r="D579" s="62"/>
      <c r="E579" s="8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5.75" customHeight="1">
      <c r="A580" s="104"/>
      <c r="B580" s="156"/>
      <c r="C580" s="143"/>
      <c r="D580" s="65"/>
      <c r="E580" s="8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5.75" customHeight="1">
      <c r="A581" s="70"/>
      <c r="B581" s="166"/>
      <c r="C581" s="143"/>
      <c r="D581" s="81"/>
      <c r="E581" s="8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5.75" customHeight="1">
      <c r="A582" s="71"/>
      <c r="B582" s="156"/>
      <c r="C582" s="143"/>
      <c r="D582" s="7"/>
      <c r="E582" s="8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5.75" customHeight="1">
      <c r="A583" s="71"/>
      <c r="B583" s="148"/>
      <c r="C583" s="143"/>
      <c r="D583" s="81"/>
      <c r="E583" s="8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5.75" customHeight="1">
      <c r="A584" s="71"/>
      <c r="B584" s="148"/>
      <c r="C584" s="143"/>
      <c r="D584" s="35"/>
      <c r="E584" s="8"/>
      <c r="F584" s="14"/>
      <c r="G584" s="1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>
      <c r="A585" s="71"/>
      <c r="B585" s="148"/>
      <c r="C585" s="143"/>
      <c r="D585" s="24"/>
      <c r="E585" s="8"/>
      <c r="F585" s="14"/>
      <c r="G585" s="1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>
      <c r="A586" s="71"/>
      <c r="B586" s="148"/>
      <c r="C586" s="143"/>
      <c r="D586" s="24"/>
      <c r="E586" s="8"/>
      <c r="F586" s="14"/>
      <c r="G586" s="1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>
      <c r="A587" s="71"/>
      <c r="B587" s="148"/>
      <c r="C587" s="143"/>
      <c r="D587" s="24"/>
      <c r="E587" s="8"/>
      <c r="F587" s="14"/>
      <c r="G587" s="1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>
      <c r="A588" s="71"/>
      <c r="B588" s="148"/>
      <c r="C588" s="143"/>
      <c r="D588" s="35"/>
      <c r="E588" s="8"/>
      <c r="F588" s="14"/>
      <c r="G588" s="1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>
      <c r="A589" s="71"/>
      <c r="B589" s="148"/>
      <c r="C589" s="143"/>
      <c r="D589" s="35"/>
      <c r="E589" s="8"/>
      <c r="F589" s="14"/>
      <c r="G589" s="1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>
      <c r="A590" s="24"/>
      <c r="B590" s="148"/>
      <c r="C590" s="143"/>
      <c r="D590" s="24"/>
      <c r="E590" s="8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5.75" customHeight="1">
      <c r="A591" s="24"/>
      <c r="B591" s="148"/>
      <c r="C591" s="143"/>
      <c r="D591" s="35"/>
      <c r="E591" s="8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5.75" customHeight="1">
      <c r="A592" s="24"/>
      <c r="B592" s="148"/>
      <c r="C592" s="143"/>
      <c r="D592" s="24"/>
      <c r="E592" s="8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5.75" customHeight="1">
      <c r="A593" s="24"/>
      <c r="B593" s="167"/>
      <c r="C593" s="143"/>
      <c r="D593" s="24"/>
      <c r="E593" s="8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5.75" customHeight="1">
      <c r="A594" s="24"/>
      <c r="B594" s="148"/>
      <c r="C594" s="143"/>
      <c r="D594" s="24"/>
      <c r="E594" s="8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5.75" customHeight="1">
      <c r="A595" s="24"/>
      <c r="B595" s="148"/>
      <c r="C595" s="143"/>
      <c r="D595" s="24"/>
      <c r="E595" s="8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5.75" customHeight="1">
      <c r="A596" s="24"/>
      <c r="B596" s="148"/>
      <c r="C596" s="143"/>
      <c r="D596" s="24"/>
      <c r="E596" s="8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5.75" customHeight="1">
      <c r="A597" s="24"/>
      <c r="B597" s="148"/>
      <c r="C597" s="143"/>
      <c r="D597" s="24"/>
      <c r="E597" s="8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5.75" customHeight="1">
      <c r="A598" s="71"/>
      <c r="B598" s="167"/>
      <c r="C598" s="143"/>
      <c r="D598" s="136"/>
      <c r="E598" s="8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5.75" customHeight="1">
      <c r="A599" s="71"/>
      <c r="B599" s="148"/>
      <c r="C599" s="143"/>
      <c r="D599" s="35"/>
      <c r="E599" s="8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5.75" customHeight="1">
      <c r="A600" s="71"/>
      <c r="B600" s="148"/>
      <c r="C600" s="143"/>
      <c r="D600" s="24"/>
      <c r="E600" s="8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5.75" customHeight="1">
      <c r="A601" s="71"/>
      <c r="B601" s="148"/>
      <c r="C601" s="143"/>
      <c r="D601" s="24"/>
      <c r="E601" s="8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5.75" customHeight="1">
      <c r="A602" s="24"/>
      <c r="B602" s="148"/>
      <c r="C602" s="143"/>
      <c r="D602" s="24"/>
      <c r="E602" s="8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5.75" customHeight="1">
      <c r="A603" s="24"/>
      <c r="B603" s="148"/>
      <c r="C603" s="143"/>
      <c r="D603" s="24"/>
      <c r="E603" s="8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5.75" customHeight="1">
      <c r="A604" s="24"/>
      <c r="B604" s="148"/>
      <c r="C604" s="143"/>
      <c r="D604" s="24"/>
      <c r="E604" s="8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5.75" customHeight="1">
      <c r="A605" s="24"/>
      <c r="B605" s="148"/>
      <c r="C605" s="143"/>
      <c r="D605" s="24"/>
      <c r="E605" s="8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5.75" customHeight="1">
      <c r="A606" s="24"/>
      <c r="B606" s="148"/>
      <c r="C606" s="143"/>
      <c r="D606" s="24"/>
      <c r="E606" s="8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5.75" customHeight="1">
      <c r="A607" s="24"/>
      <c r="B607" s="148"/>
      <c r="C607" s="143"/>
      <c r="D607" s="24"/>
      <c r="E607" s="8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5.75" customHeight="1">
      <c r="A608" s="71"/>
      <c r="B608" s="148"/>
      <c r="C608" s="143"/>
      <c r="D608" s="24"/>
      <c r="E608" s="8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5.75" customHeight="1">
      <c r="A609" s="71"/>
      <c r="B609" s="148"/>
      <c r="C609" s="143"/>
      <c r="D609" s="24"/>
      <c r="E609" s="8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5.75" customHeight="1">
      <c r="A610" s="24"/>
      <c r="B610" s="148"/>
      <c r="C610" s="143"/>
      <c r="D610" s="35"/>
      <c r="E610" s="8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5.75" customHeight="1">
      <c r="A611" s="71"/>
      <c r="B611" s="148"/>
      <c r="C611" s="143"/>
      <c r="D611" s="24"/>
      <c r="E611" s="8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5.75" customHeight="1">
      <c r="A612" s="71"/>
      <c r="B612" s="148"/>
      <c r="C612" s="143"/>
      <c r="D612" s="24"/>
      <c r="E612" s="8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5.75" customHeight="1">
      <c r="A613" s="71"/>
      <c r="B613" s="148"/>
      <c r="C613" s="143"/>
      <c r="D613" s="24"/>
      <c r="E613" s="8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5.75" customHeight="1">
      <c r="A614" s="71"/>
      <c r="B614" s="148"/>
      <c r="C614" s="143"/>
      <c r="D614" s="24"/>
      <c r="E614" s="8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5.75" customHeight="1">
      <c r="A615" s="71"/>
      <c r="B615" s="148"/>
      <c r="C615" s="143"/>
      <c r="D615" s="24"/>
      <c r="E615" s="8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5.75" customHeight="1">
      <c r="A616" s="71"/>
      <c r="B616" s="148"/>
      <c r="C616" s="143"/>
      <c r="D616" s="24"/>
      <c r="E616" s="8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5.75" customHeight="1">
      <c r="A617" s="71"/>
      <c r="B617" s="148"/>
      <c r="C617" s="143"/>
      <c r="D617" s="24"/>
      <c r="E617" s="8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5.75" customHeight="1">
      <c r="A618" s="71"/>
      <c r="B618" s="148"/>
      <c r="C618" s="143"/>
      <c r="D618" s="24"/>
      <c r="E618" s="8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5.75" customHeight="1">
      <c r="A619" s="71"/>
      <c r="B619" s="148"/>
      <c r="C619" s="143"/>
      <c r="D619" s="24"/>
      <c r="E619" s="8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5.75" customHeight="1">
      <c r="A620" s="71"/>
      <c r="B620" s="148"/>
      <c r="C620" s="143"/>
      <c r="D620" s="24"/>
      <c r="E620" s="8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5.75" customHeight="1">
      <c r="A621" s="71"/>
      <c r="B621" s="148"/>
      <c r="C621" s="143"/>
      <c r="D621" s="35"/>
      <c r="E621" s="8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5.75" customHeight="1">
      <c r="A622" s="71"/>
      <c r="B622" s="148"/>
      <c r="C622" s="143"/>
      <c r="D622" s="24"/>
      <c r="E622" s="8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5.75" customHeight="1">
      <c r="A623" s="71"/>
      <c r="B623" s="148"/>
      <c r="C623" s="143"/>
      <c r="D623" s="24"/>
      <c r="E623" s="8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5.75" customHeight="1">
      <c r="A624" s="71"/>
      <c r="B624" s="148"/>
      <c r="C624" s="143"/>
      <c r="D624" s="24"/>
      <c r="E624" s="8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5.75" customHeight="1">
      <c r="A625" s="71"/>
      <c r="B625" s="148"/>
      <c r="C625" s="143"/>
      <c r="D625" s="24"/>
      <c r="E625" s="8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5.75" customHeight="1">
      <c r="A626" s="71"/>
      <c r="B626" s="148"/>
      <c r="C626" s="143"/>
      <c r="D626" s="24"/>
      <c r="E626" s="8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5.75" customHeight="1">
      <c r="A627" s="71"/>
      <c r="B627" s="148"/>
      <c r="C627" s="143"/>
      <c r="D627" s="35"/>
      <c r="E627" s="8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5.75" customHeight="1">
      <c r="A628" s="71"/>
      <c r="B628" s="148"/>
      <c r="C628" s="143"/>
      <c r="D628" s="24"/>
      <c r="E628" s="8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5.75" customHeight="1">
      <c r="A629" s="71"/>
      <c r="B629" s="148"/>
      <c r="C629" s="143"/>
      <c r="D629" s="24"/>
      <c r="E629" s="8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5.75" customHeight="1">
      <c r="A630" s="71"/>
      <c r="B630" s="148"/>
      <c r="C630" s="143"/>
      <c r="D630" s="24"/>
      <c r="E630" s="8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5.75" customHeight="1">
      <c r="A631" s="24"/>
      <c r="B631" s="148"/>
      <c r="C631" s="143"/>
      <c r="D631" s="24"/>
      <c r="E631" s="8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5.75" customHeight="1">
      <c r="A632" s="24"/>
      <c r="B632" s="148"/>
      <c r="C632" s="143"/>
      <c r="D632" s="24"/>
      <c r="E632" s="8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5.75" customHeight="1">
      <c r="A633" s="24"/>
      <c r="B633" s="148"/>
      <c r="C633" s="143"/>
      <c r="D633" s="24"/>
      <c r="E633" s="8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5.75" customHeight="1">
      <c r="A634" s="71"/>
      <c r="B634" s="148"/>
      <c r="C634" s="143"/>
      <c r="D634" s="35"/>
      <c r="E634" s="8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5.75" customHeight="1">
      <c r="A635" s="71"/>
      <c r="B635" s="148"/>
      <c r="C635" s="143"/>
      <c r="D635" s="24"/>
      <c r="E635" s="8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5.75" customHeight="1">
      <c r="A636" s="71"/>
      <c r="B636" s="148"/>
      <c r="C636" s="143"/>
      <c r="D636" s="24"/>
      <c r="E636" s="8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5.75" customHeight="1">
      <c r="A637" s="71"/>
      <c r="B637" s="148"/>
      <c r="C637" s="143"/>
      <c r="D637" s="35"/>
      <c r="E637" s="8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5.75" customHeight="1">
      <c r="A638" s="24"/>
      <c r="B638" s="148"/>
      <c r="C638" s="143"/>
      <c r="D638" s="137"/>
      <c r="E638" s="8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5.75" customHeight="1">
      <c r="A639" s="71"/>
      <c r="B639" s="148"/>
      <c r="C639" s="143"/>
      <c r="D639" s="24"/>
      <c r="E639" s="8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5.75" customHeight="1">
      <c r="A640" s="71"/>
      <c r="B640" s="148"/>
      <c r="C640" s="143"/>
      <c r="D640" s="24"/>
      <c r="E640" s="8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5.75" customHeight="1">
      <c r="A641" s="71"/>
      <c r="B641" s="148"/>
      <c r="C641" s="143"/>
      <c r="D641" s="24"/>
      <c r="E641" s="8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5.75" customHeight="1">
      <c r="A642" s="71"/>
      <c r="B642" s="148"/>
      <c r="C642" s="143"/>
      <c r="D642" s="24"/>
      <c r="E642" s="8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5.75" customHeight="1">
      <c r="A643" s="71"/>
      <c r="B643" s="148"/>
      <c r="C643" s="143"/>
      <c r="D643" s="24"/>
      <c r="E643" s="8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5.75" customHeight="1">
      <c r="A644" s="24"/>
      <c r="B644" s="148"/>
      <c r="C644" s="143"/>
      <c r="D644" s="35"/>
      <c r="E644" s="8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5.75" customHeight="1">
      <c r="A645" s="24"/>
      <c r="B645" s="148"/>
      <c r="C645" s="143"/>
      <c r="D645" s="24"/>
      <c r="E645" s="8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5.75" customHeight="1">
      <c r="A646" s="71"/>
      <c r="B646" s="148"/>
      <c r="C646" s="143"/>
      <c r="D646" s="35"/>
      <c r="E646" s="8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5.75" customHeight="1">
      <c r="A647" s="71"/>
      <c r="B647" s="148"/>
      <c r="C647" s="143"/>
      <c r="D647" s="24"/>
      <c r="E647" s="8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5.75" customHeight="1">
      <c r="A648" s="71"/>
      <c r="B648" s="148"/>
      <c r="C648" s="143"/>
      <c r="D648" s="35"/>
      <c r="E648" s="8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5.75" customHeight="1">
      <c r="A649" s="71"/>
      <c r="B649" s="148"/>
      <c r="C649" s="143"/>
      <c r="D649" s="35"/>
      <c r="E649" s="8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5.75" customHeight="1">
      <c r="A650" s="71"/>
      <c r="B650" s="148"/>
      <c r="C650" s="143"/>
      <c r="D650" s="24"/>
      <c r="E650" s="8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5.75" customHeight="1">
      <c r="A651" s="71"/>
      <c r="B651" s="148"/>
      <c r="C651" s="143"/>
      <c r="D651" s="24"/>
      <c r="E651" s="8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5.75" customHeight="1">
      <c r="A652" s="71"/>
      <c r="B652" s="148"/>
      <c r="C652" s="143"/>
      <c r="D652" s="24"/>
      <c r="E652" s="8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5.75" customHeight="1">
      <c r="A653" s="71"/>
      <c r="B653" s="148"/>
      <c r="C653" s="143"/>
      <c r="D653" s="24"/>
      <c r="E653" s="8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5.75" customHeight="1">
      <c r="A654" s="71"/>
      <c r="B654" s="148"/>
      <c r="C654" s="143"/>
      <c r="D654" s="24"/>
      <c r="E654" s="8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5.75" customHeight="1">
      <c r="A655" s="71"/>
      <c r="B655" s="148"/>
      <c r="C655" s="143"/>
      <c r="D655" s="35"/>
      <c r="E655" s="8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5.75" customHeight="1">
      <c r="A656" s="71"/>
      <c r="B656" s="148"/>
      <c r="C656" s="143"/>
      <c r="D656" s="24"/>
      <c r="E656" s="8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5.75" customHeight="1">
      <c r="A657" s="24"/>
      <c r="B657" s="148"/>
      <c r="C657" s="143"/>
      <c r="D657" s="35"/>
      <c r="E657" s="8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5.75" customHeight="1">
      <c r="A658" s="24"/>
      <c r="B658" s="148"/>
      <c r="C658" s="143"/>
      <c r="D658" s="24"/>
      <c r="E658" s="8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5.75" customHeight="1">
      <c r="A659" s="24"/>
      <c r="B659" s="148"/>
      <c r="C659" s="143"/>
      <c r="D659" s="35"/>
      <c r="E659" s="8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5.75" customHeight="1">
      <c r="A660" s="24"/>
      <c r="B660" s="148"/>
      <c r="C660" s="143"/>
      <c r="D660" s="24"/>
      <c r="E660" s="8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5.75" customHeight="1">
      <c r="A661" s="71"/>
      <c r="B661" s="148"/>
      <c r="C661" s="143"/>
      <c r="D661" s="24"/>
      <c r="E661" s="8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5.75" customHeight="1">
      <c r="A662" s="71"/>
      <c r="B662" s="148"/>
      <c r="C662" s="143"/>
      <c r="D662" s="24"/>
      <c r="E662" s="8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5.75" customHeight="1">
      <c r="A663" s="71"/>
      <c r="B663" s="148"/>
      <c r="C663" s="143"/>
      <c r="D663" s="24"/>
      <c r="E663" s="8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5.75" customHeight="1">
      <c r="A664" s="71"/>
      <c r="B664" s="148"/>
      <c r="C664" s="143"/>
      <c r="D664" s="24"/>
      <c r="E664" s="8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5.75" customHeight="1">
      <c r="A665" s="71"/>
      <c r="B665" s="148"/>
      <c r="C665" s="143"/>
      <c r="D665" s="24"/>
      <c r="E665" s="8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5.75" customHeight="1">
      <c r="A666" s="112"/>
      <c r="B666" s="168"/>
      <c r="C666" s="143"/>
      <c r="D666" s="113"/>
      <c r="E666" s="8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5.75" customHeight="1">
      <c r="A667" s="115"/>
      <c r="B667" s="169"/>
      <c r="C667" s="143"/>
      <c r="D667" s="116"/>
      <c r="E667" s="8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5.75" customHeight="1">
      <c r="A668" s="71"/>
      <c r="B668" s="148"/>
      <c r="C668" s="143"/>
      <c r="D668" s="24"/>
      <c r="E668" s="8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5.75" customHeight="1">
      <c r="A669" s="71"/>
      <c r="B669" s="148"/>
      <c r="C669" s="143"/>
      <c r="D669" s="24"/>
      <c r="E669" s="8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5.75" customHeight="1">
      <c r="A670" s="71"/>
      <c r="B670" s="148"/>
      <c r="C670" s="143"/>
      <c r="D670" s="24"/>
      <c r="E670" s="8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5.75" customHeight="1">
      <c r="A671" s="71"/>
      <c r="B671" s="148"/>
      <c r="C671" s="143"/>
      <c r="D671" s="35"/>
      <c r="E671" s="8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5.75" customHeight="1">
      <c r="A672" s="71"/>
      <c r="B672" s="148"/>
      <c r="C672" s="143"/>
      <c r="D672" s="35"/>
      <c r="E672" s="8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5.75" customHeight="1">
      <c r="A673" s="71"/>
      <c r="B673" s="148"/>
      <c r="C673" s="143"/>
      <c r="D673" s="24"/>
      <c r="E673" s="8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5.75" customHeight="1">
      <c r="A674" s="71"/>
      <c r="B674" s="148"/>
      <c r="C674" s="143"/>
      <c r="D674" s="24"/>
      <c r="E674" s="8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5.75" customHeight="1">
      <c r="A675" s="24"/>
      <c r="B675" s="148"/>
      <c r="C675" s="143"/>
      <c r="D675" s="35"/>
      <c r="E675" s="8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5.75" customHeight="1">
      <c r="A676" s="24"/>
      <c r="B676" s="148"/>
      <c r="C676" s="143"/>
      <c r="D676" s="24"/>
      <c r="E676" s="8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5.75" customHeight="1">
      <c r="A677" s="24"/>
      <c r="B677" s="148"/>
      <c r="C677" s="143"/>
      <c r="D677" s="24"/>
      <c r="E677" s="8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5.75" customHeight="1">
      <c r="A678" s="71"/>
      <c r="B678" s="148"/>
      <c r="C678" s="143"/>
      <c r="D678" s="24"/>
      <c r="E678" s="8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5.75" customHeight="1">
      <c r="A679" s="71"/>
      <c r="B679" s="148"/>
      <c r="C679" s="143"/>
      <c r="D679" s="35"/>
      <c r="E679" s="8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5.75" customHeight="1">
      <c r="A680" s="71"/>
      <c r="B680" s="148"/>
      <c r="C680" s="143"/>
      <c r="D680" s="24"/>
      <c r="E680" s="8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5.75" customHeight="1">
      <c r="A681" s="71"/>
      <c r="B681" s="148"/>
      <c r="C681" s="143"/>
      <c r="D681" s="24"/>
      <c r="E681" s="8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5.75" customHeight="1">
      <c r="A682" s="71"/>
      <c r="B682" s="148"/>
      <c r="C682" s="143"/>
      <c r="D682" s="24"/>
      <c r="E682" s="8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5.75" customHeight="1">
      <c r="A683" s="71"/>
      <c r="B683" s="148"/>
      <c r="C683" s="143"/>
      <c r="D683" s="24"/>
      <c r="E683" s="8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5.75" customHeight="1">
      <c r="A684" s="71"/>
      <c r="B684" s="148"/>
      <c r="C684" s="143"/>
      <c r="D684" s="24"/>
      <c r="E684" s="8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5.75" customHeight="1">
      <c r="A685" s="71"/>
      <c r="B685" s="148"/>
      <c r="C685" s="143"/>
      <c r="D685" s="24"/>
      <c r="E685" s="8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5.75" customHeight="1">
      <c r="A686" s="71"/>
      <c r="B686" s="148"/>
      <c r="C686" s="143"/>
      <c r="D686" s="24"/>
      <c r="E686" s="8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5.75" customHeight="1">
      <c r="A687" s="267"/>
      <c r="B687" s="270"/>
      <c r="C687" s="143"/>
      <c r="D687" s="269"/>
      <c r="E687" s="8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5.75" customHeight="1">
      <c r="A688" s="257"/>
      <c r="B688" s="257"/>
      <c r="C688" s="143"/>
      <c r="D688" s="257"/>
      <c r="E688" s="8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5.75" customHeight="1">
      <c r="A689" s="71"/>
      <c r="B689" s="148"/>
      <c r="C689" s="143"/>
      <c r="D689" s="24"/>
      <c r="E689" s="8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5.75" customHeight="1">
      <c r="A690" s="71"/>
      <c r="B690" s="148"/>
      <c r="C690" s="143"/>
      <c r="D690" s="24"/>
      <c r="E690" s="8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5.75" customHeight="1">
      <c r="A691" s="71"/>
      <c r="B691" s="148"/>
      <c r="C691" s="143"/>
      <c r="D691" s="24"/>
      <c r="E691" s="8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5.75" customHeight="1">
      <c r="A692" s="71"/>
      <c r="B692" s="148"/>
      <c r="C692" s="143"/>
      <c r="D692" s="24"/>
      <c r="E692" s="8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5.75" customHeight="1">
      <c r="A693" s="71"/>
      <c r="B693" s="148"/>
      <c r="C693" s="143"/>
      <c r="D693" s="24"/>
      <c r="E693" s="8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5.75" customHeight="1">
      <c r="A694" s="71"/>
      <c r="B694" s="148"/>
      <c r="C694" s="143"/>
      <c r="D694" s="24"/>
      <c r="E694" s="8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5.75" customHeight="1">
      <c r="A695" s="71"/>
      <c r="B695" s="148"/>
      <c r="C695" s="143"/>
      <c r="D695" s="24"/>
      <c r="E695" s="8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5.75" customHeight="1">
      <c r="A696" s="71"/>
      <c r="B696" s="148"/>
      <c r="C696" s="143"/>
      <c r="D696" s="24"/>
      <c r="E696" s="8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5.75" customHeight="1">
      <c r="A697" s="71"/>
      <c r="B697" s="148"/>
      <c r="C697" s="143"/>
      <c r="D697" s="35"/>
      <c r="E697" s="8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5.75" customHeight="1">
      <c r="A698" s="71"/>
      <c r="B698" s="148"/>
      <c r="C698" s="143"/>
      <c r="D698" s="35"/>
      <c r="E698" s="8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5.75" hidden="1" customHeight="1">
      <c r="A699" s="71"/>
      <c r="B699" s="148"/>
      <c r="C699" s="143"/>
      <c r="D699" s="24"/>
      <c r="E699" s="8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5.75" hidden="1" customHeight="1">
      <c r="A700" s="71"/>
      <c r="B700" s="148"/>
      <c r="C700" s="143"/>
      <c r="D700" s="24"/>
      <c r="E700" s="8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5.75" customHeight="1">
      <c r="A701" s="71"/>
      <c r="B701" s="148"/>
      <c r="C701" s="143"/>
      <c r="D701" s="35"/>
      <c r="E701" s="8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5.75" customHeight="1">
      <c r="A702" s="71"/>
      <c r="B702" s="148"/>
      <c r="C702" s="143"/>
      <c r="D702" s="24"/>
      <c r="E702" s="8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5.75" customHeight="1">
      <c r="A703" s="71"/>
      <c r="B703" s="148"/>
      <c r="C703" s="143"/>
      <c r="D703" s="24"/>
      <c r="E703" s="8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5.75" customHeight="1">
      <c r="A704" s="71"/>
      <c r="B704" s="148"/>
      <c r="C704" s="143"/>
      <c r="D704" s="24"/>
      <c r="E704" s="8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5.75" customHeight="1">
      <c r="A705" s="71"/>
      <c r="B705" s="148"/>
      <c r="C705" s="143"/>
      <c r="D705" s="24"/>
      <c r="E705" s="8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5.75" customHeight="1">
      <c r="A706" s="71"/>
      <c r="B706" s="148"/>
      <c r="C706" s="143"/>
      <c r="D706" s="24"/>
      <c r="E706" s="8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5.75" customHeight="1">
      <c r="A707" s="71"/>
      <c r="B707" s="148"/>
      <c r="C707" s="143"/>
      <c r="D707" s="24"/>
      <c r="E707" s="8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5.75" customHeight="1">
      <c r="A708" s="71"/>
      <c r="B708" s="148"/>
      <c r="C708" s="143"/>
      <c r="D708" s="24"/>
      <c r="E708" s="8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5.75" customHeight="1">
      <c r="A709" s="71"/>
      <c r="B709" s="148"/>
      <c r="C709" s="143"/>
      <c r="D709" s="24"/>
      <c r="E709" s="8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5.75" customHeight="1">
      <c r="A710" s="71"/>
      <c r="B710" s="148"/>
      <c r="C710" s="143"/>
      <c r="D710" s="24"/>
      <c r="E710" s="8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5.75" customHeight="1">
      <c r="A711" s="71"/>
      <c r="B711" s="148"/>
      <c r="C711" s="143"/>
      <c r="D711" s="24"/>
      <c r="E711" s="8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5.75" customHeight="1">
      <c r="A712" s="71"/>
      <c r="B712" s="148"/>
      <c r="C712" s="143"/>
      <c r="D712" s="24"/>
      <c r="E712" s="8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5.75" customHeight="1">
      <c r="A713" s="24"/>
      <c r="B713" s="148"/>
      <c r="C713" s="143"/>
      <c r="D713" s="24"/>
      <c r="E713" s="8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5.75" customHeight="1">
      <c r="A714" s="24"/>
      <c r="B714" s="148"/>
      <c r="C714" s="143"/>
      <c r="D714" s="24"/>
      <c r="E714" s="8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5.75" customHeight="1">
      <c r="A715" s="71"/>
      <c r="B715" s="148"/>
      <c r="C715" s="143"/>
      <c r="D715" s="24"/>
      <c r="E715" s="8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5.75" customHeight="1">
      <c r="A716" s="71"/>
      <c r="B716" s="148"/>
      <c r="C716" s="143"/>
      <c r="D716" s="24"/>
      <c r="E716" s="8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5.75" customHeight="1">
      <c r="A717" s="71"/>
      <c r="B717" s="148"/>
      <c r="C717" s="143"/>
      <c r="D717" s="24"/>
      <c r="E717" s="8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5.75" customHeight="1">
      <c r="A718" s="71"/>
      <c r="B718" s="148"/>
      <c r="C718" s="143"/>
      <c r="D718" s="24"/>
      <c r="E718" s="8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5.75" customHeight="1">
      <c r="A719" s="71"/>
      <c r="B719" s="148"/>
      <c r="C719" s="143"/>
      <c r="D719" s="24"/>
      <c r="E719" s="8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5.75" customHeight="1">
      <c r="A720" s="71"/>
      <c r="B720" s="148"/>
      <c r="C720" s="143"/>
      <c r="D720" s="24"/>
      <c r="E720" s="8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5.75" customHeight="1">
      <c r="A721" s="71"/>
      <c r="B721" s="148"/>
      <c r="C721" s="143"/>
      <c r="D721" s="24"/>
      <c r="E721" s="8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5.75" customHeight="1">
      <c r="A722" s="71"/>
      <c r="B722" s="148"/>
      <c r="C722" s="143"/>
      <c r="D722" s="24"/>
      <c r="E722" s="8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5.75" customHeight="1">
      <c r="A723" s="71"/>
      <c r="B723" s="148"/>
      <c r="C723" s="143"/>
      <c r="D723" s="35"/>
      <c r="E723" s="8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5.75" customHeight="1">
      <c r="A724" s="71"/>
      <c r="B724" s="148"/>
      <c r="C724" s="143"/>
      <c r="D724" s="24"/>
      <c r="E724" s="8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5.75" customHeight="1">
      <c r="A725" s="71"/>
      <c r="B725" s="148"/>
      <c r="C725" s="143"/>
      <c r="D725" s="24"/>
      <c r="E725" s="8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5.75" customHeight="1">
      <c r="A726" s="71"/>
      <c r="B726" s="148"/>
      <c r="C726" s="143"/>
      <c r="D726" s="24"/>
      <c r="E726" s="8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5.75" customHeight="1">
      <c r="A727" s="71"/>
      <c r="B727" s="148"/>
      <c r="C727" s="143"/>
      <c r="D727" s="24"/>
      <c r="E727" s="8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5.75" customHeight="1">
      <c r="A728" s="71"/>
      <c r="B728" s="148"/>
      <c r="C728" s="143"/>
      <c r="D728" s="24"/>
      <c r="E728" s="8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5.75" customHeight="1">
      <c r="A729" s="71"/>
      <c r="B729" s="148"/>
      <c r="C729" s="143"/>
      <c r="D729" s="24"/>
      <c r="E729" s="8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5.75" customHeight="1">
      <c r="A730" s="24"/>
      <c r="B730" s="148"/>
      <c r="C730" s="143"/>
      <c r="D730" s="24"/>
      <c r="E730" s="8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5.75" customHeight="1">
      <c r="A731" s="24"/>
      <c r="B731" s="148"/>
      <c r="C731" s="143"/>
      <c r="D731" s="24"/>
      <c r="E731" s="8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5.75" customHeight="1">
      <c r="A732" s="24"/>
      <c r="B732" s="148"/>
      <c r="C732" s="143"/>
      <c r="D732" s="24"/>
      <c r="E732" s="8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5.75" customHeight="1">
      <c r="A733" s="24"/>
      <c r="B733" s="148"/>
      <c r="C733" s="143"/>
      <c r="D733" s="24"/>
      <c r="E733" s="8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5.75" customHeight="1">
      <c r="A734" s="24"/>
      <c r="B734" s="140"/>
      <c r="C734" s="143"/>
      <c r="D734" s="24"/>
      <c r="E734" s="8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5.75" customHeight="1">
      <c r="A735" s="24"/>
      <c r="B735" s="140"/>
      <c r="C735" s="143"/>
      <c r="D735" s="24"/>
      <c r="E735" s="8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5.75" customHeight="1">
      <c r="A736" s="24"/>
      <c r="B736" s="148"/>
      <c r="C736" s="143"/>
      <c r="D736" s="24"/>
      <c r="E736" s="8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5.75" customHeight="1">
      <c r="A737" s="24"/>
      <c r="B737" s="148"/>
      <c r="C737" s="143"/>
      <c r="D737" s="24"/>
      <c r="E737" s="8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5.75" customHeight="1">
      <c r="A738" s="24"/>
      <c r="B738" s="148"/>
      <c r="C738" s="143"/>
      <c r="D738" s="24"/>
      <c r="E738" s="8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5.75" customHeight="1">
      <c r="A739" s="24"/>
      <c r="B739" s="148"/>
      <c r="C739" s="143"/>
      <c r="D739" s="24"/>
      <c r="E739" s="8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5.75" customHeight="1">
      <c r="A740" s="24"/>
      <c r="B740" s="148"/>
      <c r="C740" s="143"/>
      <c r="D740" s="24"/>
      <c r="E740" s="8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5.75" customHeight="1">
      <c r="A741" s="24"/>
      <c r="B741" s="148"/>
      <c r="C741" s="143"/>
      <c r="D741" s="24"/>
      <c r="E741" s="8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5.75" customHeight="1">
      <c r="A742" s="24"/>
      <c r="B742" s="148"/>
      <c r="C742" s="143"/>
      <c r="D742" s="24"/>
      <c r="E742" s="8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5.75" customHeight="1">
      <c r="A743" s="24"/>
      <c r="B743" s="148"/>
      <c r="C743" s="143"/>
      <c r="D743" s="24"/>
      <c r="E743" s="8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5.75" customHeight="1">
      <c r="A744" s="24"/>
      <c r="B744" s="148"/>
      <c r="C744" s="143"/>
      <c r="D744" s="24"/>
      <c r="E744" s="8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5.75" customHeight="1">
      <c r="A745" s="71"/>
      <c r="B745" s="148"/>
      <c r="C745" s="143"/>
      <c r="D745" s="24"/>
      <c r="E745" s="8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5.75" customHeight="1">
      <c r="A746" s="71"/>
      <c r="B746" s="148"/>
      <c r="C746" s="143"/>
      <c r="D746" s="24"/>
      <c r="E746" s="8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5.75" customHeight="1">
      <c r="A747" s="71"/>
      <c r="B747" s="148"/>
      <c r="C747" s="143"/>
      <c r="D747" s="24"/>
      <c r="E747" s="8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5.75" customHeight="1">
      <c r="A748" s="71"/>
      <c r="B748" s="148"/>
      <c r="C748" s="143"/>
      <c r="D748" s="24"/>
      <c r="E748" s="8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5.75" customHeight="1">
      <c r="A749" s="71"/>
      <c r="B749" s="148"/>
      <c r="C749" s="143"/>
      <c r="D749" s="24"/>
      <c r="E749" s="8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5.75" customHeight="1">
      <c r="A750" s="71"/>
      <c r="B750" s="148"/>
      <c r="C750" s="143"/>
      <c r="D750" s="24"/>
      <c r="E750" s="8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5.75" customHeight="1">
      <c r="A751" s="71"/>
      <c r="B751" s="148"/>
      <c r="C751" s="143"/>
      <c r="D751" s="24"/>
      <c r="E751" s="8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5.75" customHeight="1">
      <c r="A752" s="24"/>
      <c r="B752" s="148"/>
      <c r="C752" s="143"/>
      <c r="D752" s="24"/>
      <c r="E752" s="8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5.75" customHeight="1">
      <c r="A753" s="24"/>
      <c r="B753" s="148"/>
      <c r="C753" s="143"/>
      <c r="D753" s="24"/>
      <c r="E753" s="8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5.75" customHeight="1">
      <c r="A754" s="24"/>
      <c r="B754" s="148"/>
      <c r="C754" s="143"/>
      <c r="D754" s="24"/>
      <c r="E754" s="8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5.75" customHeight="1">
      <c r="A755" s="24"/>
      <c r="B755" s="148"/>
      <c r="C755" s="143"/>
      <c r="D755" s="24"/>
      <c r="E755" s="8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5.75" customHeight="1">
      <c r="A756" s="24"/>
      <c r="B756" s="148"/>
      <c r="C756" s="143"/>
      <c r="D756" s="24"/>
      <c r="E756" s="8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5.75" customHeight="1">
      <c r="A757" s="24"/>
      <c r="B757" s="148"/>
      <c r="C757" s="143"/>
      <c r="D757" s="24"/>
      <c r="E757" s="8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5.75" customHeight="1">
      <c r="A758" s="71"/>
      <c r="B758" s="148"/>
      <c r="C758" s="143"/>
      <c r="D758" s="24"/>
      <c r="E758" s="8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5.75" customHeight="1">
      <c r="A759" s="71"/>
      <c r="B759" s="148"/>
      <c r="C759" s="143"/>
      <c r="D759" s="24"/>
      <c r="E759" s="8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5.75" customHeight="1">
      <c r="A760" s="71"/>
      <c r="B760" s="148"/>
      <c r="C760" s="143"/>
      <c r="D760" s="24"/>
      <c r="E760" s="8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5.75" customHeight="1">
      <c r="A761" s="71"/>
      <c r="B761" s="148"/>
      <c r="C761" s="143"/>
      <c r="D761" s="24"/>
      <c r="E761" s="8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5.75" customHeight="1">
      <c r="A762" s="71"/>
      <c r="B762" s="148"/>
      <c r="C762" s="143"/>
      <c r="D762" s="24"/>
      <c r="E762" s="8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5.75" customHeight="1">
      <c r="A763" s="71"/>
      <c r="B763" s="148"/>
      <c r="C763" s="143"/>
      <c r="D763" s="24"/>
      <c r="E763" s="8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5.75" customHeight="1">
      <c r="A764" s="24"/>
      <c r="B764" s="148"/>
      <c r="C764" s="143"/>
      <c r="D764" s="24"/>
      <c r="E764" s="8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5.75" customHeight="1">
      <c r="A765" s="71"/>
      <c r="B765" s="148"/>
      <c r="C765" s="143"/>
      <c r="D765" s="24"/>
      <c r="E765" s="8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5.75" customHeight="1">
      <c r="A766" s="71"/>
      <c r="B766" s="148"/>
      <c r="C766" s="143"/>
      <c r="D766" s="24"/>
      <c r="E766" s="8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5.75" customHeight="1">
      <c r="A767" s="71"/>
      <c r="B767" s="148"/>
      <c r="C767" s="143"/>
      <c r="D767" s="24"/>
      <c r="E767" s="8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5.75" customHeight="1">
      <c r="A768" s="24"/>
      <c r="B768" s="148"/>
      <c r="C768" s="143"/>
      <c r="D768" s="24"/>
      <c r="E768" s="8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5.75" customHeight="1">
      <c r="A769" s="24"/>
      <c r="B769" s="148"/>
      <c r="C769" s="143"/>
      <c r="D769" s="24"/>
      <c r="E769" s="8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5.75" customHeight="1">
      <c r="A770" s="24"/>
      <c r="B770" s="148"/>
      <c r="C770" s="143"/>
      <c r="D770" s="24"/>
      <c r="E770" s="8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5.75" customHeight="1">
      <c r="A771" s="24"/>
      <c r="B771" s="148"/>
      <c r="C771" s="143"/>
      <c r="D771" s="24"/>
      <c r="E771" s="8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5.75" customHeight="1">
      <c r="A772" s="24"/>
      <c r="B772" s="148"/>
      <c r="C772" s="143"/>
      <c r="D772" s="24"/>
      <c r="E772" s="8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5.75" customHeight="1">
      <c r="A773" s="71"/>
      <c r="B773" s="148"/>
      <c r="C773" s="143"/>
      <c r="D773" s="24"/>
      <c r="E773" s="8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5.75" customHeight="1">
      <c r="A774" s="71"/>
      <c r="B774" s="148"/>
      <c r="C774" s="143"/>
      <c r="D774" s="24"/>
      <c r="E774" s="8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5.75" customHeight="1">
      <c r="A775" s="71"/>
      <c r="B775" s="148"/>
      <c r="C775" s="143"/>
      <c r="D775" s="24"/>
      <c r="E775" s="8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5.75" customHeight="1">
      <c r="A776" s="71"/>
      <c r="B776" s="148"/>
      <c r="C776" s="143"/>
      <c r="D776" s="24"/>
      <c r="E776" s="8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5.75" customHeight="1">
      <c r="A777" s="24"/>
      <c r="B777" s="148"/>
      <c r="C777" s="143"/>
      <c r="D777" s="24"/>
      <c r="E777" s="8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5.75" customHeight="1">
      <c r="A778" s="71"/>
      <c r="B778" s="148"/>
      <c r="C778" s="143"/>
      <c r="D778" s="24"/>
      <c r="E778" s="8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5.75" customHeight="1">
      <c r="A779" s="71"/>
      <c r="B779" s="148"/>
      <c r="C779" s="143"/>
      <c r="D779" s="24"/>
      <c r="E779" s="8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5.75" customHeight="1">
      <c r="A780" s="24"/>
      <c r="B780" s="148"/>
      <c r="C780" s="143"/>
      <c r="D780" s="24"/>
      <c r="E780" s="8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5.75" customHeight="1">
      <c r="A781" s="24"/>
      <c r="B781" s="148"/>
      <c r="C781" s="143"/>
      <c r="D781" s="24"/>
      <c r="E781" s="8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5.75" customHeight="1">
      <c r="A782" s="24"/>
      <c r="B782" s="148"/>
      <c r="C782" s="143"/>
      <c r="D782" s="24"/>
      <c r="E782" s="8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5.75" customHeight="1">
      <c r="A783" s="24"/>
      <c r="B783" s="148"/>
      <c r="C783" s="143"/>
      <c r="D783" s="24"/>
      <c r="E783" s="8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5.75" customHeight="1">
      <c r="A784" s="71"/>
      <c r="B784" s="148"/>
      <c r="C784" s="143"/>
      <c r="D784" s="24"/>
      <c r="E784" s="8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5.75" customHeight="1">
      <c r="A785" s="71"/>
      <c r="B785" s="148"/>
      <c r="C785" s="143"/>
      <c r="D785" s="24"/>
      <c r="E785" s="8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5.75" customHeight="1">
      <c r="A786" s="24"/>
      <c r="B786" s="148"/>
      <c r="C786" s="143"/>
      <c r="D786" s="24"/>
      <c r="E786" s="8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5.75" customHeight="1">
      <c r="A787" s="71"/>
      <c r="B787" s="148"/>
      <c r="C787" s="143"/>
      <c r="D787" s="24"/>
      <c r="E787" s="8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5.75" customHeight="1">
      <c r="A788" s="24"/>
      <c r="B788" s="148"/>
      <c r="C788" s="143"/>
      <c r="D788" s="24"/>
      <c r="E788" s="8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5.75" customHeight="1">
      <c r="A789" s="71"/>
      <c r="B789" s="148"/>
      <c r="C789" s="143"/>
      <c r="D789" s="24"/>
      <c r="E789" s="8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5.75" customHeight="1">
      <c r="A790" s="24"/>
      <c r="B790" s="148"/>
      <c r="C790" s="143"/>
      <c r="D790" s="24"/>
      <c r="E790" s="8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5.75" customHeight="1">
      <c r="A791" s="71"/>
      <c r="B791" s="148"/>
      <c r="C791" s="143"/>
      <c r="D791" s="24"/>
      <c r="E791" s="8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5.75" customHeight="1">
      <c r="A792" s="71"/>
      <c r="B792" s="148"/>
      <c r="C792" s="143"/>
      <c r="D792" s="24"/>
      <c r="E792" s="8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5.75" customHeight="1">
      <c r="A793" s="71"/>
      <c r="B793" s="148"/>
      <c r="C793" s="143"/>
      <c r="D793" s="24"/>
      <c r="E793" s="8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5.75" customHeight="1">
      <c r="A794" s="71"/>
      <c r="B794" s="148"/>
      <c r="C794" s="143"/>
      <c r="D794" s="24"/>
      <c r="E794" s="8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5.75" customHeight="1">
      <c r="A795" s="71"/>
      <c r="B795" s="148"/>
      <c r="C795" s="143"/>
      <c r="D795" s="24"/>
      <c r="E795" s="8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5.75" customHeight="1">
      <c r="A796" s="71"/>
      <c r="B796" s="148"/>
      <c r="C796" s="143"/>
      <c r="D796" s="24"/>
      <c r="E796" s="8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5.75" customHeight="1">
      <c r="A797" s="24"/>
      <c r="B797" s="148"/>
      <c r="C797" s="143"/>
      <c r="D797" s="24"/>
      <c r="E797" s="8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5.75" customHeight="1">
      <c r="A798" s="71"/>
      <c r="B798" s="148"/>
      <c r="C798" s="143"/>
      <c r="D798" s="24"/>
      <c r="E798" s="8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5.75" customHeight="1">
      <c r="A799" s="71"/>
      <c r="B799" s="148"/>
      <c r="C799" s="143"/>
      <c r="D799" s="24"/>
      <c r="E799" s="8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5.75" customHeight="1">
      <c r="A800" s="24"/>
      <c r="B800" s="148"/>
      <c r="C800" s="143"/>
      <c r="D800" s="24"/>
      <c r="E800" s="8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5.75" customHeight="1">
      <c r="A801" s="71"/>
      <c r="B801" s="148"/>
      <c r="C801" s="143"/>
      <c r="D801" s="24"/>
      <c r="E801" s="8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5.75" customHeight="1">
      <c r="A802" s="24"/>
      <c r="B802" s="148"/>
      <c r="C802" s="143"/>
      <c r="D802" s="24"/>
      <c r="E802" s="8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5.75" customHeight="1">
      <c r="A803" s="24"/>
      <c r="B803" s="148"/>
      <c r="C803" s="143"/>
      <c r="D803" s="24"/>
      <c r="E803" s="8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5.75" customHeight="1">
      <c r="A804" s="71"/>
      <c r="B804" s="148"/>
      <c r="C804" s="143"/>
      <c r="D804" s="24"/>
      <c r="E804" s="8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5.75" customHeight="1">
      <c r="A805" s="24"/>
      <c r="B805" s="148"/>
      <c r="C805" s="143"/>
      <c r="D805" s="24"/>
      <c r="E805" s="8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5.75" customHeight="1">
      <c r="A806" s="24"/>
      <c r="B806" s="148"/>
      <c r="C806" s="143"/>
      <c r="D806" s="24"/>
      <c r="E806" s="8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5.75" customHeight="1">
      <c r="A807" s="24"/>
      <c r="B807" s="148"/>
      <c r="C807" s="143"/>
      <c r="D807" s="24"/>
      <c r="E807" s="8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5.75" customHeight="1">
      <c r="A808" s="24"/>
      <c r="B808" s="148"/>
      <c r="C808" s="143"/>
      <c r="D808" s="24"/>
      <c r="E808" s="8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5.75" customHeight="1">
      <c r="A809" s="71"/>
      <c r="B809" s="148"/>
      <c r="C809" s="143"/>
      <c r="D809" s="24"/>
      <c r="E809" s="8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5.75" customHeight="1">
      <c r="A810" s="71"/>
      <c r="B810" s="148"/>
      <c r="C810" s="143"/>
      <c r="D810" s="24"/>
      <c r="E810" s="8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5.75" customHeight="1">
      <c r="A811" s="71"/>
      <c r="B811" s="148"/>
      <c r="C811" s="143"/>
      <c r="D811" s="24"/>
      <c r="E811" s="8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5.75" customHeight="1">
      <c r="A812" s="71"/>
      <c r="B812" s="148"/>
      <c r="C812" s="143"/>
      <c r="D812" s="24"/>
      <c r="E812" s="8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5.75" customHeight="1">
      <c r="A813" s="71"/>
      <c r="B813" s="148"/>
      <c r="C813" s="143"/>
      <c r="D813" s="24"/>
      <c r="E813" s="8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5.75" customHeight="1">
      <c r="A814" s="71"/>
      <c r="B814" s="148"/>
      <c r="C814" s="143"/>
      <c r="D814" s="24"/>
      <c r="E814" s="8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5.75" customHeight="1">
      <c r="A815" s="71"/>
      <c r="B815" s="148"/>
      <c r="C815" s="143"/>
      <c r="D815" s="24"/>
      <c r="E815" s="8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5.75" customHeight="1">
      <c r="A816" s="71"/>
      <c r="B816" s="148"/>
      <c r="C816" s="143"/>
      <c r="D816" s="24"/>
      <c r="E816" s="8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5.75" customHeight="1">
      <c r="A817" s="24"/>
      <c r="B817" s="148"/>
      <c r="C817" s="143"/>
      <c r="D817" s="24"/>
      <c r="E817" s="8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5.75" customHeight="1">
      <c r="A818" s="24"/>
      <c r="B818" s="148"/>
      <c r="C818" s="143"/>
      <c r="D818" s="24"/>
      <c r="E818" s="8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5.75" customHeight="1">
      <c r="A819" s="24"/>
      <c r="B819" s="148"/>
      <c r="C819" s="143"/>
      <c r="D819" s="24"/>
      <c r="E819" s="8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5.75" customHeight="1">
      <c r="A820" s="24"/>
      <c r="B820" s="148"/>
      <c r="C820" s="143"/>
      <c r="D820" s="24"/>
      <c r="E820" s="8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5.75" customHeight="1">
      <c r="A821" s="24"/>
      <c r="B821" s="148"/>
      <c r="C821" s="143"/>
      <c r="D821" s="24"/>
      <c r="E821" s="8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5.75" customHeight="1">
      <c r="A822" s="71"/>
      <c r="B822" s="148"/>
      <c r="C822" s="143"/>
      <c r="D822" s="24"/>
      <c r="E822" s="8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5.75" customHeight="1">
      <c r="A823" s="71"/>
      <c r="B823" s="148"/>
      <c r="C823" s="143"/>
      <c r="D823" s="24"/>
      <c r="E823" s="8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5.75" customHeight="1">
      <c r="A824" s="71"/>
      <c r="B824" s="148"/>
      <c r="C824" s="143"/>
      <c r="D824" s="24"/>
      <c r="E824" s="8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5.75" customHeight="1">
      <c r="A825" s="71"/>
      <c r="B825" s="148"/>
      <c r="C825" s="143"/>
      <c r="D825" s="24"/>
      <c r="E825" s="8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5.75" customHeight="1">
      <c r="A826" s="71"/>
      <c r="B826" s="148"/>
      <c r="C826" s="143"/>
      <c r="D826" s="24"/>
      <c r="E826" s="8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5.75" customHeight="1">
      <c r="A827" s="24"/>
      <c r="B827" s="148"/>
      <c r="C827" s="143"/>
      <c r="D827" s="24"/>
      <c r="E827" s="8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5.75" customHeight="1">
      <c r="A828" s="71"/>
      <c r="B828" s="148"/>
      <c r="C828" s="143"/>
      <c r="D828" s="24"/>
      <c r="E828" s="8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5.75" customHeight="1">
      <c r="A829" s="71"/>
      <c r="B829" s="148"/>
      <c r="C829" s="143"/>
      <c r="D829" s="24"/>
      <c r="E829" s="8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5.75" customHeight="1">
      <c r="A830" s="24"/>
      <c r="B830" s="148"/>
      <c r="C830" s="143"/>
      <c r="D830" s="24"/>
      <c r="E830" s="8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5.75" customHeight="1">
      <c r="A831" s="71"/>
      <c r="B831" s="148"/>
      <c r="C831" s="143"/>
      <c r="D831" s="24"/>
      <c r="E831" s="8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5.75" customHeight="1">
      <c r="A832" s="71"/>
      <c r="B832" s="148"/>
      <c r="C832" s="143"/>
      <c r="D832" s="24"/>
      <c r="E832" s="8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5.75" customHeight="1">
      <c r="A833" s="24"/>
      <c r="B833" s="148"/>
      <c r="C833" s="143"/>
      <c r="D833" s="24"/>
      <c r="E833" s="8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5.75" customHeight="1">
      <c r="A834" s="24"/>
      <c r="B834" s="148"/>
      <c r="C834" s="143"/>
      <c r="D834" s="24"/>
      <c r="E834" s="8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5.75" customHeight="1">
      <c r="A835" s="24"/>
      <c r="B835" s="148"/>
      <c r="C835" s="143"/>
      <c r="D835" s="24"/>
      <c r="E835" s="8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5.75" customHeight="1">
      <c r="A836" s="24"/>
      <c r="B836" s="148"/>
      <c r="C836" s="143"/>
      <c r="D836" s="24"/>
      <c r="E836" s="8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5.75" customHeight="1">
      <c r="A837" s="24"/>
      <c r="B837" s="148"/>
      <c r="C837" s="143"/>
      <c r="D837" s="24"/>
      <c r="E837" s="8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5.75" customHeight="1">
      <c r="A838" s="24"/>
      <c r="B838" s="148"/>
      <c r="C838" s="143"/>
      <c r="D838" s="24"/>
      <c r="E838" s="8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5.75" customHeight="1">
      <c r="A839" s="24"/>
      <c r="B839" s="148"/>
      <c r="C839" s="143"/>
      <c r="D839" s="24"/>
      <c r="E839" s="8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5.75" customHeight="1">
      <c r="A840" s="24"/>
      <c r="B840" s="148"/>
      <c r="C840" s="143"/>
      <c r="D840" s="24"/>
      <c r="E840" s="8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5.75" customHeight="1">
      <c r="A841" s="24"/>
      <c r="B841" s="148"/>
      <c r="C841" s="170"/>
      <c r="D841" s="24"/>
      <c r="E841" s="8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5.75" customHeight="1">
      <c r="A842" s="24"/>
      <c r="B842" s="148"/>
      <c r="C842" s="170"/>
      <c r="D842" s="24"/>
      <c r="E842" s="8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5.75" customHeight="1">
      <c r="A843" s="24"/>
      <c r="B843" s="148"/>
      <c r="C843" s="170"/>
      <c r="D843" s="24"/>
      <c r="E843" s="8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5.75" customHeight="1">
      <c r="A844" s="24"/>
      <c r="B844" s="148"/>
      <c r="C844" s="170"/>
      <c r="D844" s="24"/>
      <c r="E844" s="8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5.75" customHeight="1">
      <c r="A845" s="24"/>
      <c r="B845" s="148"/>
      <c r="C845" s="170"/>
      <c r="D845" s="24"/>
      <c r="E845" s="8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5.75" customHeight="1">
      <c r="A846" s="24"/>
      <c r="B846" s="148"/>
      <c r="C846" s="170"/>
      <c r="D846" s="24"/>
      <c r="E846" s="8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5.75" customHeight="1">
      <c r="A847" s="24"/>
      <c r="B847" s="148"/>
      <c r="C847" s="170"/>
      <c r="D847" s="24"/>
      <c r="E847" s="8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5.75" customHeight="1">
      <c r="A848" s="24"/>
      <c r="B848" s="148"/>
      <c r="C848" s="170"/>
      <c r="D848" s="24"/>
      <c r="E848" s="8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5.75" customHeight="1">
      <c r="A849" s="24"/>
      <c r="B849" s="148"/>
      <c r="C849" s="170"/>
      <c r="D849" s="24"/>
      <c r="E849" s="8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5.75" customHeight="1">
      <c r="A850" s="71"/>
      <c r="B850" s="148"/>
      <c r="C850" s="170"/>
      <c r="D850" s="24"/>
      <c r="E850" s="8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5.75" customHeight="1">
      <c r="A851" s="71"/>
      <c r="B851" s="148"/>
      <c r="C851" s="170"/>
      <c r="D851" s="24"/>
      <c r="E851" s="8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5.75" customHeight="1">
      <c r="A852" s="71"/>
      <c r="B852" s="148"/>
      <c r="C852" s="170"/>
      <c r="D852" s="24"/>
      <c r="E852" s="8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5.75" customHeight="1">
      <c r="A853" s="71"/>
      <c r="B853" s="148"/>
      <c r="C853" s="170"/>
      <c r="D853" s="24"/>
      <c r="E853" s="8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5.75" customHeight="1">
      <c r="A854" s="24"/>
      <c r="B854" s="148"/>
      <c r="C854" s="170"/>
      <c r="D854" s="24"/>
      <c r="E854" s="8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5.75" customHeight="1">
      <c r="A855" s="24"/>
      <c r="B855" s="148"/>
      <c r="C855" s="170"/>
      <c r="D855" s="24"/>
      <c r="E855" s="8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5.75" customHeight="1">
      <c r="A856" s="24"/>
      <c r="B856" s="148"/>
      <c r="C856" s="170"/>
      <c r="D856" s="24"/>
      <c r="E856" s="8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5.75" customHeight="1">
      <c r="A857" s="24"/>
      <c r="B857" s="148"/>
      <c r="C857" s="170"/>
      <c r="D857" s="24"/>
      <c r="E857" s="8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5.75" customHeight="1">
      <c r="A858" s="24"/>
      <c r="B858" s="148"/>
      <c r="C858" s="170"/>
      <c r="D858" s="24"/>
      <c r="E858" s="8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5.75" customHeight="1">
      <c r="A859" s="24"/>
      <c r="B859" s="148"/>
      <c r="C859" s="170"/>
      <c r="D859" s="24"/>
      <c r="E859" s="8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5.75" customHeight="1">
      <c r="A860" s="24"/>
      <c r="B860" s="148"/>
      <c r="C860" s="170"/>
      <c r="D860" s="24"/>
      <c r="E860" s="8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5.75" customHeight="1">
      <c r="A861" s="24"/>
      <c r="B861" s="148"/>
      <c r="C861" s="170"/>
      <c r="D861" s="24"/>
      <c r="E861" s="8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5.75" customHeight="1">
      <c r="A862" s="24"/>
      <c r="B862" s="148"/>
      <c r="C862" s="170"/>
      <c r="D862" s="24"/>
      <c r="E862" s="8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5.75" customHeight="1">
      <c r="A863" s="24"/>
      <c r="B863" s="148"/>
      <c r="C863" s="170"/>
      <c r="D863" s="24"/>
      <c r="E863" s="8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5.75" customHeight="1">
      <c r="A864" s="24"/>
      <c r="B864" s="148"/>
      <c r="C864" s="170"/>
      <c r="D864" s="24"/>
      <c r="E864" s="8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5.75" customHeight="1">
      <c r="A865" s="24"/>
      <c r="B865" s="148"/>
      <c r="C865" s="170"/>
      <c r="D865" s="24"/>
      <c r="E865" s="8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5.75" customHeight="1">
      <c r="A866" s="24"/>
      <c r="B866" s="148"/>
      <c r="C866" s="170"/>
      <c r="D866" s="24"/>
      <c r="E866" s="8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5.75" customHeight="1">
      <c r="A867" s="24"/>
      <c r="B867" s="148"/>
      <c r="C867" s="170"/>
      <c r="D867" s="24"/>
      <c r="E867" s="8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5.75" customHeight="1">
      <c r="A868" s="24"/>
      <c r="B868" s="148"/>
      <c r="C868" s="170"/>
      <c r="D868" s="24"/>
      <c r="E868" s="8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5.75" customHeight="1">
      <c r="A869" s="24"/>
      <c r="B869" s="148"/>
      <c r="C869" s="170"/>
      <c r="D869" s="24"/>
      <c r="E869" s="8"/>
      <c r="F869" s="14"/>
      <c r="G869" s="1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>
      <c r="A870" s="24"/>
      <c r="B870" s="148"/>
      <c r="C870" s="170"/>
      <c r="D870" s="24"/>
      <c r="E870" s="8"/>
      <c r="F870" s="14"/>
      <c r="G870" s="1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>
      <c r="A871" s="24"/>
      <c r="B871" s="148"/>
      <c r="C871" s="170"/>
      <c r="D871" s="24"/>
      <c r="E871" s="8"/>
      <c r="F871" s="14"/>
      <c r="G871" s="1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>
      <c r="A872" s="24"/>
      <c r="B872" s="148"/>
      <c r="C872" s="170"/>
      <c r="D872" s="24"/>
      <c r="E872" s="8"/>
      <c r="F872" s="14"/>
      <c r="G872" s="1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>
      <c r="A873" s="24"/>
      <c r="B873" s="148"/>
      <c r="C873" s="170"/>
      <c r="D873" s="24"/>
      <c r="E873" s="8"/>
      <c r="F873" s="14"/>
      <c r="G873" s="1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>
      <c r="A874" s="24"/>
      <c r="B874" s="148"/>
      <c r="C874" s="170"/>
      <c r="D874" s="24"/>
      <c r="E874" s="8"/>
      <c r="F874" s="14"/>
      <c r="G874" s="1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>
      <c r="A875" s="24"/>
      <c r="B875" s="148"/>
      <c r="C875" s="170"/>
      <c r="D875" s="24"/>
      <c r="E875" s="8"/>
      <c r="F875" s="14"/>
      <c r="G875" s="1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>
      <c r="A876" s="24"/>
      <c r="B876" s="148"/>
      <c r="C876" s="170"/>
      <c r="D876" s="24"/>
      <c r="E876" s="8"/>
      <c r="F876" s="14"/>
      <c r="G876" s="1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>
      <c r="A877" s="24"/>
      <c r="B877" s="148"/>
      <c r="C877" s="170"/>
      <c r="D877" s="24"/>
      <c r="E877" s="8"/>
      <c r="F877" s="14"/>
      <c r="G877" s="1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>
      <c r="A878" s="24"/>
      <c r="B878" s="148"/>
      <c r="C878" s="170"/>
      <c r="D878" s="24"/>
      <c r="E878" s="8"/>
      <c r="F878" s="14"/>
      <c r="G878" s="1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>
      <c r="A879" s="24"/>
      <c r="B879" s="148"/>
      <c r="C879" s="170"/>
      <c r="D879" s="24"/>
      <c r="E879" s="8"/>
      <c r="F879" s="14"/>
      <c r="G879" s="1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>
      <c r="A880" s="24"/>
      <c r="B880" s="148"/>
      <c r="C880" s="170"/>
      <c r="D880" s="24"/>
      <c r="E880" s="8"/>
      <c r="F880" s="14"/>
      <c r="G880" s="1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>
      <c r="A881" s="24"/>
      <c r="B881" s="148"/>
      <c r="C881" s="170"/>
      <c r="D881" s="24"/>
      <c r="E881" s="8"/>
      <c r="F881" s="14"/>
      <c r="G881" s="1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>
      <c r="A882" s="24"/>
      <c r="B882" s="148"/>
      <c r="C882" s="170"/>
      <c r="D882" s="24"/>
      <c r="E882" s="8"/>
      <c r="F882" s="14"/>
      <c r="G882" s="14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ht="15.75" customHeight="1">
      <c r="A883" s="24"/>
      <c r="B883" s="148"/>
      <c r="C883" s="170"/>
      <c r="D883" s="24"/>
      <c r="E883" s="8"/>
      <c r="F883" s="14"/>
      <c r="G883" s="1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>
      <c r="A884" s="24"/>
      <c r="B884" s="148"/>
      <c r="C884" s="170"/>
      <c r="D884" s="24"/>
      <c r="E884" s="8"/>
      <c r="F884" s="14"/>
      <c r="G884" s="1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>
      <c r="A885" s="24"/>
      <c r="B885" s="148"/>
      <c r="C885" s="170"/>
      <c r="D885" s="24"/>
      <c r="E885" s="8"/>
      <c r="F885" s="14"/>
      <c r="G885" s="1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>
      <c r="A886" s="24"/>
      <c r="B886" s="148"/>
      <c r="C886" s="170"/>
      <c r="D886" s="24"/>
      <c r="E886" s="8"/>
      <c r="F886" s="14"/>
      <c r="G886" s="1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>
      <c r="A887" s="24"/>
      <c r="B887" s="148"/>
      <c r="C887" s="170"/>
      <c r="D887" s="24"/>
      <c r="E887" s="8"/>
      <c r="F887" s="14"/>
      <c r="G887" s="1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>
      <c r="A888" s="24"/>
      <c r="B888" s="148"/>
      <c r="C888" s="170"/>
      <c r="D888" s="24"/>
      <c r="E888" s="8"/>
      <c r="F888" s="14"/>
      <c r="G888" s="1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>
      <c r="A889" s="24"/>
      <c r="B889" s="148"/>
      <c r="C889" s="170"/>
      <c r="D889" s="24"/>
      <c r="E889" s="8"/>
      <c r="F889" s="14"/>
      <c r="G889" s="1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>
      <c r="A890" s="24"/>
      <c r="B890" s="148"/>
      <c r="C890" s="170"/>
      <c r="D890" s="24"/>
      <c r="E890" s="8"/>
      <c r="F890" s="14"/>
      <c r="G890" s="1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>
      <c r="A891" s="24"/>
      <c r="B891" s="148"/>
      <c r="C891" s="170"/>
      <c r="D891" s="24"/>
      <c r="E891" s="8"/>
      <c r="F891" s="14"/>
      <c r="G891" s="1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>
      <c r="A892" s="24"/>
      <c r="B892" s="148"/>
      <c r="C892" s="170"/>
      <c r="D892" s="24"/>
      <c r="E892" s="8"/>
      <c r="F892" s="14"/>
      <c r="G892" s="1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>
      <c r="A893" s="24"/>
      <c r="B893" s="148"/>
      <c r="C893" s="170"/>
      <c r="D893" s="24"/>
      <c r="E893" s="8"/>
      <c r="F893" s="14"/>
      <c r="G893" s="14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ht="15.75" customHeight="1">
      <c r="A894" s="24"/>
      <c r="B894" s="148"/>
      <c r="C894" s="170"/>
      <c r="D894" s="24"/>
      <c r="E894" s="8"/>
      <c r="F894" s="14"/>
      <c r="G894" s="1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>
      <c r="A895" s="24"/>
      <c r="B895" s="148"/>
      <c r="C895" s="170"/>
      <c r="D895" s="24"/>
      <c r="E895" s="8"/>
      <c r="F895" s="14"/>
      <c r="G895" s="1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>
      <c r="A896" s="24"/>
      <c r="B896" s="148"/>
      <c r="C896" s="170"/>
      <c r="D896" s="24"/>
      <c r="E896" s="8"/>
      <c r="F896" s="14"/>
      <c r="G896" s="1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>
      <c r="A897" s="24"/>
      <c r="B897" s="148"/>
      <c r="C897" s="170"/>
      <c r="D897" s="24"/>
      <c r="E897" s="8"/>
      <c r="F897" s="14"/>
      <c r="G897" s="1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>
      <c r="A898" s="24"/>
      <c r="B898" s="148"/>
      <c r="C898" s="170"/>
      <c r="D898" s="24"/>
      <c r="E898" s="8"/>
      <c r="F898" s="14"/>
      <c r="G898" s="1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>
      <c r="A899" s="24"/>
      <c r="B899" s="148"/>
      <c r="C899" s="170"/>
      <c r="D899" s="24"/>
      <c r="E899" s="8"/>
      <c r="F899" s="14"/>
      <c r="G899" s="14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ht="15.75" customHeight="1">
      <c r="A900" s="24"/>
      <c r="B900" s="148"/>
      <c r="C900" s="170"/>
      <c r="D900" s="24"/>
      <c r="E900" s="8"/>
      <c r="F900" s="14"/>
      <c r="G900" s="14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ht="15.75" customHeight="1">
      <c r="A901" s="24"/>
      <c r="B901" s="148"/>
      <c r="C901" s="170"/>
      <c r="D901" s="24"/>
      <c r="E901" s="8"/>
      <c r="F901" s="14"/>
      <c r="G901" s="14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ht="15.75" customHeight="1">
      <c r="A902" s="24"/>
      <c r="B902" s="148"/>
      <c r="C902" s="170"/>
      <c r="D902" s="24"/>
      <c r="E902" s="8"/>
      <c r="F902" s="14"/>
      <c r="G902" s="1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>
      <c r="A903" s="24"/>
      <c r="B903" s="148"/>
      <c r="C903" s="170"/>
      <c r="D903" s="24"/>
      <c r="E903" s="8"/>
      <c r="F903" s="14"/>
      <c r="G903" s="1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>
      <c r="A904" s="71"/>
      <c r="B904" s="148"/>
      <c r="C904" s="170"/>
      <c r="D904" s="24"/>
      <c r="E904" s="8"/>
      <c r="F904" s="14"/>
      <c r="G904" s="1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>
      <c r="A905" s="24"/>
      <c r="B905" s="148"/>
      <c r="C905" s="170"/>
      <c r="D905" s="24"/>
      <c r="E905" s="8"/>
      <c r="F905" s="14"/>
      <c r="G905" s="1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>
      <c r="A906" s="24"/>
      <c r="B906" s="148"/>
      <c r="C906" s="170"/>
      <c r="D906" s="24"/>
      <c r="E906" s="8"/>
      <c r="F906" s="14"/>
      <c r="G906" s="1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>
      <c r="A907" s="24"/>
      <c r="B907" s="148"/>
      <c r="C907" s="170"/>
      <c r="D907" s="24"/>
      <c r="E907" s="8"/>
      <c r="F907" s="14"/>
      <c r="G907" s="14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ht="15.75" customHeight="1">
      <c r="A908" s="24"/>
      <c r="B908" s="148"/>
      <c r="C908" s="170"/>
      <c r="D908" s="24"/>
      <c r="E908" s="8"/>
      <c r="F908" s="14"/>
      <c r="G908" s="1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>
      <c r="A909" s="24"/>
      <c r="B909" s="148"/>
      <c r="C909" s="170"/>
      <c r="D909" s="24"/>
      <c r="E909" s="8"/>
      <c r="F909" s="14"/>
      <c r="G909" s="1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>
      <c r="A910" s="24"/>
      <c r="B910" s="148"/>
      <c r="C910" s="170"/>
      <c r="D910" s="24"/>
      <c r="E910" s="8"/>
      <c r="F910" s="14"/>
      <c r="G910" s="1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>
      <c r="A911" s="24"/>
      <c r="B911" s="148"/>
      <c r="C911" s="170"/>
      <c r="D911" s="24"/>
      <c r="E911" s="8"/>
      <c r="F911" s="14"/>
      <c r="G911" s="1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>
      <c r="A912" s="24"/>
      <c r="B912" s="148"/>
      <c r="C912" s="170"/>
      <c r="D912" s="24"/>
      <c r="E912" s="8"/>
      <c r="F912" s="14"/>
      <c r="G912" s="1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>
      <c r="A913" s="24"/>
      <c r="B913" s="148"/>
      <c r="C913" s="170"/>
      <c r="D913" s="24"/>
      <c r="E913" s="8"/>
      <c r="F913" s="14"/>
      <c r="G913" s="14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ht="15.75" customHeight="1">
      <c r="A914" s="24"/>
      <c r="B914" s="148"/>
      <c r="C914" s="170"/>
      <c r="D914" s="24"/>
      <c r="E914" s="8"/>
      <c r="F914" s="14"/>
      <c r="G914" s="1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>
      <c r="A915" s="24"/>
      <c r="B915" s="148"/>
      <c r="C915" s="170"/>
      <c r="D915" s="24"/>
      <c r="E915" s="8"/>
      <c r="F915" s="14"/>
      <c r="G915" s="1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>
      <c r="A916" s="24"/>
      <c r="B916" s="148"/>
      <c r="C916" s="171"/>
      <c r="D916" s="24"/>
      <c r="E916" s="8"/>
      <c r="F916" s="14"/>
      <c r="G916" s="14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ht="15.75" customHeight="1">
      <c r="A917" s="24"/>
      <c r="B917" s="148"/>
      <c r="C917" s="171"/>
      <c r="D917" s="24"/>
      <c r="E917" s="8"/>
      <c r="F917" s="14"/>
      <c r="G917" s="14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ht="15.75" customHeight="1">
      <c r="A918" s="24"/>
      <c r="B918" s="148"/>
      <c r="C918" s="172"/>
      <c r="D918" s="24"/>
      <c r="E918" s="8"/>
      <c r="F918" s="14"/>
      <c r="G918" s="14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ht="15.75" customHeight="1">
      <c r="A919" s="24"/>
      <c r="B919" s="148"/>
      <c r="C919" s="170"/>
      <c r="D919" s="24"/>
      <c r="E919" s="8"/>
      <c r="F919" s="14"/>
      <c r="G919" s="1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>
      <c r="A920" s="24"/>
      <c r="B920" s="148"/>
      <c r="C920" s="170"/>
      <c r="D920" s="24"/>
      <c r="E920" s="8"/>
      <c r="F920" s="14"/>
      <c r="G920" s="1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>
      <c r="A921" s="24"/>
      <c r="B921" s="148"/>
      <c r="C921" s="170"/>
      <c r="D921" s="24"/>
      <c r="E921" s="8"/>
      <c r="F921" s="14"/>
      <c r="G921" s="1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>
      <c r="A922" s="24"/>
      <c r="B922" s="148"/>
      <c r="C922" s="170"/>
      <c r="D922" s="24"/>
      <c r="E922" s="8"/>
      <c r="F922" s="14"/>
      <c r="G922" s="1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>
      <c r="A923" s="24"/>
      <c r="B923" s="148"/>
      <c r="C923" s="170"/>
      <c r="D923" s="24"/>
      <c r="E923" s="8"/>
      <c r="F923" s="14"/>
      <c r="G923" s="1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>
      <c r="A924" s="24"/>
      <c r="B924" s="148"/>
      <c r="C924" s="170"/>
      <c r="D924" s="24"/>
      <c r="E924" s="8"/>
      <c r="F924" s="14"/>
      <c r="G924" s="1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>
      <c r="A925" s="24"/>
      <c r="B925" s="148"/>
      <c r="C925" s="170"/>
      <c r="D925" s="24"/>
      <c r="E925" s="8"/>
      <c r="F925" s="14"/>
      <c r="G925" s="14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ht="15.75" customHeight="1">
      <c r="A926" s="24"/>
      <c r="B926" s="148"/>
      <c r="C926" s="170"/>
      <c r="D926" s="24"/>
      <c r="E926" s="8"/>
      <c r="F926" s="14"/>
      <c r="G926" s="1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>
      <c r="A927" s="24"/>
      <c r="B927" s="148"/>
      <c r="C927" s="170"/>
      <c r="D927" s="24"/>
      <c r="E927" s="8"/>
      <c r="F927" s="14"/>
      <c r="G927" s="1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>
      <c r="A928" s="24"/>
      <c r="B928" s="148"/>
      <c r="C928" s="170"/>
      <c r="D928" s="24"/>
      <c r="E928" s="8"/>
      <c r="F928" s="14"/>
      <c r="G928" s="1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>
      <c r="A929" s="24"/>
      <c r="B929" s="148"/>
      <c r="C929" s="170"/>
      <c r="D929" s="24"/>
      <c r="E929" s="8"/>
      <c r="F929" s="14"/>
      <c r="G929" s="1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>
      <c r="A930" s="71"/>
      <c r="B930" s="148"/>
      <c r="C930" s="170"/>
      <c r="D930" s="24"/>
      <c r="E930" s="8"/>
      <c r="F930" s="14"/>
      <c r="G930" s="1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>
      <c r="A931" s="24"/>
      <c r="B931" s="148"/>
      <c r="C931" s="170"/>
      <c r="D931" s="24"/>
      <c r="E931" s="8"/>
      <c r="F931" s="14"/>
      <c r="G931" s="1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>
      <c r="A932" s="24"/>
      <c r="B932" s="148"/>
      <c r="C932" s="170"/>
      <c r="D932" s="24"/>
      <c r="E932" s="8"/>
      <c r="F932" s="14"/>
      <c r="G932" s="1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>
      <c r="A933" s="24"/>
      <c r="B933" s="148"/>
      <c r="C933" s="170"/>
      <c r="D933" s="24"/>
      <c r="E933" s="8"/>
      <c r="F933" s="14"/>
      <c r="G933" s="1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>
      <c r="A934" s="24"/>
      <c r="B934" s="148"/>
      <c r="C934" s="170"/>
      <c r="D934" s="24"/>
      <c r="E934" s="8"/>
      <c r="F934" s="14"/>
      <c r="G934" s="1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>
      <c r="A935" s="24"/>
      <c r="B935" s="148"/>
      <c r="C935" s="170"/>
      <c r="D935" s="24"/>
      <c r="E935" s="8"/>
      <c r="F935" s="14"/>
      <c r="G935" s="1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>
      <c r="A936" s="24"/>
      <c r="B936" s="148"/>
      <c r="C936" s="170"/>
      <c r="D936" s="24"/>
      <c r="E936" s="8"/>
      <c r="F936" s="14"/>
      <c r="G936" s="14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ht="15.75" customHeight="1">
      <c r="A937" s="24"/>
      <c r="B937" s="173"/>
      <c r="C937" s="170"/>
      <c r="D937" s="24"/>
      <c r="E937" s="8"/>
      <c r="F937" s="14"/>
      <c r="G937" s="1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>
      <c r="A938" s="24"/>
      <c r="B938" s="148"/>
      <c r="C938" s="170"/>
      <c r="D938" s="24"/>
      <c r="E938" s="8"/>
      <c r="F938" s="14"/>
      <c r="G938" s="1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>
      <c r="A939" s="71"/>
      <c r="B939" s="148"/>
      <c r="C939" s="170"/>
      <c r="D939" s="24"/>
      <c r="E939" s="8"/>
      <c r="F939" s="14"/>
      <c r="G939" s="1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>
      <c r="A940" s="71"/>
      <c r="B940" s="148"/>
      <c r="C940" s="170"/>
      <c r="D940" s="24"/>
      <c r="E940" s="8"/>
      <c r="F940" s="14"/>
      <c r="G940" s="1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>
      <c r="A941" s="71"/>
      <c r="B941" s="148"/>
      <c r="C941" s="170"/>
      <c r="D941" s="24"/>
      <c r="E941" s="8"/>
      <c r="F941" s="14"/>
      <c r="G941" s="1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>
      <c r="A942" s="24"/>
      <c r="B942" s="148"/>
      <c r="C942" s="170"/>
      <c r="D942" s="24"/>
      <c r="E942" s="8"/>
      <c r="F942" s="14"/>
      <c r="G942" s="1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>
      <c r="A943" s="24"/>
      <c r="B943" s="148"/>
      <c r="C943" s="170"/>
      <c r="D943" s="24"/>
      <c r="E943" s="8"/>
      <c r="F943" s="14"/>
      <c r="G943" s="1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>
      <c r="A944" s="24"/>
      <c r="B944" s="148"/>
      <c r="C944" s="170"/>
      <c r="D944" s="24"/>
      <c r="E944" s="8"/>
      <c r="F944" s="14"/>
      <c r="G944" s="1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>
      <c r="A945" s="24"/>
      <c r="B945" s="148"/>
      <c r="C945" s="170"/>
      <c r="D945" s="24"/>
      <c r="E945" s="8"/>
      <c r="F945" s="14"/>
      <c r="G945" s="1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>
      <c r="A946" s="24"/>
      <c r="B946" s="148"/>
      <c r="C946" s="170"/>
      <c r="D946" s="24"/>
      <c r="E946" s="8"/>
      <c r="F946" s="14"/>
      <c r="G946" s="1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>
      <c r="A947" s="24"/>
      <c r="B947" s="148"/>
      <c r="C947" s="170"/>
      <c r="D947" s="24"/>
      <c r="E947" s="8"/>
      <c r="F947" s="14"/>
      <c r="G947" s="1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>
      <c r="A948" s="24"/>
      <c r="B948" s="148"/>
      <c r="C948" s="170"/>
      <c r="D948" s="24"/>
      <c r="E948" s="8"/>
      <c r="F948" s="14"/>
      <c r="G948" s="1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>
      <c r="A949" s="24"/>
      <c r="B949" s="148"/>
      <c r="C949" s="170"/>
      <c r="D949" s="24"/>
      <c r="E949" s="8"/>
      <c r="F949" s="14"/>
      <c r="G949" s="1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>
      <c r="A950" s="24"/>
      <c r="B950" s="148"/>
      <c r="C950" s="170"/>
      <c r="D950" s="24"/>
      <c r="E950" s="8"/>
      <c r="F950" s="14"/>
      <c r="G950" s="1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>
      <c r="A951" s="24"/>
      <c r="B951" s="148"/>
      <c r="C951" s="170"/>
      <c r="D951" s="24"/>
      <c r="E951" s="8"/>
      <c r="F951" s="14"/>
      <c r="G951" s="1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>
      <c r="A952" s="24"/>
      <c r="B952" s="148"/>
      <c r="C952" s="170"/>
      <c r="D952" s="24"/>
      <c r="E952" s="8"/>
      <c r="F952" s="14"/>
      <c r="G952" s="1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>
      <c r="A953" s="24"/>
      <c r="B953" s="148"/>
      <c r="C953" s="170"/>
      <c r="D953" s="24"/>
      <c r="E953" s="8"/>
      <c r="F953" s="14"/>
      <c r="G953" s="1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>
      <c r="A954" s="24"/>
      <c r="B954" s="148"/>
      <c r="C954" s="170"/>
      <c r="D954" s="24"/>
      <c r="E954" s="8"/>
      <c r="F954" s="14"/>
      <c r="G954" s="1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>
      <c r="A955" s="24"/>
      <c r="B955" s="148"/>
      <c r="C955" s="170"/>
      <c r="D955" s="24"/>
      <c r="E955" s="8"/>
      <c r="F955" s="14"/>
      <c r="G955" s="1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>
      <c r="A956" s="24"/>
      <c r="B956" s="148"/>
      <c r="C956" s="170"/>
      <c r="D956" s="24"/>
      <c r="E956" s="8"/>
      <c r="F956" s="14"/>
      <c r="G956" s="1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>
      <c r="A957" s="24"/>
      <c r="B957" s="148"/>
      <c r="C957" s="170"/>
      <c r="D957" s="24"/>
      <c r="E957" s="8"/>
      <c r="F957" s="14"/>
      <c r="G957" s="1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>
      <c r="A958" s="24"/>
      <c r="B958" s="148"/>
      <c r="C958" s="170"/>
      <c r="D958" s="24"/>
      <c r="E958" s="8"/>
      <c r="F958" s="14"/>
      <c r="G958" s="1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>
      <c r="A959" s="24"/>
      <c r="B959" s="148"/>
      <c r="C959" s="170"/>
      <c r="D959" s="24"/>
      <c r="E959" s="8"/>
      <c r="F959" s="14"/>
      <c r="G959" s="1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>
      <c r="A960" s="24"/>
      <c r="B960" s="148"/>
      <c r="C960" s="170"/>
      <c r="D960" s="24"/>
      <c r="E960" s="8"/>
      <c r="F960" s="14"/>
      <c r="G960" s="1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>
      <c r="A961" s="24"/>
      <c r="B961" s="148"/>
      <c r="C961" s="170"/>
      <c r="D961" s="24"/>
      <c r="E961" s="8"/>
      <c r="F961" s="14"/>
      <c r="G961" s="14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ht="15.75" customHeight="1">
      <c r="A962" s="24"/>
      <c r="B962" s="148"/>
      <c r="C962" s="170"/>
      <c r="D962" s="24"/>
      <c r="E962" s="8"/>
      <c r="F962" s="14"/>
      <c r="G962" s="1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>
      <c r="A963" s="24"/>
      <c r="B963" s="148"/>
      <c r="C963" s="170"/>
      <c r="D963" s="24"/>
      <c r="E963" s="8"/>
      <c r="F963" s="14"/>
      <c r="G963" s="1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>
      <c r="A964" s="24"/>
      <c r="B964" s="148"/>
      <c r="C964" s="170"/>
      <c r="D964" s="24"/>
      <c r="E964" s="8"/>
      <c r="F964" s="14"/>
      <c r="G964" s="1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>
      <c r="A965" s="24"/>
      <c r="B965" s="148"/>
      <c r="C965" s="170"/>
      <c r="D965" s="24"/>
      <c r="E965" s="8"/>
      <c r="F965" s="14"/>
      <c r="G965" s="1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>
      <c r="A966" s="24"/>
      <c r="B966" s="148"/>
      <c r="C966" s="170"/>
      <c r="D966" s="24"/>
      <c r="E966" s="8"/>
      <c r="F966" s="14"/>
      <c r="G966" s="1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>
      <c r="A967" s="24"/>
      <c r="B967" s="148"/>
      <c r="C967" s="170"/>
      <c r="D967" s="24"/>
      <c r="E967" s="8"/>
      <c r="F967" s="14"/>
      <c r="G967" s="1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>
      <c r="A968" s="24"/>
      <c r="B968" s="148"/>
      <c r="C968" s="170"/>
      <c r="D968" s="24"/>
      <c r="E968" s="8"/>
      <c r="F968" s="14"/>
      <c r="G968" s="1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>
      <c r="A969" s="24"/>
      <c r="B969" s="148"/>
      <c r="C969" s="170"/>
      <c r="D969" s="24"/>
      <c r="E969" s="8"/>
      <c r="F969" s="14"/>
      <c r="G969" s="1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>
      <c r="A970" s="24"/>
      <c r="B970" s="148"/>
      <c r="C970" s="170"/>
      <c r="D970" s="24"/>
      <c r="E970" s="8"/>
      <c r="F970" s="14"/>
      <c r="G970" s="1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>
      <c r="A971" s="24"/>
      <c r="B971" s="148"/>
      <c r="C971" s="170"/>
      <c r="D971" s="24"/>
      <c r="E971" s="8"/>
      <c r="F971" s="14"/>
      <c r="G971" s="1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>
      <c r="A972" s="24"/>
      <c r="B972" s="148"/>
      <c r="C972" s="170"/>
      <c r="D972" s="24"/>
      <c r="E972" s="8"/>
      <c r="F972" s="14"/>
      <c r="G972" s="1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>
      <c r="A973" s="24"/>
      <c r="B973" s="148"/>
      <c r="C973" s="170"/>
      <c r="D973" s="24"/>
      <c r="E973" s="8"/>
      <c r="F973" s="14"/>
      <c r="G973" s="1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>
      <c r="A974" s="24"/>
      <c r="B974" s="148"/>
      <c r="C974" s="170"/>
      <c r="D974" s="24"/>
      <c r="E974" s="8"/>
      <c r="F974" s="14"/>
      <c r="G974" s="1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>
      <c r="A975" s="24"/>
      <c r="B975" s="148"/>
      <c r="C975" s="170"/>
      <c r="D975" s="24"/>
      <c r="E975" s="8"/>
      <c r="F975" s="14"/>
      <c r="G975" s="1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>
      <c r="A976" s="24"/>
      <c r="B976" s="148"/>
      <c r="C976" s="170"/>
      <c r="D976" s="24"/>
      <c r="E976" s="8"/>
      <c r="F976" s="14"/>
      <c r="G976" s="1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>
      <c r="A977" s="24"/>
      <c r="B977" s="148"/>
      <c r="C977" s="170"/>
      <c r="D977" s="24"/>
      <c r="E977" s="8"/>
      <c r="F977" s="14"/>
      <c r="G977" s="1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>
      <c r="A978" s="24"/>
      <c r="B978" s="148"/>
      <c r="C978" s="170"/>
      <c r="D978" s="24"/>
      <c r="E978" s="8"/>
      <c r="F978" s="14"/>
      <c r="G978" s="1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>
      <c r="A979" s="24"/>
      <c r="B979" s="148"/>
      <c r="C979" s="170"/>
      <c r="D979" s="24"/>
      <c r="E979" s="8"/>
      <c r="F979" s="14"/>
      <c r="G979" s="1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customHeight="1">
      <c r="A980" s="24"/>
      <c r="B980" s="148"/>
      <c r="C980" s="170"/>
      <c r="D980" s="24"/>
      <c r="E980" s="8"/>
      <c r="F980" s="14"/>
      <c r="G980" s="1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customHeight="1">
      <c r="A981" s="24"/>
      <c r="B981" s="148"/>
      <c r="C981" s="170"/>
      <c r="D981" s="24"/>
      <c r="E981" s="8"/>
      <c r="F981" s="14"/>
      <c r="G981" s="1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customHeight="1">
      <c r="A982" s="24"/>
      <c r="B982" s="148"/>
      <c r="C982" s="170"/>
      <c r="D982" s="24"/>
      <c r="E982" s="8"/>
      <c r="F982" s="14"/>
      <c r="G982" s="1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customHeight="1">
      <c r="A983" s="24"/>
      <c r="B983" s="148"/>
      <c r="C983" s="170"/>
      <c r="D983" s="24"/>
      <c r="E983" s="8"/>
      <c r="F983" s="14"/>
      <c r="G983" s="1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75" customHeight="1">
      <c r="A984" s="24"/>
      <c r="B984" s="148"/>
      <c r="C984" s="170"/>
      <c r="D984" s="24"/>
      <c r="E984" s="8"/>
      <c r="F984" s="14"/>
      <c r="G984" s="1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customHeight="1">
      <c r="A985" s="24"/>
      <c r="B985" s="148"/>
      <c r="C985" s="170"/>
      <c r="D985" s="24"/>
      <c r="E985" s="8"/>
      <c r="F985" s="14"/>
      <c r="G985" s="1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75" customHeight="1">
      <c r="A986" s="24"/>
      <c r="B986" s="148"/>
      <c r="C986" s="170"/>
      <c r="D986" s="24"/>
      <c r="E986" s="8"/>
      <c r="F986" s="14"/>
      <c r="G986" s="1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75" customHeight="1">
      <c r="A987" s="24"/>
      <c r="B987" s="148"/>
      <c r="C987" s="170"/>
      <c r="D987" s="24"/>
      <c r="E987" s="8"/>
      <c r="F987" s="14"/>
      <c r="G987" s="1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75" customHeight="1">
      <c r="A988" s="24"/>
      <c r="B988" s="148"/>
      <c r="C988" s="170"/>
      <c r="D988" s="24"/>
      <c r="E988" s="8"/>
      <c r="F988" s="14"/>
      <c r="G988" s="1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75" customHeight="1">
      <c r="A989" s="24"/>
      <c r="B989" s="148"/>
      <c r="C989" s="170"/>
      <c r="D989" s="24"/>
      <c r="E989" s="8"/>
      <c r="F989" s="14"/>
      <c r="G989" s="1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75" customHeight="1">
      <c r="A990" s="24"/>
      <c r="B990" s="148"/>
      <c r="C990" s="170"/>
      <c r="D990" s="24"/>
      <c r="E990" s="8"/>
      <c r="F990" s="14"/>
      <c r="G990" s="1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75" customHeight="1">
      <c r="A991" s="24"/>
      <c r="B991" s="148"/>
      <c r="C991" s="170"/>
      <c r="D991" s="24"/>
      <c r="E991" s="8"/>
      <c r="F991" s="14"/>
      <c r="G991" s="1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75" customHeight="1">
      <c r="A992" s="24"/>
      <c r="B992" s="148"/>
      <c r="C992" s="170"/>
      <c r="D992" s="24"/>
      <c r="E992" s="8"/>
      <c r="F992" s="14"/>
      <c r="G992" s="1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75" customHeight="1">
      <c r="A993" s="24"/>
      <c r="B993" s="148"/>
      <c r="C993" s="170"/>
      <c r="D993" s="24"/>
      <c r="E993" s="8"/>
      <c r="F993" s="14"/>
      <c r="G993" s="1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75" customHeight="1">
      <c r="A994" s="24"/>
      <c r="B994" s="148"/>
      <c r="C994" s="170"/>
      <c r="D994" s="24"/>
      <c r="E994" s="8"/>
      <c r="F994" s="14"/>
      <c r="G994" s="1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75" customHeight="1">
      <c r="A995" s="71"/>
      <c r="B995" s="148"/>
      <c r="C995" s="170"/>
      <c r="D995" s="24"/>
      <c r="E995" s="8"/>
      <c r="F995" s="14"/>
      <c r="G995" s="1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.75" customHeight="1">
      <c r="A996" s="24"/>
      <c r="B996" s="148"/>
      <c r="C996" s="170"/>
      <c r="D996" s="24"/>
      <c r="E996" s="8"/>
      <c r="F996" s="14"/>
      <c r="G996" s="1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.75" customHeight="1">
      <c r="A997" s="24"/>
      <c r="B997" s="148"/>
      <c r="C997" s="170"/>
      <c r="D997" s="24"/>
      <c r="E997" s="8"/>
      <c r="F997" s="14"/>
      <c r="G997" s="14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ht="15.75" customHeight="1">
      <c r="A998" s="24"/>
      <c r="B998" s="148"/>
      <c r="C998" s="170"/>
      <c r="D998" s="24"/>
      <c r="E998" s="8"/>
      <c r="F998" s="14"/>
      <c r="G998" s="14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ht="15.75" customHeight="1">
      <c r="A999" s="24"/>
      <c r="B999" s="148"/>
      <c r="C999" s="170"/>
      <c r="D999" s="24"/>
      <c r="E999" s="8"/>
      <c r="F999" s="14"/>
      <c r="G999" s="14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ht="15.75" customHeight="1">
      <c r="A1000" s="24"/>
      <c r="B1000" s="148"/>
      <c r="C1000" s="170"/>
      <c r="D1000" s="24"/>
      <c r="E1000" s="8"/>
      <c r="F1000" s="14"/>
      <c r="G1000" s="14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ht="15.75" customHeight="1">
      <c r="A1001" s="24"/>
      <c r="B1001" s="148"/>
      <c r="C1001" s="170"/>
      <c r="D1001" s="24"/>
      <c r="E1001" s="8"/>
      <c r="F1001" s="14"/>
      <c r="G1001" s="14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spans="1:27" ht="15.75" customHeight="1">
      <c r="A1002" s="24"/>
      <c r="B1002" s="148"/>
      <c r="C1002" s="170"/>
      <c r="D1002" s="24"/>
      <c r="E1002" s="8"/>
      <c r="F1002" s="14"/>
      <c r="G1002" s="14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15.75" customHeight="1">
      <c r="A1003" s="24"/>
      <c r="B1003" s="148"/>
      <c r="C1003" s="170"/>
      <c r="D1003" s="24"/>
      <c r="E1003" s="8"/>
      <c r="F1003" s="14"/>
      <c r="G1003" s="14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15.75" customHeight="1">
      <c r="A1004" s="24"/>
      <c r="B1004" s="148"/>
      <c r="C1004" s="170"/>
      <c r="D1004" s="24"/>
      <c r="E1004" s="8"/>
      <c r="F1004" s="14"/>
      <c r="G1004" s="14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15.75" customHeight="1">
      <c r="A1005" s="24"/>
      <c r="B1005" s="148"/>
      <c r="C1005" s="170"/>
      <c r="D1005" s="24"/>
      <c r="E1005" s="8"/>
      <c r="F1005" s="14"/>
      <c r="G1005" s="14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15.75" customHeight="1">
      <c r="A1006" s="24"/>
      <c r="B1006" s="148"/>
      <c r="C1006" s="170"/>
      <c r="D1006" s="24"/>
      <c r="E1006" s="8"/>
      <c r="F1006" s="14"/>
      <c r="G1006" s="14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15.75" customHeight="1">
      <c r="A1007" s="24"/>
      <c r="B1007" s="148"/>
      <c r="C1007" s="170"/>
      <c r="D1007" s="24"/>
      <c r="E1007" s="8"/>
      <c r="F1007" s="14"/>
      <c r="G1007" s="14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15.75" customHeight="1">
      <c r="A1008" s="24"/>
      <c r="B1008" s="148"/>
      <c r="C1008" s="170"/>
      <c r="D1008" s="24"/>
      <c r="E1008" s="8"/>
      <c r="F1008" s="14"/>
      <c r="G1008" s="14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15.75" customHeight="1">
      <c r="A1009" s="24"/>
      <c r="B1009" s="148"/>
      <c r="C1009" s="170"/>
      <c r="D1009" s="24"/>
      <c r="E1009" s="8"/>
      <c r="F1009" s="14"/>
      <c r="G1009" s="14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15.75" customHeight="1">
      <c r="A1010" s="24"/>
      <c r="B1010" s="148"/>
      <c r="C1010" s="170"/>
      <c r="D1010" s="24"/>
      <c r="E1010" s="8"/>
      <c r="F1010" s="14"/>
      <c r="G1010" s="14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15.75" customHeight="1">
      <c r="A1011" s="24"/>
      <c r="B1011" s="148"/>
      <c r="C1011" s="170"/>
      <c r="D1011" s="24"/>
      <c r="E1011" s="8"/>
      <c r="F1011" s="14"/>
      <c r="G1011" s="14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15.75" customHeight="1">
      <c r="A1012" s="24"/>
      <c r="B1012" s="148"/>
      <c r="C1012" s="170"/>
      <c r="D1012" s="24"/>
      <c r="E1012" s="8"/>
      <c r="F1012" s="14"/>
      <c r="G1012" s="14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15.75" customHeight="1">
      <c r="A1013" s="24"/>
      <c r="B1013" s="148"/>
      <c r="C1013" s="170"/>
      <c r="D1013" s="24"/>
      <c r="E1013" s="8"/>
      <c r="F1013" s="14"/>
      <c r="G1013" s="14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15.75" customHeight="1">
      <c r="A1014" s="24"/>
      <c r="B1014" s="148"/>
      <c r="C1014" s="170"/>
      <c r="D1014" s="24"/>
      <c r="E1014" s="8"/>
      <c r="F1014" s="14"/>
      <c r="G1014" s="14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15.75" customHeight="1">
      <c r="A1015" s="24"/>
      <c r="B1015" s="148"/>
      <c r="C1015" s="170"/>
      <c r="D1015" s="24"/>
      <c r="E1015" s="8"/>
      <c r="F1015" s="14"/>
      <c r="G1015" s="14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15.75" customHeight="1">
      <c r="A1016" s="71"/>
      <c r="B1016" s="148"/>
      <c r="C1016" s="170"/>
      <c r="D1016" s="24"/>
      <c r="E1016" s="8"/>
      <c r="F1016" s="14"/>
      <c r="G1016" s="14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15.75" customHeight="1">
      <c r="A1017" s="71"/>
      <c r="B1017" s="148"/>
      <c r="C1017" s="170"/>
      <c r="D1017" s="24"/>
      <c r="E1017" s="8"/>
      <c r="F1017" s="14"/>
      <c r="G1017" s="14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15.75" customHeight="1">
      <c r="A1018" s="71"/>
      <c r="B1018" s="148"/>
      <c r="C1018" s="170"/>
      <c r="D1018" s="24"/>
      <c r="E1018" s="8"/>
      <c r="F1018" s="14"/>
      <c r="G1018" s="14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15.75" customHeight="1">
      <c r="A1019" s="71"/>
      <c r="B1019" s="148"/>
      <c r="C1019" s="170"/>
      <c r="D1019" s="24"/>
      <c r="E1019" s="8"/>
      <c r="F1019" s="14"/>
      <c r="G1019" s="14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15.75" customHeight="1">
      <c r="A1020" s="71"/>
      <c r="B1020" s="148"/>
      <c r="C1020" s="170"/>
      <c r="D1020" s="24"/>
      <c r="E1020" s="8"/>
      <c r="F1020" s="14"/>
      <c r="G1020" s="14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15.75" customHeight="1">
      <c r="A1021" s="71"/>
      <c r="B1021" s="148"/>
      <c r="C1021" s="170"/>
      <c r="D1021" s="24"/>
      <c r="E1021" s="8"/>
      <c r="F1021" s="14"/>
      <c r="G1021" s="14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15.75" customHeight="1">
      <c r="A1022" s="71"/>
      <c r="B1022" s="148"/>
      <c r="C1022" s="170"/>
      <c r="D1022" s="24"/>
      <c r="E1022" s="8"/>
      <c r="F1022" s="14"/>
      <c r="G1022" s="14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ht="15.75" customHeight="1">
      <c r="A1023" s="71"/>
      <c r="B1023" s="148"/>
      <c r="C1023" s="170"/>
      <c r="D1023" s="24"/>
      <c r="E1023" s="8"/>
      <c r="F1023" s="14"/>
      <c r="G1023" s="14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ht="15.75" customHeight="1">
      <c r="A1024" s="71"/>
      <c r="B1024" s="148"/>
      <c r="C1024" s="170"/>
      <c r="D1024" s="24"/>
      <c r="E1024" s="8"/>
      <c r="F1024" s="14"/>
      <c r="G1024" s="14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ht="15.75" customHeight="1">
      <c r="A1025" s="71"/>
      <c r="B1025" s="148"/>
      <c r="C1025" s="170"/>
      <c r="D1025" s="24"/>
      <c r="E1025" s="8"/>
      <c r="F1025" s="14"/>
      <c r="G1025" s="14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ht="15.75" customHeight="1">
      <c r="A1026" s="71"/>
      <c r="B1026" s="148"/>
      <c r="C1026" s="170"/>
      <c r="D1026" s="24"/>
      <c r="E1026" s="8"/>
      <c r="F1026" s="14"/>
      <c r="G1026" s="14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ht="15.75" customHeight="1">
      <c r="A1027" s="71"/>
      <c r="B1027" s="148"/>
      <c r="C1027" s="170"/>
      <c r="D1027" s="24"/>
      <c r="E1027" s="8"/>
      <c r="F1027" s="14"/>
      <c r="G1027" s="14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ht="15.75" customHeight="1">
      <c r="A1028" s="71"/>
      <c r="B1028" s="148"/>
      <c r="C1028" s="170"/>
      <c r="D1028" s="24"/>
      <c r="E1028" s="8"/>
      <c r="F1028" s="14"/>
      <c r="G1028" s="14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ht="15.75" customHeight="1">
      <c r="A1029" s="71"/>
      <c r="B1029" s="148"/>
      <c r="C1029" s="170"/>
      <c r="D1029" s="24"/>
      <c r="E1029" s="8"/>
      <c r="F1029" s="14"/>
      <c r="G1029" s="14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1:27" ht="15.75" customHeight="1">
      <c r="A1030" s="71"/>
      <c r="B1030" s="148"/>
      <c r="C1030" s="170"/>
      <c r="D1030" s="24"/>
      <c r="E1030" s="8"/>
      <c r="F1030" s="14"/>
      <c r="G1030" s="14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1:27" ht="15.75" customHeight="1">
      <c r="A1031" s="71"/>
      <c r="B1031" s="148"/>
      <c r="C1031" s="170"/>
      <c r="D1031" s="24"/>
      <c r="E1031" s="8"/>
      <c r="F1031" s="14"/>
      <c r="G1031" s="14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1:27" ht="15.75" customHeight="1">
      <c r="A1032" s="24"/>
      <c r="B1032" s="148"/>
      <c r="C1032" s="170"/>
      <c r="D1032" s="24"/>
      <c r="E1032" s="8"/>
      <c r="F1032" s="14"/>
      <c r="G1032" s="14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1:27" ht="15.75" customHeight="1">
      <c r="A1033" s="24"/>
      <c r="B1033" s="148"/>
      <c r="C1033" s="170"/>
      <c r="D1033" s="24"/>
      <c r="E1033" s="8"/>
      <c r="F1033" s="14"/>
      <c r="G1033" s="14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1:27" ht="15.75" customHeight="1">
      <c r="A1034" s="24"/>
      <c r="B1034" s="148"/>
      <c r="C1034" s="170"/>
      <c r="D1034" s="24"/>
      <c r="E1034" s="8"/>
      <c r="F1034" s="14"/>
      <c r="G1034" s="14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1:27" ht="15.75" customHeight="1">
      <c r="A1035" s="24"/>
      <c r="B1035" s="148"/>
      <c r="C1035" s="170"/>
      <c r="D1035" s="24"/>
      <c r="E1035" s="8"/>
      <c r="F1035" s="14"/>
      <c r="G1035" s="14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1:27" ht="15.75" customHeight="1">
      <c r="A1036" s="24"/>
      <c r="B1036" s="148"/>
      <c r="C1036" s="170"/>
      <c r="D1036" s="24"/>
      <c r="E1036" s="8"/>
      <c r="F1036" s="14"/>
      <c r="G1036" s="14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1:27" ht="15.75" customHeight="1">
      <c r="A1037" s="24"/>
      <c r="B1037" s="148"/>
      <c r="C1037" s="170"/>
      <c r="D1037" s="24"/>
      <c r="E1037" s="8"/>
      <c r="F1037" s="14"/>
      <c r="G1037" s="14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1:27" ht="15.75" customHeight="1">
      <c r="A1038" s="24"/>
      <c r="B1038" s="148"/>
      <c r="C1038" s="170"/>
      <c r="D1038" s="24"/>
      <c r="E1038" s="8"/>
      <c r="F1038" s="14"/>
      <c r="G1038" s="14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1:27" ht="15.75" customHeight="1">
      <c r="A1039" s="24"/>
      <c r="B1039" s="148"/>
      <c r="C1039" s="170"/>
      <c r="D1039" s="24"/>
      <c r="E1039" s="8"/>
      <c r="F1039" s="14"/>
      <c r="G1039" s="14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1:27" ht="15.75" customHeight="1">
      <c r="A1040" s="24"/>
      <c r="B1040" s="148"/>
      <c r="C1040" s="170"/>
      <c r="D1040" s="24"/>
      <c r="E1040" s="8"/>
      <c r="F1040" s="14"/>
      <c r="G1040" s="14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ht="15.75" customHeight="1">
      <c r="A1041" s="24"/>
      <c r="B1041" s="148"/>
      <c r="C1041" s="170"/>
      <c r="D1041" s="24"/>
      <c r="E1041" s="8"/>
      <c r="F1041" s="14"/>
      <c r="G1041" s="14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ht="15.75" customHeight="1">
      <c r="A1042" s="24"/>
      <c r="B1042" s="148"/>
      <c r="C1042" s="170"/>
      <c r="D1042" s="24"/>
      <c r="E1042" s="8"/>
      <c r="F1042" s="14"/>
      <c r="G1042" s="14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1:27" ht="15.75" customHeight="1">
      <c r="A1043" s="24"/>
      <c r="B1043" s="148"/>
      <c r="C1043" s="170"/>
      <c r="D1043" s="24"/>
      <c r="E1043" s="8"/>
      <c r="F1043" s="14"/>
      <c r="G1043" s="14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1:27" ht="15.75" customHeight="1">
      <c r="A1044" s="24"/>
      <c r="B1044" s="148"/>
      <c r="C1044" s="170"/>
      <c r="D1044" s="24"/>
      <c r="E1044" s="8"/>
      <c r="F1044" s="14"/>
      <c r="G1044" s="14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1:27" ht="15.75" customHeight="1">
      <c r="A1045" s="24"/>
      <c r="B1045" s="148"/>
      <c r="C1045" s="170"/>
      <c r="D1045" s="24"/>
      <c r="E1045" s="8"/>
      <c r="F1045" s="14"/>
      <c r="G1045" s="14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1:27" ht="15.75" customHeight="1">
      <c r="A1046" s="24"/>
      <c r="B1046" s="148"/>
      <c r="C1046" s="170"/>
      <c r="D1046" s="24"/>
      <c r="E1046" s="8"/>
      <c r="F1046" s="14"/>
      <c r="G1046" s="14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1:27" ht="15.75" customHeight="1">
      <c r="A1047" s="24"/>
      <c r="B1047" s="148"/>
      <c r="C1047" s="170"/>
      <c r="D1047" s="24"/>
      <c r="E1047" s="8"/>
      <c r="F1047" s="14"/>
      <c r="G1047" s="14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1:27" ht="15.75" customHeight="1">
      <c r="A1048" s="24"/>
      <c r="B1048" s="148"/>
      <c r="C1048" s="170"/>
      <c r="D1048" s="24"/>
      <c r="E1048" s="8"/>
      <c r="F1048" s="14"/>
      <c r="G1048" s="14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spans="1:27" ht="15.75" customHeight="1">
      <c r="A1049" s="24"/>
      <c r="B1049" s="148"/>
      <c r="C1049" s="170"/>
      <c r="D1049" s="24"/>
      <c r="E1049" s="8"/>
      <c r="F1049" s="14"/>
      <c r="G1049" s="14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spans="1:27" ht="15.75" customHeight="1">
      <c r="A1050" s="24"/>
      <c r="B1050" s="148"/>
      <c r="C1050" s="170"/>
      <c r="D1050" s="24"/>
      <c r="E1050" s="8"/>
      <c r="F1050" s="14"/>
      <c r="G1050" s="14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spans="1:27" ht="15.75" customHeight="1">
      <c r="A1051" s="24"/>
      <c r="B1051" s="148"/>
      <c r="C1051" s="170"/>
      <c r="D1051" s="24"/>
      <c r="E1051" s="8"/>
      <c r="F1051" s="14"/>
      <c r="G1051" s="14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1:27" ht="15.75" customHeight="1">
      <c r="A1052" s="24"/>
      <c r="B1052" s="148"/>
      <c r="C1052" s="170"/>
      <c r="D1052" s="24"/>
      <c r="E1052" s="8"/>
      <c r="F1052" s="14"/>
      <c r="G1052" s="14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spans="1:27" ht="15.75" customHeight="1">
      <c r="A1053" s="24"/>
      <c r="B1053" s="148"/>
      <c r="C1053" s="170"/>
      <c r="D1053" s="24"/>
      <c r="E1053" s="8"/>
      <c r="F1053" s="14"/>
      <c r="G1053" s="14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spans="1:27" ht="15.75" customHeight="1">
      <c r="A1054" s="24"/>
      <c r="B1054" s="148"/>
      <c r="C1054" s="170"/>
      <c r="D1054" s="24"/>
      <c r="E1054" s="8"/>
      <c r="F1054" s="14"/>
      <c r="G1054" s="14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spans="1:27" ht="15.75" customHeight="1">
      <c r="A1055" s="24"/>
      <c r="B1055" s="148"/>
      <c r="C1055" s="170"/>
      <c r="D1055" s="24"/>
      <c r="E1055" s="8"/>
      <c r="F1055" s="14"/>
      <c r="G1055" s="14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spans="1:27" ht="15.75" customHeight="1">
      <c r="A1056" s="24"/>
      <c r="B1056" s="148"/>
      <c r="C1056" s="170"/>
      <c r="D1056" s="24"/>
      <c r="E1056" s="8"/>
      <c r="F1056" s="14"/>
      <c r="G1056" s="14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spans="1:27" ht="15.75" customHeight="1">
      <c r="A1057" s="24"/>
      <c r="B1057" s="148"/>
      <c r="C1057" s="170"/>
      <c r="D1057" s="24"/>
      <c r="E1057" s="8"/>
      <c r="F1057" s="14"/>
      <c r="G1057" s="14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spans="1:27" ht="15.75" customHeight="1">
      <c r="A1058" s="24"/>
      <c r="B1058" s="148"/>
      <c r="C1058" s="170"/>
      <c r="D1058" s="24"/>
      <c r="E1058" s="8"/>
      <c r="F1058" s="14"/>
      <c r="G1058" s="14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1:27" ht="15.75" customHeight="1">
      <c r="A1059" s="24"/>
      <c r="B1059" s="148"/>
      <c r="C1059" s="170"/>
      <c r="D1059" s="24"/>
      <c r="E1059" s="8"/>
      <c r="F1059" s="14"/>
      <c r="G1059" s="14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spans="1:27" ht="15.75" customHeight="1">
      <c r="A1060" s="24"/>
      <c r="B1060" s="148"/>
      <c r="C1060" s="170"/>
      <c r="D1060" s="24"/>
      <c r="E1060" s="8"/>
      <c r="F1060" s="14"/>
      <c r="G1060" s="14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spans="1:27" ht="15.75" customHeight="1">
      <c r="A1061" s="24"/>
      <c r="B1061" s="148"/>
      <c r="C1061" s="170"/>
      <c r="D1061" s="24"/>
      <c r="E1061" s="8"/>
      <c r="F1061" s="14"/>
      <c r="G1061" s="14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spans="1:27" ht="15.75" customHeight="1">
      <c r="A1062" s="24"/>
      <c r="B1062" s="148"/>
      <c r="C1062" s="170"/>
      <c r="D1062" s="24"/>
      <c r="E1062" s="8"/>
      <c r="F1062" s="14"/>
      <c r="G1062" s="14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spans="1:27" ht="15.75" customHeight="1">
      <c r="A1063" s="24"/>
      <c r="B1063" s="148"/>
      <c r="C1063" s="170"/>
      <c r="D1063" s="24"/>
      <c r="E1063" s="8"/>
      <c r="F1063" s="14"/>
      <c r="G1063" s="14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spans="1:27" ht="15.75" customHeight="1">
      <c r="A1064" s="24"/>
      <c r="B1064" s="148"/>
      <c r="C1064" s="170"/>
      <c r="D1064" s="24"/>
      <c r="E1064" s="8"/>
      <c r="F1064" s="14"/>
      <c r="G1064" s="14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spans="1:27" ht="15.75" customHeight="1">
      <c r="A1065" s="24"/>
      <c r="B1065" s="148"/>
      <c r="C1065" s="170"/>
      <c r="D1065" s="24"/>
      <c r="E1065" s="8"/>
      <c r="F1065" s="14"/>
      <c r="G1065" s="14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spans="1:27" ht="15.75" customHeight="1">
      <c r="A1066" s="24"/>
      <c r="B1066" s="148"/>
      <c r="C1066" s="170"/>
      <c r="D1066" s="24"/>
      <c r="E1066" s="8"/>
      <c r="F1066" s="14"/>
      <c r="G1066" s="14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spans="1:27" ht="15.75" customHeight="1">
      <c r="A1067" s="24"/>
      <c r="B1067" s="148"/>
      <c r="C1067" s="170"/>
      <c r="D1067" s="24"/>
      <c r="E1067" s="8"/>
      <c r="F1067" s="14"/>
      <c r="G1067" s="14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spans="1:27" ht="15.75" customHeight="1">
      <c r="A1068" s="24"/>
      <c r="B1068" s="148"/>
      <c r="C1068" s="170"/>
      <c r="D1068" s="24"/>
      <c r="E1068" s="8"/>
      <c r="F1068" s="14"/>
      <c r="G1068" s="14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spans="1:27" ht="15.75" customHeight="1">
      <c r="A1069" s="24"/>
      <c r="B1069" s="148"/>
      <c r="C1069" s="170"/>
      <c r="D1069" s="24"/>
      <c r="E1069" s="8"/>
      <c r="F1069" s="14"/>
      <c r="G1069" s="14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spans="1:27" ht="15.75" customHeight="1">
      <c r="A1070" s="24"/>
      <c r="B1070" s="148"/>
      <c r="C1070" s="170"/>
      <c r="D1070" s="24"/>
      <c r="E1070" s="8"/>
      <c r="F1070" s="14"/>
      <c r="G1070" s="14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spans="1:27" ht="15.75" customHeight="1">
      <c r="A1071" s="24"/>
      <c r="B1071" s="148"/>
      <c r="C1071" s="170"/>
      <c r="D1071" s="24"/>
      <c r="E1071" s="8"/>
      <c r="F1071" s="14"/>
      <c r="G1071" s="14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spans="1:27" ht="15.75" customHeight="1">
      <c r="A1072" s="24"/>
      <c r="B1072" s="148"/>
      <c r="C1072" s="170"/>
      <c r="D1072" s="24"/>
      <c r="E1072" s="8"/>
      <c r="F1072" s="14"/>
      <c r="G1072" s="14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spans="1:27" ht="15.75" customHeight="1">
      <c r="A1073" s="24"/>
      <c r="B1073" s="148"/>
      <c r="C1073" s="170"/>
      <c r="D1073" s="24"/>
      <c r="E1073" s="8"/>
      <c r="F1073" s="14"/>
      <c r="G1073" s="14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spans="1:27" ht="15.75" customHeight="1">
      <c r="A1074" s="24"/>
      <c r="B1074" s="148"/>
      <c r="C1074" s="170"/>
      <c r="D1074" s="24"/>
      <c r="E1074" s="8"/>
      <c r="F1074" s="14"/>
      <c r="G1074" s="14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spans="1:27" ht="15.75" customHeight="1">
      <c r="A1075" s="24"/>
      <c r="B1075" s="148"/>
      <c r="C1075" s="170"/>
      <c r="D1075" s="24"/>
      <c r="E1075" s="8"/>
      <c r="F1075" s="14"/>
      <c r="G1075" s="14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spans="1:27" ht="15.75" customHeight="1">
      <c r="A1076" s="24"/>
      <c r="B1076" s="148"/>
      <c r="C1076" s="170"/>
      <c r="D1076" s="24"/>
      <c r="E1076" s="8"/>
      <c r="F1076" s="14"/>
      <c r="G1076" s="14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spans="1:27" ht="15.75" customHeight="1">
      <c r="A1077" s="24"/>
      <c r="B1077" s="148"/>
      <c r="C1077" s="170"/>
      <c r="D1077" s="24"/>
      <c r="E1077" s="8"/>
      <c r="F1077" s="14"/>
      <c r="G1077" s="14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spans="1:27" ht="15.75" customHeight="1">
      <c r="A1078" s="24"/>
      <c r="B1078" s="148"/>
      <c r="C1078" s="170"/>
      <c r="D1078" s="24"/>
      <c r="E1078" s="8"/>
      <c r="F1078" s="14"/>
      <c r="G1078" s="14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spans="1:27" ht="15.75" customHeight="1">
      <c r="A1079" s="24"/>
      <c r="B1079" s="148"/>
      <c r="C1079" s="170"/>
      <c r="D1079" s="24"/>
      <c r="E1079" s="8"/>
      <c r="F1079" s="14"/>
      <c r="G1079" s="14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spans="1:27" ht="15.75" customHeight="1">
      <c r="A1080" s="24"/>
      <c r="B1080" s="148"/>
      <c r="C1080" s="170"/>
      <c r="D1080" s="24"/>
      <c r="E1080" s="8"/>
      <c r="F1080" s="14"/>
      <c r="G1080" s="14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</sheetData>
  <mergeCells count="4">
    <mergeCell ref="A3:D3"/>
    <mergeCell ref="A687:A688"/>
    <mergeCell ref="B687:B688"/>
    <mergeCell ref="D687:D688"/>
  </mergeCells>
  <conditionalFormatting sqref="F29:H45">
    <cfRule type="notContainsBlanks" dxfId="0" priority="1">
      <formula>LEN(TRIM(F29))&gt;0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3.42578125" customWidth="1"/>
    <col min="2" max="2" width="46.7109375" customWidth="1"/>
    <col min="4" max="4" width="6.5703125" customWidth="1"/>
    <col min="5" max="5" width="11.42578125" customWidth="1"/>
    <col min="6" max="6" width="12" customWidth="1"/>
    <col min="7" max="7" width="8.42578125" customWidth="1"/>
    <col min="8" max="8" width="17.85546875" customWidth="1"/>
    <col min="9" max="9" width="12.28515625" customWidth="1"/>
    <col min="10" max="10" width="7.7109375" customWidth="1"/>
    <col min="11" max="11" width="11.42578125" customWidth="1"/>
    <col min="12" max="12" width="18.28515625" customWidth="1"/>
    <col min="13" max="13" width="18.140625" customWidth="1"/>
  </cols>
  <sheetData>
    <row r="1" spans="1:26">
      <c r="A1" s="271" t="s">
        <v>519</v>
      </c>
      <c r="B1" s="272"/>
      <c r="C1" s="272"/>
      <c r="D1" s="272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spans="1:26" ht="15" customHeight="1">
      <c r="A2" s="176" t="s">
        <v>520</v>
      </c>
      <c r="B2" s="176" t="s">
        <v>521</v>
      </c>
      <c r="C2" s="176" t="s">
        <v>522</v>
      </c>
      <c r="D2" s="176" t="s">
        <v>523</v>
      </c>
      <c r="E2" s="176" t="s">
        <v>524</v>
      </c>
      <c r="F2" s="176" t="s">
        <v>525</v>
      </c>
      <c r="G2" s="176" t="s">
        <v>526</v>
      </c>
      <c r="H2" s="176" t="s">
        <v>527</v>
      </c>
      <c r="I2" s="176" t="s">
        <v>528</v>
      </c>
      <c r="J2" s="176" t="s">
        <v>529</v>
      </c>
      <c r="K2" s="176" t="s">
        <v>530</v>
      </c>
      <c r="L2" s="176" t="s">
        <v>531</v>
      </c>
      <c r="M2" s="176" t="s">
        <v>532</v>
      </c>
      <c r="N2" s="176" t="s">
        <v>533</v>
      </c>
      <c r="O2" s="176" t="s">
        <v>534</v>
      </c>
      <c r="P2" s="176" t="s">
        <v>535</v>
      </c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 spans="1:26">
      <c r="A3" s="177">
        <v>1</v>
      </c>
      <c r="B3" s="178" t="s">
        <v>536</v>
      </c>
      <c r="C3" s="179">
        <v>8000</v>
      </c>
      <c r="D3" s="180">
        <v>30</v>
      </c>
      <c r="E3" s="180">
        <v>0</v>
      </c>
      <c r="F3" s="181">
        <v>266.66666670000001</v>
      </c>
      <c r="G3" s="180">
        <v>0</v>
      </c>
      <c r="H3" s="180">
        <v>13.25</v>
      </c>
      <c r="I3" s="180">
        <v>13.25</v>
      </c>
      <c r="J3" s="180">
        <v>0</v>
      </c>
      <c r="K3" s="180">
        <v>400</v>
      </c>
      <c r="L3" s="181">
        <v>3533.333333</v>
      </c>
      <c r="M3" s="181">
        <v>4066.666667</v>
      </c>
      <c r="N3" s="180"/>
      <c r="O3" s="180"/>
      <c r="P3" s="180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spans="1:26">
      <c r="A4" s="182">
        <v>2</v>
      </c>
      <c r="B4" s="183" t="s">
        <v>537</v>
      </c>
      <c r="C4" s="184">
        <v>6000</v>
      </c>
      <c r="D4" s="185">
        <v>30</v>
      </c>
      <c r="E4" s="185">
        <v>2</v>
      </c>
      <c r="F4" s="186">
        <v>200</v>
      </c>
      <c r="G4" s="185">
        <v>0</v>
      </c>
      <c r="H4" s="185">
        <v>3.25</v>
      </c>
      <c r="I4" s="185">
        <v>5.25</v>
      </c>
      <c r="J4" s="185">
        <v>400</v>
      </c>
      <c r="K4" s="185">
        <v>0</v>
      </c>
      <c r="L4" s="186">
        <v>1050</v>
      </c>
      <c r="M4" s="186">
        <v>5350</v>
      </c>
      <c r="N4" s="185"/>
      <c r="O4" s="185"/>
      <c r="P4" s="18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 spans="1:26">
      <c r="A5" s="177">
        <v>3</v>
      </c>
      <c r="B5" s="187" t="s">
        <v>538</v>
      </c>
      <c r="C5" s="179">
        <v>3000</v>
      </c>
      <c r="D5" s="180">
        <v>30</v>
      </c>
      <c r="E5" s="180"/>
      <c r="F5" s="181">
        <v>100</v>
      </c>
      <c r="G5" s="180"/>
      <c r="H5" s="180"/>
      <c r="I5" s="180">
        <v>0</v>
      </c>
      <c r="J5" s="180"/>
      <c r="K5" s="180"/>
      <c r="L5" s="181">
        <v>0</v>
      </c>
      <c r="M5" s="181">
        <v>3000</v>
      </c>
      <c r="N5" s="180"/>
      <c r="O5" s="180"/>
      <c r="P5" s="180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 spans="1:26">
      <c r="A6" s="185">
        <v>4</v>
      </c>
      <c r="B6" s="183" t="s">
        <v>539</v>
      </c>
      <c r="C6" s="184">
        <v>8000</v>
      </c>
      <c r="D6" s="185">
        <v>30</v>
      </c>
      <c r="E6" s="185">
        <v>1</v>
      </c>
      <c r="F6" s="186">
        <v>266.66666670000001</v>
      </c>
      <c r="G6" s="185">
        <v>0</v>
      </c>
      <c r="H6" s="185">
        <v>5.25</v>
      </c>
      <c r="I6" s="185">
        <v>6.25</v>
      </c>
      <c r="J6" s="185">
        <v>0</v>
      </c>
      <c r="K6" s="185">
        <v>0</v>
      </c>
      <c r="L6" s="186">
        <v>1666.666667</v>
      </c>
      <c r="M6" s="186">
        <v>6333.3333329999996</v>
      </c>
      <c r="N6" s="185"/>
      <c r="O6" s="185"/>
      <c r="P6" s="18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 spans="1:26" ht="15" customHeight="1">
      <c r="A7" s="177">
        <v>5</v>
      </c>
      <c r="B7" s="188" t="s">
        <v>540</v>
      </c>
      <c r="C7" s="189">
        <v>12000</v>
      </c>
      <c r="D7" s="190">
        <v>30</v>
      </c>
      <c r="E7" s="190">
        <v>18</v>
      </c>
      <c r="F7" s="191">
        <v>400</v>
      </c>
      <c r="G7" s="190">
        <v>0</v>
      </c>
      <c r="H7" s="190">
        <v>0.75</v>
      </c>
      <c r="I7" s="190">
        <v>18.75</v>
      </c>
      <c r="J7" s="190">
        <v>0</v>
      </c>
      <c r="K7" s="190">
        <v>0</v>
      </c>
      <c r="L7" s="191">
        <v>7500</v>
      </c>
      <c r="M7" s="181">
        <v>4500</v>
      </c>
      <c r="N7" s="190"/>
      <c r="O7" s="190"/>
      <c r="P7" s="190" t="s">
        <v>541</v>
      </c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spans="1:26">
      <c r="A8" s="182">
        <v>6</v>
      </c>
      <c r="B8" s="192" t="s">
        <v>542</v>
      </c>
      <c r="C8" s="184">
        <v>6000</v>
      </c>
      <c r="D8" s="185">
        <v>30</v>
      </c>
      <c r="E8" s="185">
        <v>5</v>
      </c>
      <c r="F8" s="186">
        <v>200</v>
      </c>
      <c r="G8" s="185">
        <v>0</v>
      </c>
      <c r="H8" s="185">
        <v>2.5</v>
      </c>
      <c r="I8" s="185">
        <v>7.5</v>
      </c>
      <c r="J8" s="185">
        <v>0</v>
      </c>
      <c r="K8" s="185">
        <v>0</v>
      </c>
      <c r="L8" s="186">
        <v>1500</v>
      </c>
      <c r="M8" s="186">
        <v>4500</v>
      </c>
      <c r="N8" s="185"/>
      <c r="O8" s="185"/>
      <c r="P8" s="18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spans="1:26">
      <c r="A9" s="177">
        <v>7</v>
      </c>
      <c r="B9" s="178" t="s">
        <v>543</v>
      </c>
      <c r="C9" s="179">
        <v>10000</v>
      </c>
      <c r="D9" s="180">
        <v>30</v>
      </c>
      <c r="E9" s="180">
        <v>0</v>
      </c>
      <c r="F9" s="181">
        <v>333.33333329999999</v>
      </c>
      <c r="G9" s="180">
        <v>0</v>
      </c>
      <c r="H9" s="180">
        <v>0</v>
      </c>
      <c r="I9" s="180">
        <v>0</v>
      </c>
      <c r="J9" s="180">
        <v>0</v>
      </c>
      <c r="K9" s="180">
        <v>0</v>
      </c>
      <c r="L9" s="181">
        <v>0</v>
      </c>
      <c r="M9" s="181">
        <v>10000</v>
      </c>
      <c r="N9" s="180"/>
      <c r="O9" s="180"/>
      <c r="P9" s="180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spans="1:26" ht="15" customHeight="1">
      <c r="A10" s="182">
        <v>8</v>
      </c>
      <c r="B10" s="193" t="s">
        <v>544</v>
      </c>
      <c r="C10" s="194">
        <v>8500</v>
      </c>
      <c r="D10" s="195">
        <v>30</v>
      </c>
      <c r="E10" s="195">
        <v>22</v>
      </c>
      <c r="F10" s="196">
        <v>283.33333329999999</v>
      </c>
      <c r="G10" s="195">
        <v>0</v>
      </c>
      <c r="H10" s="195">
        <v>0</v>
      </c>
      <c r="I10" s="195">
        <v>22</v>
      </c>
      <c r="J10" s="195">
        <v>0</v>
      </c>
      <c r="K10" s="195">
        <v>0</v>
      </c>
      <c r="L10" s="196">
        <v>6233.3333329999996</v>
      </c>
      <c r="M10" s="186">
        <v>2266.666667</v>
      </c>
      <c r="N10" s="195"/>
      <c r="O10" s="195">
        <v>5</v>
      </c>
      <c r="P10" s="195" t="s">
        <v>545</v>
      </c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spans="1:26">
      <c r="A11" s="177">
        <v>9</v>
      </c>
      <c r="B11" s="178" t="s">
        <v>546</v>
      </c>
      <c r="C11" s="179">
        <v>15000</v>
      </c>
      <c r="D11" s="180">
        <v>30</v>
      </c>
      <c r="E11" s="180">
        <v>0</v>
      </c>
      <c r="F11" s="181">
        <v>500</v>
      </c>
      <c r="G11" s="180">
        <v>0</v>
      </c>
      <c r="H11" s="180">
        <v>3</v>
      </c>
      <c r="I11" s="180">
        <v>3</v>
      </c>
      <c r="J11" s="180">
        <v>0</v>
      </c>
      <c r="K11" s="181">
        <v>2000</v>
      </c>
      <c r="L11" s="181">
        <v>1500</v>
      </c>
      <c r="M11" s="181">
        <v>11500</v>
      </c>
      <c r="N11" s="180"/>
      <c r="O11" s="180"/>
      <c r="P11" s="180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spans="1:26">
      <c r="A12" s="182">
        <v>10</v>
      </c>
      <c r="B12" s="192" t="s">
        <v>547</v>
      </c>
      <c r="C12" s="184">
        <v>12000</v>
      </c>
      <c r="D12" s="185">
        <v>30</v>
      </c>
      <c r="E12" s="185">
        <v>0</v>
      </c>
      <c r="F12" s="186">
        <v>400</v>
      </c>
      <c r="G12" s="185">
        <v>0</v>
      </c>
      <c r="H12" s="185">
        <v>0.5</v>
      </c>
      <c r="I12" s="185">
        <v>0.5</v>
      </c>
      <c r="J12" s="185">
        <v>0</v>
      </c>
      <c r="K12" s="185">
        <v>0</v>
      </c>
      <c r="L12" s="186">
        <v>200</v>
      </c>
      <c r="M12" s="186">
        <v>11800</v>
      </c>
      <c r="N12" s="185"/>
      <c r="O12" s="185"/>
      <c r="P12" s="18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spans="1:26">
      <c r="A13" s="177">
        <v>11</v>
      </c>
      <c r="B13" s="178" t="s">
        <v>548</v>
      </c>
      <c r="C13" s="179">
        <v>6000</v>
      </c>
      <c r="D13" s="180">
        <v>30</v>
      </c>
      <c r="E13" s="180">
        <v>14</v>
      </c>
      <c r="F13" s="181">
        <v>200</v>
      </c>
      <c r="G13" s="180">
        <v>0</v>
      </c>
      <c r="H13" s="180">
        <v>0.5</v>
      </c>
      <c r="I13" s="180">
        <v>14.5</v>
      </c>
      <c r="J13" s="180">
        <v>0</v>
      </c>
      <c r="K13" s="180">
        <v>0</v>
      </c>
      <c r="L13" s="181">
        <v>2900</v>
      </c>
      <c r="M13" s="181">
        <v>3100</v>
      </c>
      <c r="N13" s="180"/>
      <c r="O13" s="180"/>
      <c r="P13" s="180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spans="1:26">
      <c r="A14" s="182">
        <v>12</v>
      </c>
      <c r="B14" s="192" t="s">
        <v>549</v>
      </c>
      <c r="C14" s="184">
        <v>9000</v>
      </c>
      <c r="D14" s="185">
        <v>30</v>
      </c>
      <c r="E14" s="185">
        <v>22</v>
      </c>
      <c r="F14" s="186">
        <v>300</v>
      </c>
      <c r="G14" s="185">
        <v>0</v>
      </c>
      <c r="H14" s="185">
        <v>1.25</v>
      </c>
      <c r="I14" s="185">
        <v>23.25</v>
      </c>
      <c r="J14" s="185">
        <v>0</v>
      </c>
      <c r="K14" s="185">
        <v>0</v>
      </c>
      <c r="L14" s="186">
        <v>6975</v>
      </c>
      <c r="M14" s="186">
        <v>2025</v>
      </c>
      <c r="N14" s="185"/>
      <c r="O14" s="185"/>
      <c r="P14" s="18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spans="1:26">
      <c r="A15" s="177">
        <v>13</v>
      </c>
      <c r="B15" s="178" t="s">
        <v>550</v>
      </c>
      <c r="C15" s="179">
        <v>8000</v>
      </c>
      <c r="D15" s="180">
        <v>30</v>
      </c>
      <c r="E15" s="180">
        <v>0</v>
      </c>
      <c r="F15" s="181">
        <v>266.66666670000001</v>
      </c>
      <c r="G15" s="180">
        <v>0</v>
      </c>
      <c r="H15" s="180">
        <v>0.75</v>
      </c>
      <c r="I15" s="180">
        <v>0.75</v>
      </c>
      <c r="J15" s="180">
        <v>0</v>
      </c>
      <c r="K15" s="180">
        <v>0</v>
      </c>
      <c r="L15" s="181">
        <v>200</v>
      </c>
      <c r="M15" s="181">
        <v>7800</v>
      </c>
      <c r="N15" s="180"/>
      <c r="O15" s="180"/>
      <c r="P15" s="180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spans="1:26">
      <c r="A16" s="182">
        <v>14</v>
      </c>
      <c r="B16" s="192" t="s">
        <v>551</v>
      </c>
      <c r="C16" s="184">
        <v>7000</v>
      </c>
      <c r="D16" s="185">
        <v>30</v>
      </c>
      <c r="E16" s="185">
        <v>0</v>
      </c>
      <c r="F16" s="186">
        <v>233.33333329999999</v>
      </c>
      <c r="G16" s="185">
        <v>0</v>
      </c>
      <c r="H16" s="185">
        <v>0</v>
      </c>
      <c r="I16" s="185">
        <v>0</v>
      </c>
      <c r="J16" s="185">
        <v>0</v>
      </c>
      <c r="K16" s="186">
        <v>3220</v>
      </c>
      <c r="L16" s="186">
        <v>0</v>
      </c>
      <c r="M16" s="186">
        <v>3780</v>
      </c>
      <c r="N16" s="185"/>
      <c r="O16" s="185">
        <v>9</v>
      </c>
      <c r="P16" s="18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spans="1:26">
      <c r="A17" s="177">
        <v>15</v>
      </c>
      <c r="B17" s="178" t="s">
        <v>552</v>
      </c>
      <c r="C17" s="179">
        <v>10000</v>
      </c>
      <c r="D17" s="180">
        <v>30</v>
      </c>
      <c r="E17" s="180">
        <v>0</v>
      </c>
      <c r="F17" s="181">
        <v>333.33333329999999</v>
      </c>
      <c r="G17" s="180">
        <v>0</v>
      </c>
      <c r="H17" s="180">
        <v>8.5</v>
      </c>
      <c r="I17" s="180">
        <v>8.5</v>
      </c>
      <c r="J17" s="180">
        <v>990</v>
      </c>
      <c r="K17" s="180">
        <v>0</v>
      </c>
      <c r="L17" s="181">
        <v>2833.333333</v>
      </c>
      <c r="M17" s="181">
        <v>8156.6666670000004</v>
      </c>
      <c r="N17" s="180"/>
      <c r="O17" s="180"/>
      <c r="P17" s="180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spans="1:26">
      <c r="A18" s="182">
        <v>16</v>
      </c>
      <c r="B18" s="197" t="s">
        <v>553</v>
      </c>
      <c r="C18" s="184">
        <v>8000</v>
      </c>
      <c r="D18" s="185">
        <v>30</v>
      </c>
      <c r="E18" s="185">
        <v>0</v>
      </c>
      <c r="F18" s="186">
        <v>266.66666670000001</v>
      </c>
      <c r="G18" s="185">
        <v>0</v>
      </c>
      <c r="H18" s="185">
        <v>0.5</v>
      </c>
      <c r="I18" s="185">
        <v>0.5</v>
      </c>
      <c r="J18" s="185">
        <v>0</v>
      </c>
      <c r="K18" s="185">
        <v>0</v>
      </c>
      <c r="L18" s="186">
        <v>133.33333329999999</v>
      </c>
      <c r="M18" s="186">
        <v>7866.6666670000004</v>
      </c>
      <c r="N18" s="185"/>
      <c r="O18" s="185"/>
      <c r="P18" s="18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spans="1:26">
      <c r="A19" s="177">
        <v>17</v>
      </c>
      <c r="B19" s="178" t="s">
        <v>554</v>
      </c>
      <c r="C19" s="179">
        <v>8000</v>
      </c>
      <c r="D19" s="180">
        <v>30</v>
      </c>
      <c r="E19" s="180">
        <v>3</v>
      </c>
      <c r="F19" s="181">
        <v>266.66666670000001</v>
      </c>
      <c r="G19" s="180">
        <v>0</v>
      </c>
      <c r="H19" s="180">
        <v>1</v>
      </c>
      <c r="I19" s="180">
        <v>4</v>
      </c>
      <c r="J19" s="180">
        <v>0</v>
      </c>
      <c r="K19" s="180">
        <v>0</v>
      </c>
      <c r="L19" s="181">
        <v>1066.666667</v>
      </c>
      <c r="M19" s="181">
        <v>6933.3333329999996</v>
      </c>
      <c r="N19" s="180"/>
      <c r="O19" s="180"/>
      <c r="P19" s="180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spans="1:26">
      <c r="A20" s="182">
        <v>18</v>
      </c>
      <c r="B20" s="192" t="s">
        <v>555</v>
      </c>
      <c r="C20" s="184">
        <v>10000</v>
      </c>
      <c r="D20" s="185">
        <v>30</v>
      </c>
      <c r="E20" s="185">
        <v>8</v>
      </c>
      <c r="F20" s="186">
        <v>333.33333329999999</v>
      </c>
      <c r="G20" s="185">
        <v>0</v>
      </c>
      <c r="H20" s="185">
        <v>0</v>
      </c>
      <c r="I20" s="185">
        <v>8</v>
      </c>
      <c r="J20" s="185">
        <v>0</v>
      </c>
      <c r="K20" s="185">
        <v>0</v>
      </c>
      <c r="L20" s="186">
        <v>2666.666667</v>
      </c>
      <c r="M20" s="186">
        <v>7333.3333329999996</v>
      </c>
      <c r="N20" s="185"/>
      <c r="O20" s="185"/>
      <c r="P20" s="185" t="s">
        <v>556</v>
      </c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spans="1:26" ht="14.25">
      <c r="A21" s="177">
        <v>19</v>
      </c>
      <c r="B21" s="178" t="s">
        <v>557</v>
      </c>
      <c r="C21" s="179">
        <v>9000</v>
      </c>
      <c r="D21" s="180">
        <v>30</v>
      </c>
      <c r="E21" s="180">
        <v>0</v>
      </c>
      <c r="F21" s="181">
        <v>300</v>
      </c>
      <c r="G21" s="180">
        <v>0</v>
      </c>
      <c r="H21" s="180">
        <v>9</v>
      </c>
      <c r="I21" s="180">
        <v>9</v>
      </c>
      <c r="J21" s="180">
        <v>0</v>
      </c>
      <c r="K21" s="181">
        <v>2000</v>
      </c>
      <c r="L21" s="181">
        <v>2700</v>
      </c>
      <c r="M21" s="181">
        <v>4300</v>
      </c>
      <c r="N21" s="180"/>
      <c r="O21" s="180"/>
      <c r="P21" s="180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 spans="1:26" ht="14.25">
      <c r="A22" s="182">
        <v>20</v>
      </c>
      <c r="B22" s="192" t="s">
        <v>558</v>
      </c>
      <c r="C22" s="184">
        <v>6000</v>
      </c>
      <c r="D22" s="185">
        <v>30</v>
      </c>
      <c r="E22" s="185">
        <v>0</v>
      </c>
      <c r="F22" s="186">
        <v>200</v>
      </c>
      <c r="G22" s="185">
        <v>0</v>
      </c>
      <c r="H22" s="185"/>
      <c r="I22" s="185">
        <v>0</v>
      </c>
      <c r="J22" s="185">
        <v>0</v>
      </c>
      <c r="K22" s="186">
        <v>1000</v>
      </c>
      <c r="L22" s="186">
        <v>0</v>
      </c>
      <c r="M22" s="186">
        <v>5000</v>
      </c>
      <c r="N22" s="185"/>
      <c r="O22" s="185"/>
      <c r="P22" s="18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spans="1:26">
      <c r="A23" s="177">
        <v>21</v>
      </c>
      <c r="B23" s="198" t="s">
        <v>559</v>
      </c>
      <c r="C23" s="189">
        <v>8000</v>
      </c>
      <c r="D23" s="190">
        <v>30</v>
      </c>
      <c r="E23" s="190">
        <v>24</v>
      </c>
      <c r="F23" s="191">
        <v>266.66666670000001</v>
      </c>
      <c r="G23" s="190">
        <v>0</v>
      </c>
      <c r="H23" s="190">
        <v>0</v>
      </c>
      <c r="I23" s="190">
        <v>24</v>
      </c>
      <c r="J23" s="190">
        <v>0</v>
      </c>
      <c r="K23" s="190">
        <v>0</v>
      </c>
      <c r="L23" s="191">
        <v>6400</v>
      </c>
      <c r="M23" s="181">
        <v>1600</v>
      </c>
      <c r="N23" s="190"/>
      <c r="O23" s="190"/>
      <c r="P23" s="190" t="s">
        <v>560</v>
      </c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spans="1:26" ht="14.25">
      <c r="A24" s="182">
        <v>22</v>
      </c>
      <c r="B24" s="192" t="s">
        <v>561</v>
      </c>
      <c r="C24" s="184">
        <v>8000</v>
      </c>
      <c r="D24" s="185">
        <v>30</v>
      </c>
      <c r="E24" s="185">
        <v>2</v>
      </c>
      <c r="F24" s="186">
        <v>266.66666670000001</v>
      </c>
      <c r="G24" s="185">
        <v>0</v>
      </c>
      <c r="H24" s="185">
        <v>0</v>
      </c>
      <c r="I24" s="185">
        <v>2</v>
      </c>
      <c r="J24" s="185">
        <v>0</v>
      </c>
      <c r="K24" s="185">
        <v>0</v>
      </c>
      <c r="L24" s="186">
        <v>533.33333330000005</v>
      </c>
      <c r="M24" s="186">
        <v>7466.6666670000004</v>
      </c>
      <c r="N24" s="185"/>
      <c r="O24" s="185"/>
      <c r="P24" s="185" t="s">
        <v>562</v>
      </c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spans="1:26" ht="14.25">
      <c r="A25" s="177">
        <v>23</v>
      </c>
      <c r="B25" s="178" t="s">
        <v>563</v>
      </c>
      <c r="C25" s="179">
        <v>18000</v>
      </c>
      <c r="D25" s="180">
        <v>30</v>
      </c>
      <c r="E25" s="180">
        <v>0</v>
      </c>
      <c r="F25" s="181">
        <v>600</v>
      </c>
      <c r="G25" s="180">
        <v>0</v>
      </c>
      <c r="H25" s="180">
        <v>4.25</v>
      </c>
      <c r="I25" s="180">
        <v>4.25</v>
      </c>
      <c r="J25" s="180">
        <v>0</v>
      </c>
      <c r="K25" s="180">
        <v>0</v>
      </c>
      <c r="L25" s="181">
        <v>2550</v>
      </c>
      <c r="M25" s="181">
        <v>15450</v>
      </c>
      <c r="N25" s="180"/>
      <c r="O25" s="180"/>
      <c r="P25" s="180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spans="1:26" ht="14.25">
      <c r="A26" s="182">
        <v>24</v>
      </c>
      <c r="B26" s="192" t="s">
        <v>564</v>
      </c>
      <c r="C26" s="184">
        <v>12000</v>
      </c>
      <c r="D26" s="185">
        <v>30</v>
      </c>
      <c r="E26" s="185">
        <v>11</v>
      </c>
      <c r="F26" s="186">
        <v>400</v>
      </c>
      <c r="G26" s="185">
        <v>0</v>
      </c>
      <c r="H26" s="185">
        <v>0</v>
      </c>
      <c r="I26" s="185">
        <v>11</v>
      </c>
      <c r="J26" s="185">
        <v>0</v>
      </c>
      <c r="K26" s="185">
        <v>0</v>
      </c>
      <c r="L26" s="186">
        <v>4400</v>
      </c>
      <c r="M26" s="186">
        <v>7600</v>
      </c>
      <c r="N26" s="185"/>
      <c r="O26" s="185"/>
      <c r="P26" s="185" t="s">
        <v>565</v>
      </c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spans="1:26" ht="14.25">
      <c r="A27" s="177">
        <v>25</v>
      </c>
      <c r="B27" s="199" t="s">
        <v>566</v>
      </c>
      <c r="C27" s="179">
        <v>15000</v>
      </c>
      <c r="D27" s="180">
        <v>30</v>
      </c>
      <c r="E27" s="180">
        <v>24</v>
      </c>
      <c r="F27" s="181">
        <v>500</v>
      </c>
      <c r="G27" s="180">
        <v>0</v>
      </c>
      <c r="H27" s="180">
        <v>0.5</v>
      </c>
      <c r="I27" s="180">
        <v>24.5</v>
      </c>
      <c r="J27" s="180">
        <v>0</v>
      </c>
      <c r="K27" s="180">
        <v>0</v>
      </c>
      <c r="L27" s="181">
        <v>12250</v>
      </c>
      <c r="M27" s="181">
        <v>2750</v>
      </c>
      <c r="N27" s="180"/>
      <c r="O27" s="180"/>
      <c r="P27" s="180" t="s">
        <v>567</v>
      </c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spans="1:26" ht="14.25">
      <c r="A28" s="182">
        <v>26</v>
      </c>
      <c r="B28" s="192" t="s">
        <v>568</v>
      </c>
      <c r="C28" s="184">
        <v>40000</v>
      </c>
      <c r="D28" s="185">
        <v>30</v>
      </c>
      <c r="E28" s="185">
        <v>0</v>
      </c>
      <c r="F28" s="186">
        <v>1333.333333</v>
      </c>
      <c r="G28" s="185">
        <v>0</v>
      </c>
      <c r="H28" s="185">
        <v>4.5</v>
      </c>
      <c r="I28" s="185">
        <v>4.5</v>
      </c>
      <c r="J28" s="185">
        <v>0</v>
      </c>
      <c r="K28" s="186">
        <v>22570</v>
      </c>
      <c r="L28" s="186">
        <v>6000</v>
      </c>
      <c r="M28" s="186">
        <v>11430</v>
      </c>
      <c r="N28" s="185"/>
      <c r="O28" s="185"/>
      <c r="P28" s="18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spans="1:26" ht="14.25">
      <c r="A29" s="177">
        <v>27</v>
      </c>
      <c r="B29" s="178" t="s">
        <v>569</v>
      </c>
      <c r="C29" s="179">
        <v>7000</v>
      </c>
      <c r="D29" s="180">
        <v>30</v>
      </c>
      <c r="E29" s="180">
        <v>1</v>
      </c>
      <c r="F29" s="181">
        <v>233.33333329999999</v>
      </c>
      <c r="G29" s="180">
        <v>0</v>
      </c>
      <c r="H29" s="180">
        <v>0</v>
      </c>
      <c r="I29" s="180">
        <v>1</v>
      </c>
      <c r="J29" s="180">
        <v>0</v>
      </c>
      <c r="K29" s="180">
        <v>0</v>
      </c>
      <c r="L29" s="181">
        <v>233.33333329999999</v>
      </c>
      <c r="M29" s="181">
        <v>6766.6666670000004</v>
      </c>
      <c r="N29" s="180"/>
      <c r="O29" s="180"/>
      <c r="P29" s="180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spans="1:26" ht="14.25">
      <c r="A30" s="182">
        <v>28</v>
      </c>
      <c r="B30" s="192" t="s">
        <v>570</v>
      </c>
      <c r="C30" s="184">
        <v>12000</v>
      </c>
      <c r="D30" s="185">
        <v>30</v>
      </c>
      <c r="E30" s="185">
        <v>27</v>
      </c>
      <c r="F30" s="186">
        <v>400</v>
      </c>
      <c r="G30" s="185">
        <v>0</v>
      </c>
      <c r="H30" s="185">
        <v>0</v>
      </c>
      <c r="I30" s="185">
        <v>27</v>
      </c>
      <c r="J30" s="185">
        <v>0</v>
      </c>
      <c r="K30" s="185">
        <v>0</v>
      </c>
      <c r="L30" s="186">
        <v>10800</v>
      </c>
      <c r="M30" s="186">
        <v>1200</v>
      </c>
      <c r="N30" s="185"/>
      <c r="O30" s="185"/>
      <c r="P30" s="185" t="s">
        <v>571</v>
      </c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spans="1:26" ht="14.25">
      <c r="A31" s="177">
        <v>29</v>
      </c>
      <c r="B31" s="178" t="s">
        <v>572</v>
      </c>
      <c r="C31" s="179">
        <v>10000</v>
      </c>
      <c r="D31" s="180">
        <v>30</v>
      </c>
      <c r="E31" s="180">
        <v>10</v>
      </c>
      <c r="F31" s="181">
        <v>333.33333329999999</v>
      </c>
      <c r="G31" s="180">
        <v>0</v>
      </c>
      <c r="H31" s="180">
        <v>1.25</v>
      </c>
      <c r="I31" s="180">
        <v>13.25</v>
      </c>
      <c r="J31" s="180">
        <v>0</v>
      </c>
      <c r="K31" s="180">
        <v>0</v>
      </c>
      <c r="L31" s="181">
        <v>4416.6666670000004</v>
      </c>
      <c r="M31" s="181">
        <v>5583.3333329999996</v>
      </c>
      <c r="N31" s="180"/>
      <c r="O31" s="180"/>
      <c r="P31" s="180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spans="1:26" ht="14.25">
      <c r="A32" s="182">
        <v>30</v>
      </c>
      <c r="B32" s="192" t="s">
        <v>573</v>
      </c>
      <c r="C32" s="184">
        <v>10000</v>
      </c>
      <c r="D32" s="185">
        <v>30</v>
      </c>
      <c r="E32" s="185">
        <v>2</v>
      </c>
      <c r="F32" s="186">
        <v>333.33333329999999</v>
      </c>
      <c r="G32" s="185">
        <v>0</v>
      </c>
      <c r="H32" s="185">
        <v>0</v>
      </c>
      <c r="I32" s="185">
        <v>2</v>
      </c>
      <c r="J32" s="185">
        <v>0</v>
      </c>
      <c r="K32" s="185">
        <v>0</v>
      </c>
      <c r="L32" s="186">
        <v>666.66666669999995</v>
      </c>
      <c r="M32" s="186">
        <v>9333.3333330000005</v>
      </c>
      <c r="N32" s="185"/>
      <c r="O32" s="185"/>
      <c r="P32" s="18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spans="1:26" ht="14.25">
      <c r="A33" s="177">
        <v>31</v>
      </c>
      <c r="B33" s="178" t="s">
        <v>574</v>
      </c>
      <c r="C33" s="179">
        <v>10000</v>
      </c>
      <c r="D33" s="180">
        <v>30</v>
      </c>
      <c r="E33" s="180">
        <v>0</v>
      </c>
      <c r="F33" s="181">
        <v>333.33333329999999</v>
      </c>
      <c r="G33" s="180">
        <v>0</v>
      </c>
      <c r="H33" s="180">
        <v>0</v>
      </c>
      <c r="I33" s="180">
        <v>0</v>
      </c>
      <c r="J33" s="180">
        <v>166</v>
      </c>
      <c r="K33" s="180">
        <v>0</v>
      </c>
      <c r="L33" s="181">
        <v>0</v>
      </c>
      <c r="M33" s="181">
        <v>10166</v>
      </c>
      <c r="N33" s="180"/>
      <c r="O33" s="180"/>
      <c r="P33" s="180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spans="1:26" ht="14.25">
      <c r="A34" s="182">
        <v>32</v>
      </c>
      <c r="B34" s="192" t="s">
        <v>575</v>
      </c>
      <c r="C34" s="184">
        <v>8000</v>
      </c>
      <c r="D34" s="185">
        <v>30</v>
      </c>
      <c r="E34" s="185">
        <v>20</v>
      </c>
      <c r="F34" s="186">
        <v>266.66666670000001</v>
      </c>
      <c r="G34" s="185">
        <v>0</v>
      </c>
      <c r="H34" s="185">
        <v>0</v>
      </c>
      <c r="I34" s="185">
        <v>20</v>
      </c>
      <c r="J34" s="185">
        <v>0</v>
      </c>
      <c r="K34" s="185">
        <v>0</v>
      </c>
      <c r="L34" s="186">
        <v>5333.3333329999996</v>
      </c>
      <c r="M34" s="186">
        <v>2666.666667</v>
      </c>
      <c r="N34" s="185"/>
      <c r="O34" s="185"/>
      <c r="P34" s="185" t="s">
        <v>576</v>
      </c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spans="1:26">
      <c r="A35" s="177">
        <v>33</v>
      </c>
      <c r="B35" s="188" t="s">
        <v>577</v>
      </c>
      <c r="C35" s="189">
        <v>6000</v>
      </c>
      <c r="D35" s="190">
        <v>30</v>
      </c>
      <c r="E35" s="190">
        <v>10</v>
      </c>
      <c r="F35" s="191">
        <v>200</v>
      </c>
      <c r="G35" s="190">
        <v>0</v>
      </c>
      <c r="H35" s="190">
        <v>4.75</v>
      </c>
      <c r="I35" s="190">
        <v>14.75</v>
      </c>
      <c r="J35" s="190">
        <v>0</v>
      </c>
      <c r="K35" s="191">
        <v>1000</v>
      </c>
      <c r="L35" s="191">
        <v>2950</v>
      </c>
      <c r="M35" s="181">
        <v>2050</v>
      </c>
      <c r="N35" s="190"/>
      <c r="O35" s="190"/>
      <c r="P35" s="190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spans="1:26" ht="14.25">
      <c r="A36" s="182">
        <v>34</v>
      </c>
      <c r="B36" s="192" t="s">
        <v>578</v>
      </c>
      <c r="C36" s="184">
        <v>15000</v>
      </c>
      <c r="D36" s="185">
        <v>30</v>
      </c>
      <c r="E36" s="185">
        <v>0</v>
      </c>
      <c r="F36" s="186">
        <v>500</v>
      </c>
      <c r="G36" s="185">
        <v>0</v>
      </c>
      <c r="H36" s="185">
        <v>0</v>
      </c>
      <c r="I36" s="185">
        <v>0</v>
      </c>
      <c r="J36" s="185">
        <v>0</v>
      </c>
      <c r="K36" s="185">
        <v>800</v>
      </c>
      <c r="L36" s="186">
        <v>0</v>
      </c>
      <c r="M36" s="186">
        <v>14200</v>
      </c>
      <c r="N36" s="185"/>
      <c r="O36" s="185"/>
      <c r="P36" s="18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spans="1:26" ht="14.25">
      <c r="A37" s="177">
        <v>35</v>
      </c>
      <c r="B37" s="178" t="s">
        <v>579</v>
      </c>
      <c r="C37" s="179">
        <v>8000</v>
      </c>
      <c r="D37" s="180">
        <v>30</v>
      </c>
      <c r="E37" s="180">
        <v>2</v>
      </c>
      <c r="F37" s="181">
        <v>266.66666670000001</v>
      </c>
      <c r="G37" s="180">
        <v>0</v>
      </c>
      <c r="H37" s="180">
        <v>0.5</v>
      </c>
      <c r="I37" s="180">
        <v>2.5</v>
      </c>
      <c r="J37" s="180">
        <v>0</v>
      </c>
      <c r="K37" s="180">
        <v>0</v>
      </c>
      <c r="L37" s="181">
        <v>666.66666669999995</v>
      </c>
      <c r="M37" s="181">
        <v>7333.3333329999996</v>
      </c>
      <c r="N37" s="180"/>
      <c r="O37" s="180"/>
      <c r="P37" s="180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spans="1:26" ht="14.25">
      <c r="A38" s="182">
        <v>36</v>
      </c>
      <c r="B38" s="192" t="s">
        <v>580</v>
      </c>
      <c r="C38" s="184">
        <v>8000</v>
      </c>
      <c r="D38" s="185">
        <v>30</v>
      </c>
      <c r="E38" s="185">
        <v>2</v>
      </c>
      <c r="F38" s="186">
        <v>266.66666670000001</v>
      </c>
      <c r="G38" s="185">
        <v>0</v>
      </c>
      <c r="H38" s="185">
        <v>0.5</v>
      </c>
      <c r="I38" s="185">
        <v>2.5</v>
      </c>
      <c r="J38" s="185">
        <v>0</v>
      </c>
      <c r="K38" s="185">
        <v>0</v>
      </c>
      <c r="L38" s="186">
        <v>666.66666669999995</v>
      </c>
      <c r="M38" s="186">
        <v>7333.3333329999996</v>
      </c>
      <c r="N38" s="185"/>
      <c r="O38" s="185"/>
      <c r="P38" s="18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spans="1:26">
      <c r="A39" s="177">
        <v>37</v>
      </c>
      <c r="B39" s="188" t="s">
        <v>581</v>
      </c>
      <c r="C39" s="189">
        <v>8000</v>
      </c>
      <c r="D39" s="190">
        <v>30</v>
      </c>
      <c r="E39" s="190">
        <v>14</v>
      </c>
      <c r="F39" s="191">
        <v>266.66666670000001</v>
      </c>
      <c r="G39" s="190">
        <v>0</v>
      </c>
      <c r="H39" s="190">
        <v>7.25</v>
      </c>
      <c r="I39" s="190">
        <v>21.25</v>
      </c>
      <c r="J39" s="190">
        <v>0</v>
      </c>
      <c r="K39" s="190">
        <v>0</v>
      </c>
      <c r="L39" s="191">
        <v>5666.6666670000004</v>
      </c>
      <c r="M39" s="181">
        <v>2333.333333</v>
      </c>
      <c r="N39" s="190"/>
      <c r="O39" s="190">
        <v>17</v>
      </c>
      <c r="P39" s="190" t="s">
        <v>582</v>
      </c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spans="1:26">
      <c r="A40" s="182">
        <v>38</v>
      </c>
      <c r="B40" s="193" t="s">
        <v>583</v>
      </c>
      <c r="C40" s="194">
        <v>7000</v>
      </c>
      <c r="D40" s="195">
        <v>30</v>
      </c>
      <c r="E40" s="195">
        <v>22</v>
      </c>
      <c r="F40" s="196">
        <v>233.33333329999999</v>
      </c>
      <c r="G40" s="195">
        <v>0</v>
      </c>
      <c r="H40" s="195">
        <v>0</v>
      </c>
      <c r="I40" s="195">
        <v>22</v>
      </c>
      <c r="J40" s="195">
        <v>0</v>
      </c>
      <c r="K40" s="195">
        <v>0</v>
      </c>
      <c r="L40" s="196">
        <v>5133.3333329999996</v>
      </c>
      <c r="M40" s="186">
        <v>1866.666667</v>
      </c>
      <c r="N40" s="195"/>
      <c r="O40" s="195">
        <v>5</v>
      </c>
      <c r="P40" s="195" t="s">
        <v>545</v>
      </c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spans="1:26" ht="14.25">
      <c r="A41" s="177">
        <v>39</v>
      </c>
      <c r="B41" s="178" t="s">
        <v>584</v>
      </c>
      <c r="C41" s="179">
        <v>10000</v>
      </c>
      <c r="D41" s="180">
        <v>30</v>
      </c>
      <c r="E41" s="180">
        <v>0</v>
      </c>
      <c r="F41" s="181">
        <v>333.33333329999999</v>
      </c>
      <c r="G41" s="180">
        <v>0</v>
      </c>
      <c r="H41" s="180">
        <v>12.75</v>
      </c>
      <c r="I41" s="180">
        <v>12.75</v>
      </c>
      <c r="J41" s="180">
        <v>0</v>
      </c>
      <c r="K41" s="180">
        <v>0</v>
      </c>
      <c r="L41" s="181">
        <v>4250</v>
      </c>
      <c r="M41" s="181">
        <v>5750</v>
      </c>
      <c r="N41" s="180"/>
      <c r="O41" s="180"/>
      <c r="P41" s="180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spans="1:26" ht="14.25">
      <c r="A42" s="182">
        <v>40</v>
      </c>
      <c r="B42" s="192" t="s">
        <v>585</v>
      </c>
      <c r="C42" s="184">
        <v>6000</v>
      </c>
      <c r="D42" s="185">
        <v>30</v>
      </c>
      <c r="E42" s="185">
        <v>0</v>
      </c>
      <c r="F42" s="186">
        <v>200</v>
      </c>
      <c r="G42" s="185">
        <v>0</v>
      </c>
      <c r="H42" s="185">
        <v>0</v>
      </c>
      <c r="I42" s="185">
        <v>0</v>
      </c>
      <c r="J42" s="185">
        <v>420</v>
      </c>
      <c r="K42" s="185">
        <v>0</v>
      </c>
      <c r="L42" s="186">
        <v>0</v>
      </c>
      <c r="M42" s="186">
        <v>6420</v>
      </c>
      <c r="N42" s="185"/>
      <c r="O42" s="185"/>
      <c r="P42" s="18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spans="1:26" ht="14.25">
      <c r="A43" s="177"/>
      <c r="B43" s="178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spans="1:26">
      <c r="A44" s="200"/>
      <c r="B44" s="201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3" t="s">
        <v>586</v>
      </c>
      <c r="N44" s="202"/>
      <c r="O44" s="202"/>
      <c r="P44" s="202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spans="1:26" ht="14.25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spans="1:26" ht="14.25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spans="1:26" ht="14.25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spans="1:26" ht="14.25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spans="1:26" ht="14.25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spans="1:26" ht="14.25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spans="1:26" ht="14.25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spans="1:26" ht="14.25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spans="1:26" ht="14.25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spans="1:26" ht="14.25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spans="1:26" ht="14.25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spans="1:26" ht="14.25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spans="1:26" ht="14.25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spans="1:26" ht="14.25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spans="1:26" ht="14.25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spans="1:26" ht="14.25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spans="1:26" ht="14.25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spans="1:26" ht="14.25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spans="1:26" ht="14.25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spans="1:26" ht="14.25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spans="1:26" ht="14.25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spans="1:26" ht="14.25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spans="1:26" ht="14.25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spans="1:26" ht="14.25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spans="1:26" ht="14.25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spans="1:26" ht="14.25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spans="1:26" ht="14.25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spans="1:26" ht="14.25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spans="1:26" ht="14.25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spans="1:26" ht="14.25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spans="1:26" ht="14.25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spans="1:26" ht="14.25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spans="1:26" ht="14.25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spans="1:26" ht="14.25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spans="1:26" ht="14.25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spans="1:26" ht="14.25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spans="1:26" ht="14.25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spans="1:26" ht="14.25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spans="1:26" ht="14.25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spans="1:26" ht="14.25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spans="1:26" ht="14.25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spans="1:26" ht="14.25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spans="1:26" ht="14.25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spans="1:26" ht="14.25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spans="1:26" ht="14.25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spans="1:26" ht="14.25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spans="1:26" ht="14.25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spans="1:26" ht="14.25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spans="1:26" ht="14.25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spans="1:26" ht="14.25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spans="1:26" ht="14.25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spans="1:26" ht="14.25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spans="1:26" ht="14.25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spans="1:26" ht="14.25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spans="1:26" ht="14.25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spans="1:26" ht="14.25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spans="1:26" ht="14.25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spans="1:26" ht="14.25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spans="1:26" ht="14.25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spans="1:26" ht="14.25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spans="1:26" ht="14.25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spans="1:26" ht="14.25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spans="1:26" ht="14.25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spans="1:26" ht="14.25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spans="1:26" ht="14.25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spans="1:26" ht="14.25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spans="1:26" ht="14.25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spans="1:26" ht="14.25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spans="1:26" ht="14.25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spans="1:26" ht="14.25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spans="1:26" ht="14.25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spans="1:26" ht="14.25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spans="1:26" ht="14.25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spans="1:26" ht="14.25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spans="1:26" ht="14.25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spans="1:26" ht="14.25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spans="1:26" ht="14.25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spans="1:26" ht="14.25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spans="1:26" ht="14.25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spans="1:26" ht="14.25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spans="1:26" ht="14.2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spans="1:26" ht="14.25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spans="1:26" ht="14.25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spans="1:26" ht="14.25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spans="1:26" ht="14.25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spans="1:26" ht="14.25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spans="1:26" ht="14.25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spans="1:26" ht="14.25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spans="1:26" ht="14.25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spans="1:26" ht="14.25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spans="1:26" ht="14.2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spans="1:26" ht="14.25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spans="1:26" ht="14.25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spans="1:26" ht="14.25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spans="1:26" ht="14.25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spans="1:26" ht="14.25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spans="1:26" ht="14.25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spans="1:26" ht="14.25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spans="1:26" ht="14.25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spans="1:26" ht="14.25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spans="1:26" ht="14.2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spans="1:26" ht="14.25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spans="1:26" ht="14.25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spans="1:26" ht="14.25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spans="1:26" ht="14.25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spans="1:26" ht="14.25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spans="1:26" ht="14.25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spans="1:26" ht="14.25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spans="1:26" ht="14.25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spans="1:26" ht="14.25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spans="1:26" ht="14.2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spans="1:26" ht="14.25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spans="1:26" ht="14.25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spans="1:26" ht="14.25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spans="1:26" ht="14.25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spans="1:26" ht="14.25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spans="1:26" ht="14.25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spans="1:26" ht="14.25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spans="1:26" ht="14.25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spans="1:26" ht="14.25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spans="1:26" ht="14.2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spans="1:26" ht="14.25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spans="1:26" ht="14.25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spans="1:26" ht="14.25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spans="1:26" ht="14.25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spans="1:26" ht="14.25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spans="1:26" ht="14.25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spans="1:26" ht="14.25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spans="1:26" ht="14.25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spans="1:26" ht="14.25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spans="1:26" ht="14.2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spans="1:26" ht="14.25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spans="1:26" ht="14.25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spans="1:26" ht="14.25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spans="1:26" ht="14.25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spans="1:26" ht="14.25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spans="1:26" ht="14.25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spans="1:26" ht="14.25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spans="1:26" ht="14.25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spans="1:26" ht="14.25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spans="1:26" ht="14.2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spans="1:26" ht="14.25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spans="1:26" ht="14.25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spans="1:26" ht="14.25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spans="1:26" ht="14.25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spans="1:26" ht="14.25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spans="1:26" ht="14.25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spans="1:26" ht="14.25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spans="1:26" ht="14.25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spans="1:26" ht="14.25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spans="1:26" ht="14.2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spans="1:26" ht="14.25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spans="1:26" ht="14.25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spans="1:26" ht="14.25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spans="1:26" ht="14.25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spans="1:26" ht="14.25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spans="1:26" ht="14.25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spans="1:26" ht="14.25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spans="1:26" ht="14.25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spans="1:26" ht="14.25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spans="1:26" ht="14.2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spans="1:26" ht="14.25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spans="1:26" ht="14.25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spans="1:26" ht="14.25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spans="1:26" ht="14.25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spans="1:26" ht="14.25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spans="1:26" ht="14.25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spans="1:26" ht="14.25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spans="1:26" ht="14.25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spans="1:26" ht="14.25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spans="1:26" ht="14.2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spans="1:26" ht="14.25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spans="1:26" ht="14.25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spans="1:26" ht="14.25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spans="1:26" ht="14.25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spans="1:26" ht="14.25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spans="1:26" ht="14.25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spans="1:26" ht="14.25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spans="1:26" ht="14.25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spans="1:26" ht="14.25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spans="1:26" ht="14.2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spans="1:26" ht="14.25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spans="1:26" ht="14.25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spans="1:26" ht="14.25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spans="1:26" ht="14.25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spans="1:26" ht="14.25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spans="1:26" ht="14.25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spans="1:26" ht="14.25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spans="1:26" ht="14.25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spans="1:26" ht="14.25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spans="1:26" ht="14.2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spans="1:26" ht="14.25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spans="1:26" ht="14.25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spans="1:26" ht="14.25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spans="1:26" ht="14.25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spans="1:26" ht="14.25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spans="1:26" ht="14.25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spans="1:26" ht="14.25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spans="1:26" ht="14.25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spans="1:26" ht="14.25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spans="1:26" ht="14.2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spans="1:26" ht="14.25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spans="1:26" ht="14.25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spans="1:26" ht="14.25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spans="1:26" ht="14.25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spans="1:26" ht="14.25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spans="1:26" ht="14.25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spans="1:26" ht="14.25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spans="1:26" ht="14.25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spans="1:26" ht="14.25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spans="1:26" ht="14.2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spans="1:26" ht="14.25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spans="1:26" ht="14.25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spans="1:26" ht="14.25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spans="1:26" ht="14.25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spans="1:26" ht="14.25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spans="1:26" ht="14.25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spans="1:26" ht="14.25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spans="1:26" ht="14.25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spans="1:26" ht="14.25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spans="1:26" ht="14.25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spans="1:26" ht="14.25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spans="1:26" ht="14.25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spans="1:26" ht="14.25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spans="1:26" ht="14.25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spans="1:26" ht="14.25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spans="1:26" ht="14.25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spans="1:26" ht="14.25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spans="1:26" ht="14.25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spans="1:26" ht="14.25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spans="1:26" ht="14.25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spans="1:26" ht="14.25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spans="1:26" ht="14.25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spans="1:26" ht="14.25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spans="1:26" ht="14.25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spans="1:26" ht="14.25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spans="1:26" ht="14.25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spans="1:26" ht="14.25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spans="1:26" ht="14.25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spans="1:26" ht="14.25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spans="1:26" ht="14.25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spans="1:26" ht="14.25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spans="1:26" ht="14.25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spans="1:26" ht="14.25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spans="1:26" ht="14.25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spans="1:26" ht="14.25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spans="1:26" ht="14.25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spans="1:26" ht="14.25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spans="1:26" ht="14.25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spans="1:26" ht="14.25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spans="1:26" ht="14.25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spans="1:26" ht="14.25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spans="1:26" ht="14.25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spans="1:26" ht="14.25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spans="1:26" ht="14.25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spans="1:26" ht="14.25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spans="1:26" ht="14.25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spans="1:26" ht="14.25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spans="1:26" ht="14.25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spans="1:26" ht="14.25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spans="1:26" ht="14.25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spans="1:26" ht="14.25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spans="1:26" ht="14.25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spans="1:26" ht="14.25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spans="1:26" ht="14.25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spans="1:26" ht="14.25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spans="1:26" ht="14.25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spans="1:26" ht="14.25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spans="1:26" ht="14.25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spans="1:26" ht="14.25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spans="1:26" ht="14.25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spans="1:26" ht="14.25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spans="1:26" ht="14.25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spans="1:26" ht="14.25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spans="1:26" ht="14.25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spans="1:26" ht="14.25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spans="1:26" ht="14.25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spans="1:26" ht="14.25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spans="1:26" ht="14.25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spans="1:26" ht="14.25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spans="1:26" ht="14.25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spans="1:26" ht="14.25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spans="1:26" ht="14.25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spans="1:26" ht="14.25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spans="1:26" ht="14.25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spans="1:26" ht="14.25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spans="1:26" ht="14.25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spans="1:26" ht="14.25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spans="1:26" ht="14.25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spans="1:26" ht="14.25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spans="1:26" ht="14.25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spans="1:26" ht="14.25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spans="1:26" ht="14.25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spans="1:26" ht="14.25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spans="1:26" ht="14.25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spans="1:26" ht="14.25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spans="1:26" ht="14.25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spans="1:26" ht="14.25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spans="1:26" ht="14.25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spans="1:26" ht="14.25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spans="1:26" ht="14.25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spans="1:26" ht="14.25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spans="1:26" ht="14.25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spans="1:26" ht="14.25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spans="1:26" ht="14.25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spans="1:26" ht="14.25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spans="1:26" ht="14.25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spans="1:26" ht="14.25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spans="1:26" ht="14.25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spans="1:26" ht="14.25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spans="1:26" ht="14.25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spans="1:26" ht="14.25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spans="1:26" ht="14.25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spans="1:26" ht="14.25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spans="1:26" ht="14.25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spans="1:26" ht="14.25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spans="1:26" ht="14.25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spans="1:26" ht="14.25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spans="1:26" ht="14.25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spans="1:26" ht="14.25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spans="1:26" ht="14.25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spans="1:26" ht="14.25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spans="1:26" ht="14.25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spans="1:26" ht="14.25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spans="1:26" ht="14.25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spans="1:26" ht="14.25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spans="1:26" ht="14.25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spans="1:26" ht="14.25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spans="1:26" ht="14.25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spans="1:26" ht="14.25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spans="1:26" ht="14.25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spans="1:26" ht="14.25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spans="1:26" ht="14.25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spans="1:26" ht="14.25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spans="1:26" ht="14.25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spans="1:26" ht="14.25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spans="1:26" ht="14.25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spans="1:26" ht="14.25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spans="1:26" ht="14.25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spans="1:26" ht="14.25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spans="1:26" ht="14.25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spans="1:26" ht="14.25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spans="1:26" ht="14.25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spans="1:26" ht="14.25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spans="1:26" ht="14.25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spans="1:26" ht="14.25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spans="1:26" ht="14.25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spans="1:26" ht="14.25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spans="1:26" ht="14.25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spans="1:26" ht="14.25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spans="1:26" ht="14.25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spans="1:26" ht="14.25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spans="1:26" ht="14.25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spans="1:26" ht="14.25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spans="1:26" ht="14.25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spans="1:26" ht="14.25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spans="1:26" ht="14.25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spans="1:26" ht="14.25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spans="1:26" ht="14.25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spans="1:26" ht="14.25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spans="1:26" ht="14.25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spans="1:26" ht="14.25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spans="1:26" ht="14.25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spans="1:26" ht="14.25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spans="1:26" ht="14.25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spans="1:26" ht="14.25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spans="1:26" ht="14.25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spans="1:26" ht="14.25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spans="1:26" ht="14.25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spans="1:26" ht="14.25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spans="1:26" ht="14.25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spans="1:26" ht="14.25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spans="1:26" ht="14.25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spans="1:26" ht="14.25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spans="1:26" ht="14.25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spans="1:26" ht="14.25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spans="1:26" ht="14.25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spans="1:26" ht="14.25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spans="1:26" ht="14.25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spans="1:26" ht="14.25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spans="1:26" ht="14.25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spans="1:26" ht="14.25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spans="1:26" ht="14.25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spans="1:26" ht="14.25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spans="1:26" ht="14.25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spans="1:26" ht="14.25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spans="1:26" ht="14.25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spans="1:26" ht="14.25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spans="1:26" ht="14.25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spans="1:26" ht="14.25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spans="1:26" ht="14.25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spans="1:26" ht="14.25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spans="1:26" ht="14.25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spans="1:26" ht="14.25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spans="1:26" ht="14.25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spans="1:26" ht="14.25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spans="1:26" ht="14.25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spans="1:26" ht="14.25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spans="1:26" ht="14.25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spans="1:26" ht="14.25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spans="1:26" ht="14.25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spans="1:26" ht="14.25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spans="1:26" ht="14.25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spans="1:26" ht="14.25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spans="1:26" ht="14.25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spans="1:26" ht="14.25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spans="1:26" ht="14.25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spans="1:26" ht="14.25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spans="1:26" ht="14.25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spans="1:26" ht="14.25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spans="1:26" ht="14.25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spans="1:26" ht="14.25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spans="1:26" ht="14.25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spans="1:26" ht="14.25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spans="1:26" ht="14.25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spans="1:26" ht="14.25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spans="1:26" ht="14.25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spans="1:26" ht="14.25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spans="1:26" ht="14.25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spans="1:26" ht="14.25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spans="1:26" ht="14.25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spans="1:26" ht="14.25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spans="1:26" ht="14.25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spans="1:26" ht="14.25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spans="1:26" ht="14.25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spans="1:26" ht="14.25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spans="1:26" ht="14.25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spans="1:26" ht="14.25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spans="1:26" ht="14.25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spans="1:26" ht="14.25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spans="1:26" ht="14.25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spans="1:26" ht="14.25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spans="1:26" ht="14.25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spans="1:26" ht="14.25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spans="1:26" ht="14.25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spans="1:26" ht="14.25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spans="1:26" ht="14.25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spans="1:26" ht="14.25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spans="1:26" ht="14.25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spans="1:26" ht="14.25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spans="1:26" ht="14.25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spans="1:26" ht="14.25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spans="1:26" ht="14.25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spans="1:26" ht="14.25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spans="1:26" ht="14.25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spans="1:26" ht="14.25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spans="1:26" ht="14.25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spans="1:26" ht="14.25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spans="1:26" ht="14.25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spans="1:26" ht="14.25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spans="1:26" ht="14.25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spans="1:26" ht="14.25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spans="1:26" ht="14.25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spans="1:26" ht="14.25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spans="1:26" ht="14.25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spans="1:26" ht="14.25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spans="1:26" ht="14.25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spans="1:26" ht="14.25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spans="1:26" ht="14.25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spans="1:26" ht="14.25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spans="1:26" ht="14.25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spans="1:26" ht="14.25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spans="1:26" ht="14.25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spans="1:26" ht="14.25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spans="1:26" ht="14.25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spans="1:26" ht="14.25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spans="1:26" ht="14.25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spans="1:26" ht="14.25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spans="1:26" ht="14.25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spans="1:26" ht="14.25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spans="1:26" ht="14.25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spans="1:26" ht="14.25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spans="1:26" ht="14.25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spans="1:26" ht="14.25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spans="1:26" ht="14.25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spans="1:26" ht="14.25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spans="1:26" ht="14.25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spans="1:26" ht="14.25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spans="1:26" ht="14.25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spans="1:26" ht="14.25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spans="1:26" ht="14.25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spans="1:26" ht="14.25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spans="1:26" ht="14.25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spans="1:26" ht="14.25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spans="1:26" ht="14.25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spans="1:26" ht="14.25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spans="1:26" ht="14.25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spans="1:26" ht="14.25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spans="1:26" ht="14.25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spans="1:26" ht="14.25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spans="1:26" ht="14.25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spans="1:26" ht="14.25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spans="1:26" ht="14.25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spans="1:26" ht="14.25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spans="1:26" ht="14.25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spans="1:26" ht="14.25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spans="1:26" ht="14.25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spans="1:26" ht="14.25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spans="1:26" ht="14.25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spans="1:26" ht="14.25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spans="1:26" ht="14.25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spans="1:26" ht="14.25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spans="1:26" ht="14.25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spans="1:26" ht="14.25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spans="1:26" ht="14.25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spans="1:26" ht="14.25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spans="1:26" ht="14.25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spans="1:26" ht="14.25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spans="1:26" ht="14.25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spans="1:26" ht="14.25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spans="1:26" ht="14.25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spans="1:26" ht="14.25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spans="1:26" ht="14.25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spans="1:26" ht="14.25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spans="1:26" ht="14.25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spans="1:26" ht="14.25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spans="1:26" ht="14.25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spans="1:26" ht="14.25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spans="1:26" ht="14.25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spans="1:26" ht="14.25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spans="1:26" ht="14.25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spans="1:26" ht="14.25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spans="1:26" ht="14.25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spans="1:26" ht="14.25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spans="1:26" ht="14.25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spans="1:26" ht="14.25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spans="1:26" ht="14.25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spans="1:26" ht="14.25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spans="1:26" ht="14.25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spans="1:26" ht="14.25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spans="1:26" ht="14.25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spans="1:26" ht="14.25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spans="1:26" ht="14.25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spans="1:26" ht="14.25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spans="1:26" ht="14.25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spans="1:26" ht="14.25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spans="1:26" ht="14.25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spans="1:26" ht="14.25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spans="1:26" ht="14.25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spans="1:26" ht="14.25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spans="1:26" ht="14.25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spans="1:26" ht="14.25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spans="1:26" ht="14.25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spans="1:26" ht="14.25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spans="1:26" ht="14.25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spans="1:26" ht="14.25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spans="1:26" ht="14.25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spans="1:26" ht="14.25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spans="1:26" ht="14.25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spans="1:26" ht="14.25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spans="1:26" ht="14.25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spans="1:26" ht="14.25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spans="1:26" ht="14.25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spans="1:26" ht="14.25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spans="1:26" ht="14.25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spans="1:26" ht="14.25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spans="1:26" ht="14.25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spans="1:26" ht="14.25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spans="1:26" ht="14.25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spans="1:26" ht="14.25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spans="1:26" ht="14.25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spans="1:26" ht="14.25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spans="1:26" ht="14.25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spans="1:26" ht="14.25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spans="1:26" ht="14.25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spans="1:26" ht="14.25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spans="1:26" ht="14.25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spans="1:26" ht="14.25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spans="1:26" ht="14.25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spans="1:26" ht="14.25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spans="1:26" ht="14.25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spans="1:26" ht="14.25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spans="1:26" ht="14.25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spans="1:26" ht="14.25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spans="1:26" ht="14.25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spans="1:26" ht="14.25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spans="1:26" ht="14.25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spans="1:26" ht="14.25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spans="1:26" ht="14.25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spans="1:26" ht="14.25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spans="1:26" ht="14.25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spans="1:26" ht="14.25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spans="1:26" ht="14.25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spans="1:26" ht="14.25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spans="1:26" ht="14.25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spans="1:26" ht="14.25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spans="1:26" ht="14.25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spans="1:26" ht="14.25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spans="1:26" ht="14.25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spans="1:26" ht="14.25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spans="1:26" ht="14.25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spans="1:26" ht="14.25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spans="1:26" ht="14.25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spans="1:26" ht="14.25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spans="1:26" ht="14.25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spans="1:26" ht="14.25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spans="1:26" ht="14.25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spans="1:26" ht="14.25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spans="1:26" ht="14.25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spans="1:26" ht="14.25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spans="1:26" ht="14.25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spans="1:26" ht="14.25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spans="1:26" ht="14.25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spans="1:26" ht="14.25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spans="1:26" ht="14.25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spans="1:26" ht="14.25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spans="1:26" ht="14.25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spans="1:26" ht="14.25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spans="1:26" ht="14.25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spans="1:26" ht="14.25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spans="1:26" ht="14.25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spans="1:26" ht="14.25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spans="1:26" ht="14.25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spans="1:26" ht="14.25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spans="1:26" ht="14.25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spans="1:26" ht="14.25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spans="1:26" ht="14.25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spans="1:26" ht="14.25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spans="1:26" ht="14.25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spans="1:26" ht="14.25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spans="1:26" ht="14.25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spans="1:26" ht="14.25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spans="1:26" ht="14.25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spans="1:26" ht="14.25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spans="1:26" ht="14.25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spans="1:26" ht="14.25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spans="1:26" ht="14.25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spans="1:26" ht="14.25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spans="1:26" ht="14.25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spans="1:26" ht="14.25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spans="1:26" ht="14.25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spans="1:26" ht="14.25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spans="1:26" ht="14.25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spans="1:26" ht="14.25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spans="1:26" ht="14.25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spans="1:26" ht="14.25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spans="1:26" ht="14.25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spans="1:26" ht="14.25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spans="1:26" ht="14.25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spans="1:26" ht="14.25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spans="1:26" ht="14.25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spans="1:26" ht="14.25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spans="1:26" ht="14.25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spans="1:26" ht="14.25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spans="1:26" ht="14.25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spans="1:26" ht="14.25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spans="1:26" ht="14.25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spans="1:26" ht="14.25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spans="1:26" ht="14.25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spans="1:26" ht="14.25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spans="1:26" ht="14.25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spans="1:26" ht="14.25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spans="1:26" ht="14.25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spans="1:26" ht="14.25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spans="1:26" ht="14.25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spans="1:26" ht="14.25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spans="1:26" ht="14.25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spans="1:26" ht="14.25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spans="1:26" ht="14.25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spans="1:26" ht="14.25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spans="1:26" ht="14.25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spans="1:26" ht="14.25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spans="1:26" ht="14.25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spans="1:26" ht="14.25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spans="1:26" ht="14.25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spans="1:26" ht="14.25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spans="1:26" ht="14.25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spans="1:26" ht="14.25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spans="1:26" ht="14.25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spans="1:26" ht="14.25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spans="1:26" ht="14.25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spans="1:26" ht="14.25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spans="1:26" ht="14.25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spans="1:26" ht="14.25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spans="1:26" ht="14.25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spans="1:26" ht="14.25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spans="1:26" ht="14.25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spans="1:26" ht="14.25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spans="1:26" ht="14.25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spans="1:26" ht="14.25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spans="1:26" ht="14.25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spans="1:26" ht="14.25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spans="1:26" ht="14.25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spans="1:26" ht="14.25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spans="1:26" ht="14.25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spans="1:26" ht="14.25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spans="1:26" ht="14.25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spans="1:26" ht="14.25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spans="1:26" ht="14.25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spans="1:26" ht="14.25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spans="1:26" ht="14.25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spans="1:26" ht="14.25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spans="1:26" ht="14.25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spans="1:26" ht="14.25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spans="1:26" ht="14.25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spans="1:26" ht="14.25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spans="1:26" ht="14.25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spans="1:26" ht="14.25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spans="1:26" ht="14.25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spans="1:26" ht="14.25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spans="1:26" ht="14.25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spans="1:26" ht="14.25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spans="1:26" ht="14.25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spans="1:26" ht="14.25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spans="1:26" ht="14.25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spans="1:26" ht="14.25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spans="1:26" ht="14.25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spans="1:26" ht="14.25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spans="1:26" ht="14.25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spans="1:26" ht="14.25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spans="1:26" ht="14.25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spans="1:26" ht="14.25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spans="1:26" ht="14.25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spans="1:26" ht="14.25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spans="1:26" ht="14.25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spans="1:26" ht="14.25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spans="1:26" ht="14.25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spans="1:26" ht="14.25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spans="1:26" ht="14.25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spans="1:26" ht="14.25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spans="1:26" ht="14.25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spans="1:26" ht="14.25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spans="1:26" ht="14.25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spans="1:26" ht="14.25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spans="1:26" ht="14.25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spans="1:26" ht="14.25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spans="1:26" ht="14.25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spans="1:26" ht="14.25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spans="1:26" ht="14.25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spans="1:26" ht="14.25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spans="1:26" ht="14.25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spans="1:26" ht="14.25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spans="1:26" ht="14.25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spans="1:26" ht="14.25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spans="1:26" ht="14.25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spans="1:26" ht="14.25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spans="1:26" ht="14.25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spans="1:26" ht="14.25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spans="1:26" ht="14.25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spans="1:26" ht="14.25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spans="1:26" ht="14.25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spans="1:26" ht="14.25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spans="1:26" ht="14.25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spans="1:26" ht="14.25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spans="1:26" ht="14.25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spans="1:26" ht="14.25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spans="1:26" ht="14.25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spans="1:26" ht="14.25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spans="1:26" ht="14.25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spans="1:26" ht="14.25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spans="1:26" ht="14.25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spans="1:26" ht="14.25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spans="1:26" ht="14.25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spans="1:26" ht="14.25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spans="1:26" ht="14.25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spans="1:26" ht="14.25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spans="1:26" ht="14.25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spans="1:26" ht="14.25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spans="1:26" ht="14.25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spans="1:26" ht="14.25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spans="1:26" ht="14.25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spans="1:26" ht="14.25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spans="1:26" ht="14.25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spans="1:26" ht="14.25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spans="1:26" ht="14.25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spans="1:26" ht="14.25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spans="1:26" ht="14.25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spans="1:26" ht="14.25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spans="1:26" ht="14.25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spans="1:26" ht="14.25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spans="1:26" ht="14.25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spans="1:26" ht="14.25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spans="1:26" ht="14.25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spans="1:26" ht="14.25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spans="1:26" ht="14.25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spans="1:26" ht="14.25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spans="1:26" ht="14.25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spans="1:26" ht="14.25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spans="1:26" ht="14.25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spans="1:26" ht="14.25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spans="1:26" ht="14.25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spans="1:26" ht="14.25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spans="1:26" ht="14.25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spans="1:26" ht="14.25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spans="1:26" ht="14.25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spans="1:26" ht="14.25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spans="1:26" ht="14.25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spans="1:26" ht="14.25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spans="1:26" ht="14.25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spans="1:26" ht="14.25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spans="1:26" ht="14.25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spans="1:26" ht="14.25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spans="1:26" ht="14.25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spans="1:26" ht="14.25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spans="1:26" ht="14.25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spans="1:26" ht="14.25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spans="1:26" ht="14.25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spans="1:26" ht="14.25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spans="1:26" ht="14.25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spans="1:26" ht="14.25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spans="1:26" ht="14.25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spans="1:26" ht="14.25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spans="1:26" ht="14.25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spans="1:26" ht="14.25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spans="1:26" ht="14.25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spans="1:26" ht="14.25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spans="1:26" ht="14.25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spans="1:26" ht="14.25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spans="1:26" ht="14.25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spans="1:26" ht="14.25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spans="1:26" ht="14.25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spans="1:26" ht="14.25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spans="1:26" ht="14.25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spans="1:26" ht="14.25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spans="1:26" ht="14.25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spans="1:26" ht="14.25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spans="1:26" ht="14.25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spans="1:26" ht="14.25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spans="1:26" ht="14.25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spans="1:26" ht="14.25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spans="1:26" ht="14.25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spans="1:26" ht="14.25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spans="1:26" ht="14.25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spans="1:26" ht="14.25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spans="1:26" ht="14.25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spans="1:26" ht="14.25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spans="1:26" ht="14.25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spans="1:26" ht="14.25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spans="1:26" ht="14.25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spans="1:26" ht="14.25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spans="1:26" ht="14.25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spans="1:26" ht="14.25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spans="1:26" ht="14.25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spans="1:26" ht="14.25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spans="1:26" ht="14.25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spans="1:26" ht="14.25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spans="1:26" ht="14.25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spans="1:26" ht="14.25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spans="1:26" ht="14.25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spans="1:26" ht="14.25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spans="1:26" ht="14.25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spans="1:26" ht="14.25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spans="1:26" ht="14.25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spans="1:26" ht="14.25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spans="1:26" ht="14.25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spans="1:26" ht="14.25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spans="1:26" ht="14.25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spans="1:26" ht="14.25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spans="1:26" ht="14.25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spans="1:26" ht="14.25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spans="1:26" ht="14.25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spans="1:26" ht="14.25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spans="1:26" ht="14.25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spans="1:26" ht="14.25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spans="1:26" ht="14.25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spans="1:26" ht="14.25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spans="1:26" ht="14.25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spans="1:26" ht="14.25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spans="1:26" ht="14.25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spans="1:26" ht="14.25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spans="1:26" ht="14.25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spans="1:26" ht="14.25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spans="1:26" ht="14.25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spans="1:26" ht="14.25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spans="1:26" ht="14.25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spans="1:26" ht="14.25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spans="1:26" ht="14.25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spans="1:26" ht="14.25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spans="1:26" ht="14.25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spans="1:26" ht="14.25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spans="1:26" ht="14.25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spans="1:26" ht="14.25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spans="1:26" ht="14.25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spans="1:26" ht="14.25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spans="1:26" ht="14.25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spans="1:26" ht="14.25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spans="1:26" ht="14.25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spans="1:26" ht="14.25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spans="1:26" ht="14.25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spans="1:26" ht="14.25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spans="1:26" ht="14.25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spans="1:26" ht="14.25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spans="1:26" ht="14.25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spans="1:26" ht="14.25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spans="1:26" ht="14.25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spans="1:26" ht="14.25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spans="1:26" ht="14.25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spans="1:26" ht="14.25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spans="1:26" ht="14.25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spans="1:26" ht="14.25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spans="1:26" ht="14.25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spans="1:26" ht="14.25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spans="1:26" ht="14.25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spans="1:26" ht="14.25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spans="1:26" ht="14.25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spans="1:26" ht="14.25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spans="1:26" ht="14.25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spans="1:26" ht="14.25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spans="1:26" ht="14.25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spans="1:26" ht="14.25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spans="1:26" ht="14.25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spans="1:26" ht="14.25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spans="1:26" ht="14.25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spans="1:26" ht="14.25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spans="1:26" ht="14.25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spans="1:26" ht="14.25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spans="1:26" ht="14.25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spans="1:26" ht="14.25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spans="1:26" ht="14.25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spans="1:26" ht="14.25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spans="1:26" ht="14.25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spans="1:26" ht="14.25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spans="1:26" ht="14.25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spans="1:26" ht="14.25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spans="1:26" ht="14.25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spans="1:26" ht="14.25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spans="1:26" ht="14.25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spans="1:26" ht="14.25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spans="1:26" ht="14.25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spans="1:26" ht="14.25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spans="1:26" ht="14.25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spans="1:26" ht="14.25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spans="1:26" ht="14.25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spans="1:26" ht="14.25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spans="1:26" ht="14.25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spans="1:26" ht="14.25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spans="1:26" ht="14.25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spans="1:26" ht="14.25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spans="1:26" ht="14.25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spans="1:26" ht="14.25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spans="1:26" ht="14.25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spans="1:26" ht="14.25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spans="1:26" ht="14.25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spans="1:26" ht="14.25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spans="1:26" ht="14.25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spans="1:26" ht="14.25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spans="1:26" ht="14.25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spans="1:26" ht="14.25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spans="1:26" ht="14.25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spans="1:26" ht="14.25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spans="1:26" ht="14.25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spans="1:26" ht="14.25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spans="1:26" ht="14.25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spans="1:26" ht="14.25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spans="1:26" ht="14.25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spans="1:26" ht="14.25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spans="1:26" ht="14.25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spans="1:26" ht="14.25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spans="1:26" ht="14.25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spans="1:26" ht="14.25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spans="1:26" ht="14.25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spans="1:26" ht="14.25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spans="1:26" ht="14.25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spans="1:26" ht="14.25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spans="1:26" ht="14.25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spans="1:26" ht="14.25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autoFilter ref="A1:P42" xr:uid="{00000000-0009-0000-0000-000003000000}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46"/>
  <sheetViews>
    <sheetView workbookViewId="0"/>
  </sheetViews>
  <sheetFormatPr defaultColWidth="12.5703125" defaultRowHeight="15" customHeight="1"/>
  <cols>
    <col min="1" max="1" width="5.140625" customWidth="1"/>
    <col min="2" max="2" width="56.42578125" customWidth="1"/>
    <col min="3" max="3" width="19" customWidth="1"/>
  </cols>
  <sheetData>
    <row r="1" spans="1:6" ht="15" customHeight="1">
      <c r="A1" s="273" t="s">
        <v>587</v>
      </c>
      <c r="B1" s="272"/>
      <c r="C1" s="272"/>
      <c r="D1" s="204"/>
      <c r="E1" s="204"/>
      <c r="F1" s="204"/>
    </row>
    <row r="2" spans="1:6" ht="15" customHeight="1">
      <c r="A2" s="205">
        <v>1</v>
      </c>
      <c r="B2" s="206" t="s">
        <v>588</v>
      </c>
      <c r="C2" s="207" t="s">
        <v>589</v>
      </c>
      <c r="D2" s="204"/>
      <c r="E2" s="204"/>
      <c r="F2" s="204"/>
    </row>
    <row r="3" spans="1:6" ht="15" customHeight="1">
      <c r="A3" s="205">
        <v>2</v>
      </c>
      <c r="B3" s="208" t="s">
        <v>540</v>
      </c>
      <c r="C3" s="207" t="s">
        <v>590</v>
      </c>
      <c r="D3" s="204"/>
      <c r="E3" s="204"/>
      <c r="F3" s="204"/>
    </row>
    <row r="4" spans="1:6" ht="15" customHeight="1">
      <c r="A4" s="205">
        <v>3</v>
      </c>
      <c r="B4" s="208" t="s">
        <v>543</v>
      </c>
      <c r="C4" s="207" t="s">
        <v>591</v>
      </c>
      <c r="D4" s="204"/>
      <c r="E4" s="204"/>
      <c r="F4" s="209"/>
    </row>
    <row r="5" spans="1:6" ht="15" customHeight="1">
      <c r="A5" s="205">
        <v>4</v>
      </c>
      <c r="B5" s="208" t="s">
        <v>544</v>
      </c>
      <c r="C5" s="207" t="s">
        <v>592</v>
      </c>
      <c r="D5" s="204"/>
      <c r="E5" s="204"/>
      <c r="F5" s="209"/>
    </row>
    <row r="6" spans="1:6" ht="15" customHeight="1">
      <c r="A6" s="205">
        <v>5</v>
      </c>
      <c r="B6" s="208" t="s">
        <v>548</v>
      </c>
      <c r="C6" s="207" t="s">
        <v>593</v>
      </c>
      <c r="D6" s="204"/>
      <c r="E6" s="204"/>
      <c r="F6" s="209"/>
    </row>
    <row r="7" spans="1:6" ht="15" customHeight="1">
      <c r="A7" s="205">
        <v>6</v>
      </c>
      <c r="B7" s="208" t="s">
        <v>549</v>
      </c>
      <c r="C7" s="207" t="s">
        <v>594</v>
      </c>
      <c r="D7" s="204"/>
      <c r="E7" s="204"/>
      <c r="F7" s="209"/>
    </row>
    <row r="8" spans="1:6" ht="15" customHeight="1">
      <c r="A8" s="205">
        <v>7</v>
      </c>
      <c r="B8" s="208" t="s">
        <v>550</v>
      </c>
      <c r="C8" s="207" t="s">
        <v>595</v>
      </c>
      <c r="D8" s="204" t="s">
        <v>596</v>
      </c>
      <c r="E8" s="204"/>
      <c r="F8" s="209"/>
    </row>
    <row r="9" spans="1:6" ht="15" customHeight="1">
      <c r="A9" s="205">
        <v>8</v>
      </c>
      <c r="B9" s="210" t="s">
        <v>555</v>
      </c>
      <c r="C9" s="207" t="s">
        <v>597</v>
      </c>
      <c r="D9" s="204"/>
      <c r="E9" s="204"/>
      <c r="F9" s="209"/>
    </row>
    <row r="10" spans="1:6" ht="15" customHeight="1">
      <c r="A10" s="205">
        <v>9</v>
      </c>
      <c r="B10" s="208" t="s">
        <v>558</v>
      </c>
      <c r="C10" s="207" t="s">
        <v>598</v>
      </c>
      <c r="D10" s="204"/>
      <c r="E10" s="204"/>
      <c r="F10" s="209"/>
    </row>
    <row r="11" spans="1:6" ht="15" customHeight="1">
      <c r="A11" s="205">
        <v>10</v>
      </c>
      <c r="B11" s="210" t="s">
        <v>559</v>
      </c>
      <c r="C11" s="207" t="s">
        <v>599</v>
      </c>
      <c r="D11" s="204"/>
      <c r="E11" s="204"/>
      <c r="F11" s="209"/>
    </row>
    <row r="12" spans="1:6" ht="15" customHeight="1">
      <c r="A12" s="205">
        <v>11</v>
      </c>
      <c r="B12" s="210" t="s">
        <v>564</v>
      </c>
      <c r="C12" s="207" t="s">
        <v>600</v>
      </c>
      <c r="D12" s="204"/>
      <c r="E12" s="204"/>
      <c r="F12" s="209"/>
    </row>
    <row r="13" spans="1:6" ht="15" customHeight="1">
      <c r="A13" s="205">
        <v>12</v>
      </c>
      <c r="B13" s="210" t="s">
        <v>566</v>
      </c>
      <c r="C13" s="207" t="s">
        <v>601</v>
      </c>
      <c r="D13" s="204"/>
      <c r="E13" s="204"/>
      <c r="F13" s="209"/>
    </row>
    <row r="14" spans="1:6" ht="15" customHeight="1">
      <c r="A14" s="205">
        <v>13</v>
      </c>
      <c r="B14" s="210" t="s">
        <v>568</v>
      </c>
      <c r="C14" s="207" t="s">
        <v>602</v>
      </c>
      <c r="D14" s="204"/>
      <c r="E14" s="204"/>
      <c r="F14" s="204"/>
    </row>
    <row r="15" spans="1:6" ht="15" customHeight="1">
      <c r="A15" s="205">
        <v>14</v>
      </c>
      <c r="B15" s="210" t="s">
        <v>570</v>
      </c>
      <c r="C15" s="207" t="s">
        <v>603</v>
      </c>
      <c r="D15" s="204"/>
      <c r="E15" s="204"/>
      <c r="F15" s="204"/>
    </row>
    <row r="16" spans="1:6" ht="15" customHeight="1">
      <c r="A16" s="205">
        <v>15</v>
      </c>
      <c r="B16" s="210" t="s">
        <v>572</v>
      </c>
      <c r="C16" s="207">
        <v>6250</v>
      </c>
      <c r="D16" s="204" t="s">
        <v>596</v>
      </c>
      <c r="E16" s="204"/>
      <c r="F16" s="204"/>
    </row>
    <row r="17" spans="1:6" ht="15" customHeight="1">
      <c r="A17" s="205">
        <v>16</v>
      </c>
      <c r="B17" s="210" t="s">
        <v>575</v>
      </c>
      <c r="C17" s="207" t="s">
        <v>604</v>
      </c>
      <c r="D17" s="204"/>
      <c r="E17" s="204"/>
      <c r="F17" s="204"/>
    </row>
    <row r="18" spans="1:6" ht="15" customHeight="1">
      <c r="A18" s="205">
        <v>17</v>
      </c>
      <c r="B18" s="210" t="s">
        <v>577</v>
      </c>
      <c r="C18" s="207" t="s">
        <v>605</v>
      </c>
      <c r="D18" s="204"/>
      <c r="E18" s="204"/>
      <c r="F18" s="204"/>
    </row>
    <row r="19" spans="1:6" ht="15" customHeight="1">
      <c r="A19" s="205">
        <v>18</v>
      </c>
      <c r="B19" s="208" t="s">
        <v>581</v>
      </c>
      <c r="C19" s="207" t="s">
        <v>606</v>
      </c>
      <c r="D19" s="204"/>
      <c r="E19" s="204"/>
      <c r="F19" s="204"/>
    </row>
    <row r="20" spans="1:6" ht="15" customHeight="1">
      <c r="A20" s="205">
        <v>19</v>
      </c>
      <c r="B20" s="211" t="s">
        <v>607</v>
      </c>
      <c r="C20" s="212" t="s">
        <v>608</v>
      </c>
      <c r="D20" s="204"/>
      <c r="E20" s="204"/>
      <c r="F20" s="204"/>
    </row>
    <row r="21" spans="1:6" ht="18">
      <c r="A21" s="213">
        <v>20</v>
      </c>
      <c r="B21" s="208" t="s">
        <v>583</v>
      </c>
      <c r="C21" s="214" t="s">
        <v>609</v>
      </c>
      <c r="D21" s="204"/>
      <c r="E21" s="204"/>
      <c r="F21" s="204"/>
    </row>
    <row r="22" spans="1:6" ht="18">
      <c r="A22" s="215"/>
      <c r="B22" s="215"/>
      <c r="C22" s="216" t="s">
        <v>610</v>
      </c>
      <c r="D22" s="204"/>
      <c r="E22" s="204"/>
      <c r="F22" s="204"/>
    </row>
    <row r="23" spans="1:6" ht="18">
      <c r="A23" s="217"/>
      <c r="B23" s="217"/>
      <c r="C23" s="217"/>
      <c r="D23" s="204"/>
      <c r="E23" s="204"/>
      <c r="F23" s="204"/>
    </row>
    <row r="24" spans="1:6" ht="18">
      <c r="A24" s="274" t="s">
        <v>611</v>
      </c>
      <c r="B24" s="272"/>
      <c r="C24" s="275"/>
      <c r="D24" s="204"/>
      <c r="E24" s="204"/>
      <c r="F24" s="204"/>
    </row>
    <row r="25" spans="1:6" ht="18">
      <c r="A25" s="218" t="s">
        <v>520</v>
      </c>
      <c r="B25" s="219" t="s">
        <v>612</v>
      </c>
      <c r="C25" s="220" t="s">
        <v>613</v>
      </c>
      <c r="D25" s="204"/>
      <c r="E25" s="204"/>
      <c r="F25" s="204"/>
    </row>
    <row r="26" spans="1:6" ht="18">
      <c r="A26" s="221">
        <v>1</v>
      </c>
      <c r="B26" s="222" t="s">
        <v>536</v>
      </c>
      <c r="C26" s="212" t="s">
        <v>614</v>
      </c>
      <c r="D26" s="204"/>
      <c r="E26" s="204"/>
      <c r="F26" s="204"/>
    </row>
    <row r="27" spans="1:6" ht="18">
      <c r="A27" s="221">
        <v>2</v>
      </c>
      <c r="B27" s="222" t="s">
        <v>537</v>
      </c>
      <c r="C27" s="212" t="s">
        <v>615</v>
      </c>
      <c r="D27" s="204"/>
      <c r="E27" s="204"/>
      <c r="F27" s="204"/>
    </row>
    <row r="28" spans="1:6" ht="18">
      <c r="A28" s="221">
        <v>3</v>
      </c>
      <c r="B28" s="222" t="s">
        <v>539</v>
      </c>
      <c r="C28" s="212" t="s">
        <v>616</v>
      </c>
      <c r="D28" s="204"/>
      <c r="E28" s="204"/>
      <c r="F28" s="204"/>
    </row>
    <row r="29" spans="1:6" ht="18">
      <c r="A29" s="221">
        <v>4</v>
      </c>
      <c r="B29" s="222" t="s">
        <v>542</v>
      </c>
      <c r="C29" s="212" t="s">
        <v>590</v>
      </c>
      <c r="D29" s="204"/>
      <c r="E29" s="204"/>
      <c r="F29" s="204"/>
    </row>
    <row r="30" spans="1:6" ht="18">
      <c r="A30" s="221">
        <v>5</v>
      </c>
      <c r="B30" s="223" t="s">
        <v>546</v>
      </c>
      <c r="C30" s="212" t="s">
        <v>617</v>
      </c>
      <c r="D30" s="204"/>
      <c r="E30" s="204"/>
      <c r="F30" s="204"/>
    </row>
    <row r="31" spans="1:6" ht="18">
      <c r="A31" s="221">
        <v>6</v>
      </c>
      <c r="B31" s="222" t="s">
        <v>618</v>
      </c>
      <c r="C31" s="212" t="s">
        <v>619</v>
      </c>
      <c r="D31" s="204"/>
      <c r="E31" s="204"/>
      <c r="F31" s="204"/>
    </row>
    <row r="32" spans="1:6" ht="18">
      <c r="A32" s="221">
        <v>7</v>
      </c>
      <c r="B32" s="222" t="s">
        <v>620</v>
      </c>
      <c r="C32" s="212" t="s">
        <v>621</v>
      </c>
      <c r="D32" s="204"/>
      <c r="E32" s="204"/>
      <c r="F32" s="204"/>
    </row>
    <row r="33" spans="1:6" ht="18">
      <c r="A33" s="221">
        <v>8</v>
      </c>
      <c r="B33" s="222" t="s">
        <v>622</v>
      </c>
      <c r="C33" s="212" t="s">
        <v>623</v>
      </c>
      <c r="D33" s="204"/>
      <c r="E33" s="204"/>
      <c r="F33" s="204"/>
    </row>
    <row r="34" spans="1:6" ht="18">
      <c r="A34" s="221">
        <v>9</v>
      </c>
      <c r="B34" s="222" t="s">
        <v>552</v>
      </c>
      <c r="C34" s="212" t="s">
        <v>624</v>
      </c>
      <c r="D34" s="204"/>
      <c r="E34" s="204"/>
      <c r="F34" s="204"/>
    </row>
    <row r="35" spans="1:6" ht="18">
      <c r="A35" s="221">
        <v>10</v>
      </c>
      <c r="B35" s="223" t="s">
        <v>554</v>
      </c>
      <c r="C35" s="212" t="s">
        <v>625</v>
      </c>
      <c r="D35" s="204"/>
      <c r="E35" s="204"/>
      <c r="F35" s="204"/>
    </row>
    <row r="36" spans="1:6" ht="18">
      <c r="A36" s="221">
        <v>11</v>
      </c>
      <c r="B36" s="223" t="s">
        <v>573</v>
      </c>
      <c r="C36" s="212" t="s">
        <v>626</v>
      </c>
      <c r="D36" s="204"/>
      <c r="E36" s="204"/>
      <c r="F36" s="204"/>
    </row>
    <row r="37" spans="1:6" ht="18">
      <c r="A37" s="221">
        <v>12</v>
      </c>
      <c r="B37" s="222" t="s">
        <v>627</v>
      </c>
      <c r="C37" s="212" t="s">
        <v>628</v>
      </c>
      <c r="D37" s="204"/>
      <c r="E37" s="204"/>
      <c r="F37" s="204"/>
    </row>
    <row r="38" spans="1:6" ht="18">
      <c r="A38" s="221">
        <v>13</v>
      </c>
      <c r="B38" s="222" t="s">
        <v>629</v>
      </c>
      <c r="C38" s="212" t="s">
        <v>630</v>
      </c>
      <c r="D38" s="204"/>
      <c r="E38" s="204"/>
      <c r="F38" s="204"/>
    </row>
    <row r="39" spans="1:6" ht="18">
      <c r="A39" s="221">
        <v>14</v>
      </c>
      <c r="B39" s="222" t="s">
        <v>631</v>
      </c>
      <c r="C39" s="212" t="s">
        <v>632</v>
      </c>
      <c r="D39" s="204"/>
      <c r="E39" s="204"/>
      <c r="F39" s="204"/>
    </row>
    <row r="40" spans="1:6" ht="18">
      <c r="A40" s="221">
        <v>15</v>
      </c>
      <c r="B40" s="222" t="s">
        <v>633</v>
      </c>
      <c r="C40" s="212" t="s">
        <v>634</v>
      </c>
      <c r="D40" s="204"/>
      <c r="E40" s="204"/>
      <c r="F40" s="204"/>
    </row>
    <row r="41" spans="1:6" ht="18">
      <c r="A41" s="221">
        <v>16</v>
      </c>
      <c r="B41" s="222" t="s">
        <v>578</v>
      </c>
      <c r="C41" s="212" t="s">
        <v>635</v>
      </c>
      <c r="D41" s="204"/>
      <c r="E41" s="204"/>
      <c r="F41" s="204"/>
    </row>
    <row r="42" spans="1:6" ht="18">
      <c r="A42" s="221">
        <v>17</v>
      </c>
      <c r="B42" s="222" t="s">
        <v>579</v>
      </c>
      <c r="C42" s="212" t="s">
        <v>636</v>
      </c>
      <c r="D42" s="204"/>
      <c r="E42" s="204"/>
      <c r="F42" s="204"/>
    </row>
    <row r="43" spans="1:6" ht="18">
      <c r="A43" s="221">
        <v>18</v>
      </c>
      <c r="B43" s="222" t="s">
        <v>580</v>
      </c>
      <c r="C43" s="212" t="s">
        <v>636</v>
      </c>
      <c r="D43" s="204"/>
      <c r="E43" s="204"/>
      <c r="F43" s="204"/>
    </row>
    <row r="44" spans="1:6" ht="18">
      <c r="A44" s="221">
        <v>19</v>
      </c>
      <c r="B44" s="222" t="s">
        <v>637</v>
      </c>
      <c r="C44" s="212" t="s">
        <v>638</v>
      </c>
      <c r="D44" s="204"/>
      <c r="E44" s="204"/>
      <c r="F44" s="204"/>
    </row>
    <row r="45" spans="1:6" ht="18">
      <c r="A45" s="221">
        <v>20</v>
      </c>
      <c r="B45" s="222" t="s">
        <v>585</v>
      </c>
      <c r="C45" s="212" t="s">
        <v>639</v>
      </c>
      <c r="D45" s="204"/>
      <c r="E45" s="204"/>
      <c r="F45" s="204"/>
    </row>
    <row r="46" spans="1:6" ht="18">
      <c r="A46" s="224"/>
      <c r="B46" s="225"/>
      <c r="C46" s="226" t="s">
        <v>640</v>
      </c>
      <c r="D46" s="204"/>
      <c r="E46" s="204"/>
      <c r="F46" s="204"/>
    </row>
  </sheetData>
  <mergeCells count="2">
    <mergeCell ref="A1:C1"/>
    <mergeCell ref="A24:C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F46"/>
  <sheetViews>
    <sheetView workbookViewId="0"/>
  </sheetViews>
  <sheetFormatPr defaultColWidth="12.5703125" defaultRowHeight="15" customHeight="1"/>
  <sheetData>
    <row r="1" spans="1:136" ht="15" customHeight="1">
      <c r="A1" s="227"/>
      <c r="B1" s="228" t="s">
        <v>521</v>
      </c>
      <c r="C1" s="228" t="s">
        <v>641</v>
      </c>
      <c r="D1" s="227"/>
      <c r="E1" s="227"/>
      <c r="F1" s="228" t="s">
        <v>521</v>
      </c>
      <c r="G1" s="228" t="s">
        <v>641</v>
      </c>
      <c r="H1" s="227"/>
      <c r="I1" s="227"/>
      <c r="J1" s="228" t="s">
        <v>521</v>
      </c>
      <c r="K1" s="228" t="s">
        <v>641</v>
      </c>
      <c r="L1" s="227"/>
      <c r="M1" s="228" t="s">
        <v>521</v>
      </c>
      <c r="N1" s="228" t="s">
        <v>641</v>
      </c>
      <c r="O1" s="227"/>
      <c r="P1" s="227"/>
      <c r="Q1" s="228" t="s">
        <v>521</v>
      </c>
      <c r="R1" s="228" t="s">
        <v>641</v>
      </c>
      <c r="S1" s="229"/>
      <c r="T1" s="227"/>
      <c r="U1" s="230" t="s">
        <v>521</v>
      </c>
      <c r="V1" s="230" t="s">
        <v>641</v>
      </c>
      <c r="W1" s="227"/>
      <c r="X1" s="227"/>
      <c r="Y1" s="228" t="s">
        <v>521</v>
      </c>
      <c r="Z1" s="228" t="s">
        <v>641</v>
      </c>
      <c r="AA1" s="227"/>
      <c r="AB1" s="228" t="s">
        <v>521</v>
      </c>
      <c r="AC1" s="228" t="s">
        <v>641</v>
      </c>
      <c r="AD1" s="227"/>
      <c r="AE1" s="228" t="s">
        <v>521</v>
      </c>
      <c r="AF1" s="228" t="s">
        <v>641</v>
      </c>
      <c r="AG1" s="229"/>
      <c r="AH1" s="228" t="s">
        <v>521</v>
      </c>
      <c r="AI1" s="228" t="s">
        <v>641</v>
      </c>
      <c r="AJ1" s="227"/>
      <c r="AK1" s="227"/>
      <c r="AL1" s="231"/>
      <c r="AM1" s="231"/>
      <c r="AN1" s="227"/>
      <c r="AO1" s="228" t="s">
        <v>521</v>
      </c>
      <c r="AP1" s="228" t="s">
        <v>641</v>
      </c>
      <c r="AQ1" s="227"/>
      <c r="AR1" s="228" t="s">
        <v>521</v>
      </c>
      <c r="AS1" s="228" t="s">
        <v>641</v>
      </c>
      <c r="AT1" s="227"/>
      <c r="AU1" s="228" t="s">
        <v>521</v>
      </c>
      <c r="AV1" s="228" t="s">
        <v>641</v>
      </c>
      <c r="AW1" s="227"/>
      <c r="AX1" s="228" t="s">
        <v>521</v>
      </c>
      <c r="AY1" s="228" t="s">
        <v>641</v>
      </c>
      <c r="AZ1" s="227"/>
      <c r="BA1" s="228" t="s">
        <v>521</v>
      </c>
      <c r="BB1" s="228" t="s">
        <v>641</v>
      </c>
      <c r="BC1" s="227"/>
      <c r="BD1" s="227"/>
      <c r="BE1" s="228" t="s">
        <v>521</v>
      </c>
      <c r="BF1" s="228" t="s">
        <v>641</v>
      </c>
      <c r="BG1" s="227"/>
      <c r="BH1" s="227"/>
      <c r="BI1" s="228" t="s">
        <v>521</v>
      </c>
      <c r="BJ1" s="228" t="s">
        <v>641</v>
      </c>
      <c r="BK1" s="227"/>
      <c r="BL1" s="227"/>
      <c r="BM1" s="228" t="s">
        <v>521</v>
      </c>
      <c r="BN1" s="228" t="s">
        <v>641</v>
      </c>
      <c r="BO1" s="227"/>
      <c r="BP1" s="227"/>
      <c r="BQ1" s="228" t="s">
        <v>521</v>
      </c>
      <c r="BR1" s="228" t="s">
        <v>641</v>
      </c>
      <c r="BS1" s="227"/>
      <c r="BT1" s="227"/>
      <c r="BU1" s="228" t="s">
        <v>521</v>
      </c>
      <c r="BV1" s="228" t="s">
        <v>641</v>
      </c>
      <c r="BW1" s="227"/>
      <c r="BX1" s="228" t="s">
        <v>521</v>
      </c>
      <c r="BY1" s="228" t="s">
        <v>641</v>
      </c>
      <c r="BZ1" s="227"/>
      <c r="CA1" s="227"/>
      <c r="CB1" s="228" t="s">
        <v>521</v>
      </c>
      <c r="CC1" s="228" t="s">
        <v>641</v>
      </c>
      <c r="CD1" s="227"/>
      <c r="CE1" s="227"/>
      <c r="CF1" s="228" t="s">
        <v>521</v>
      </c>
      <c r="CG1" s="228" t="s">
        <v>641</v>
      </c>
      <c r="CH1" s="227"/>
      <c r="CI1" s="227"/>
      <c r="CJ1" s="228" t="s">
        <v>521</v>
      </c>
      <c r="CK1" s="228" t="s">
        <v>641</v>
      </c>
      <c r="CL1" s="227"/>
      <c r="CM1" s="228" t="s">
        <v>521</v>
      </c>
      <c r="CN1" s="228" t="s">
        <v>641</v>
      </c>
      <c r="CO1" s="232"/>
      <c r="CP1" s="227"/>
      <c r="CQ1" s="228" t="s">
        <v>521</v>
      </c>
      <c r="CR1" s="228" t="s">
        <v>641</v>
      </c>
      <c r="CS1" s="227"/>
      <c r="CT1" s="227"/>
      <c r="CU1" s="228" t="s">
        <v>521</v>
      </c>
      <c r="CV1" s="228" t="s">
        <v>641</v>
      </c>
      <c r="CW1" s="232"/>
      <c r="CX1" s="227"/>
      <c r="CY1" s="227"/>
      <c r="CZ1" s="228" t="s">
        <v>641</v>
      </c>
      <c r="DA1" s="227"/>
      <c r="DB1" s="227"/>
      <c r="DC1" s="228" t="s">
        <v>521</v>
      </c>
      <c r="DD1" s="228" t="s">
        <v>641</v>
      </c>
      <c r="DE1" s="227"/>
      <c r="DF1" s="228" t="s">
        <v>521</v>
      </c>
      <c r="DG1" s="228" t="s">
        <v>641</v>
      </c>
      <c r="DH1" s="227"/>
      <c r="DI1" s="228" t="s">
        <v>521</v>
      </c>
      <c r="DJ1" s="228" t="s">
        <v>641</v>
      </c>
      <c r="DK1" s="227"/>
      <c r="DL1" s="227"/>
      <c r="DM1" s="228" t="s">
        <v>521</v>
      </c>
      <c r="DN1" s="228" t="s">
        <v>641</v>
      </c>
      <c r="DO1" s="227"/>
      <c r="DP1" s="228" t="s">
        <v>521</v>
      </c>
      <c r="DQ1" s="228" t="s">
        <v>641</v>
      </c>
      <c r="DR1" s="227"/>
      <c r="DS1" s="228" t="s">
        <v>521</v>
      </c>
      <c r="DT1" s="228" t="s">
        <v>641</v>
      </c>
      <c r="DU1" s="227"/>
      <c r="DV1" s="228" t="s">
        <v>521</v>
      </c>
      <c r="DW1" s="228" t="s">
        <v>641</v>
      </c>
      <c r="DX1" s="227"/>
      <c r="DY1" s="227"/>
      <c r="DZ1" s="228" t="s">
        <v>521</v>
      </c>
      <c r="EA1" s="228" t="s">
        <v>641</v>
      </c>
      <c r="EB1" s="227"/>
      <c r="EC1" s="227"/>
      <c r="ED1" s="228" t="s">
        <v>521</v>
      </c>
      <c r="EE1" s="228" t="s">
        <v>641</v>
      </c>
      <c r="EF1" s="227"/>
    </row>
    <row r="2" spans="1:136" ht="15" customHeight="1">
      <c r="A2" s="227"/>
      <c r="B2" s="233" t="s">
        <v>642</v>
      </c>
      <c r="C2" s="234">
        <v>46025.496527777781</v>
      </c>
      <c r="D2" s="280" t="s">
        <v>643</v>
      </c>
      <c r="E2" s="272"/>
      <c r="F2" s="233" t="s">
        <v>644</v>
      </c>
      <c r="G2" s="234">
        <v>46027.527777777781</v>
      </c>
      <c r="H2" s="277" t="s">
        <v>645</v>
      </c>
      <c r="I2" s="272"/>
      <c r="J2" s="233" t="s">
        <v>646</v>
      </c>
      <c r="K2" s="234">
        <v>46025.910416666666</v>
      </c>
      <c r="L2" s="227"/>
      <c r="M2" s="233" t="s">
        <v>647</v>
      </c>
      <c r="N2" s="234">
        <v>46026.477777777778</v>
      </c>
      <c r="O2" s="236">
        <v>0.25</v>
      </c>
      <c r="P2" s="227"/>
      <c r="Q2" s="233" t="s">
        <v>648</v>
      </c>
      <c r="R2" s="233" t="s">
        <v>649</v>
      </c>
      <c r="S2" s="5" t="s">
        <v>645</v>
      </c>
      <c r="T2" s="227"/>
      <c r="U2" s="5" t="s">
        <v>650</v>
      </c>
      <c r="V2" s="237">
        <v>46025.518055555556</v>
      </c>
      <c r="W2" s="227"/>
      <c r="X2" s="227"/>
      <c r="Y2" s="233" t="s">
        <v>651</v>
      </c>
      <c r="Z2" s="234">
        <v>46025.509722222225</v>
      </c>
      <c r="AA2" s="227"/>
      <c r="AB2" s="233" t="s">
        <v>652</v>
      </c>
      <c r="AC2" s="234">
        <v>46025.515972222223</v>
      </c>
      <c r="AD2" s="227"/>
      <c r="AE2" s="233" t="s">
        <v>653</v>
      </c>
      <c r="AF2" s="234">
        <v>46026.45416666667</v>
      </c>
      <c r="AG2" s="229"/>
      <c r="AH2" s="233" t="s">
        <v>654</v>
      </c>
      <c r="AI2" s="234">
        <v>46026.477083333331</v>
      </c>
      <c r="AJ2" s="238">
        <v>0.25</v>
      </c>
      <c r="AK2" s="227"/>
      <c r="AL2" s="228" t="s">
        <v>521</v>
      </c>
      <c r="AM2" s="228" t="s">
        <v>641</v>
      </c>
      <c r="AN2" s="227"/>
      <c r="AO2" s="233" t="s">
        <v>655</v>
      </c>
      <c r="AP2" s="234">
        <v>46025.503472222219</v>
      </c>
      <c r="AQ2" s="227"/>
      <c r="AR2" s="233" t="s">
        <v>656</v>
      </c>
      <c r="AS2" s="234">
        <v>46028.484027777777</v>
      </c>
      <c r="AT2" s="238">
        <v>0.5</v>
      </c>
      <c r="AU2" s="233" t="s">
        <v>657</v>
      </c>
      <c r="AV2" s="234">
        <v>46025.507638888892</v>
      </c>
      <c r="AW2" s="227"/>
      <c r="AX2" s="233" t="s">
        <v>658</v>
      </c>
      <c r="AY2" s="234">
        <v>46025.54583333333</v>
      </c>
      <c r="AZ2" s="227"/>
      <c r="BA2" s="233" t="s">
        <v>659</v>
      </c>
      <c r="BB2" s="234">
        <v>46025.496527777781</v>
      </c>
      <c r="BC2" s="227"/>
      <c r="BD2" s="227"/>
      <c r="BE2" s="233" t="s">
        <v>660</v>
      </c>
      <c r="BF2" s="234">
        <v>46025.511805555558</v>
      </c>
      <c r="BG2" s="227"/>
      <c r="BH2" s="227"/>
      <c r="BI2" s="233" t="s">
        <v>661</v>
      </c>
      <c r="BJ2" s="234">
        <v>46025.461111111108</v>
      </c>
      <c r="BK2" s="227"/>
      <c r="BL2" s="227"/>
      <c r="BM2" s="233" t="s">
        <v>662</v>
      </c>
      <c r="BN2" s="234">
        <v>46030.5</v>
      </c>
      <c r="BO2" s="233" t="s">
        <v>645</v>
      </c>
      <c r="BP2" s="227"/>
      <c r="BQ2" s="233" t="s">
        <v>663</v>
      </c>
      <c r="BR2" s="234">
        <v>46025.561111111114</v>
      </c>
      <c r="BS2" s="227"/>
      <c r="BT2" s="227"/>
      <c r="BU2" s="233" t="s">
        <v>664</v>
      </c>
      <c r="BV2" s="234">
        <v>46025.518750000003</v>
      </c>
      <c r="BW2" s="227"/>
      <c r="BX2" s="233" t="s">
        <v>665</v>
      </c>
      <c r="BY2" s="234">
        <v>46025.515972222223</v>
      </c>
      <c r="BZ2" s="227"/>
      <c r="CA2" s="227"/>
      <c r="CB2" s="233" t="s">
        <v>666</v>
      </c>
      <c r="CC2" s="234">
        <v>46027.453472222223</v>
      </c>
      <c r="CD2" s="227"/>
      <c r="CE2" s="227"/>
      <c r="CF2" s="233" t="s">
        <v>667</v>
      </c>
      <c r="CG2" s="234">
        <v>46027.503472222219</v>
      </c>
      <c r="CH2" s="238">
        <v>0</v>
      </c>
      <c r="CI2" s="227"/>
      <c r="CJ2" s="233" t="s">
        <v>668</v>
      </c>
      <c r="CK2" s="234">
        <v>46026.447916666664</v>
      </c>
      <c r="CL2" s="227"/>
      <c r="CM2" s="228" t="s">
        <v>669</v>
      </c>
      <c r="CN2" s="239">
        <v>46025.534722222219</v>
      </c>
      <c r="CO2" s="232"/>
      <c r="CP2" s="227"/>
      <c r="CQ2" s="233" t="s">
        <v>667</v>
      </c>
      <c r="CR2" s="234">
        <v>46026.584722222222</v>
      </c>
      <c r="CS2" s="227"/>
      <c r="CT2" s="227"/>
      <c r="CU2" s="228" t="s">
        <v>665</v>
      </c>
      <c r="CV2" s="239">
        <v>46025.515972222223</v>
      </c>
      <c r="CW2" s="232"/>
      <c r="CX2" s="227"/>
      <c r="CY2" s="235" t="s">
        <v>670</v>
      </c>
      <c r="CZ2" s="240">
        <v>46033.519444444442</v>
      </c>
      <c r="DA2" s="277" t="s">
        <v>645</v>
      </c>
      <c r="DB2" s="272"/>
      <c r="DC2" s="233" t="s">
        <v>671</v>
      </c>
      <c r="DD2" s="234">
        <v>46026.458333333336</v>
      </c>
      <c r="DE2" s="227"/>
      <c r="DF2" s="233" t="s">
        <v>672</v>
      </c>
      <c r="DG2" s="234">
        <v>46026.451388888891</v>
      </c>
      <c r="DH2" s="227"/>
      <c r="DI2" s="233" t="s">
        <v>673</v>
      </c>
      <c r="DJ2" s="234">
        <v>46036.57708333333</v>
      </c>
      <c r="DK2" s="281" t="s">
        <v>674</v>
      </c>
      <c r="DL2" s="272"/>
      <c r="DM2" s="233" t="s">
        <v>675</v>
      </c>
      <c r="DN2" s="234">
        <v>46042.520138888889</v>
      </c>
      <c r="DO2" s="233" t="s">
        <v>676</v>
      </c>
      <c r="DP2" s="233" t="s">
        <v>677</v>
      </c>
      <c r="DQ2" s="234">
        <v>46026.461111111108</v>
      </c>
      <c r="DR2" s="227"/>
      <c r="DS2" s="233" t="s">
        <v>678</v>
      </c>
      <c r="DT2" s="234">
        <v>46025.53125</v>
      </c>
      <c r="DU2" s="227"/>
      <c r="DV2" s="233"/>
      <c r="DW2" s="234">
        <v>46047.668749999997</v>
      </c>
      <c r="DX2" s="277" t="s">
        <v>676</v>
      </c>
      <c r="DY2" s="272"/>
      <c r="DZ2" s="233" t="s">
        <v>679</v>
      </c>
      <c r="EA2" s="234">
        <v>46047.669444444444</v>
      </c>
      <c r="EB2" s="277" t="s">
        <v>680</v>
      </c>
      <c r="EC2" s="272"/>
      <c r="ED2" s="233" t="s">
        <v>681</v>
      </c>
      <c r="EE2" s="235" t="s">
        <v>682</v>
      </c>
      <c r="EF2" s="235" t="s">
        <v>676</v>
      </c>
    </row>
    <row r="3" spans="1:136" ht="15" customHeight="1">
      <c r="A3" s="227"/>
      <c r="B3" s="233" t="s">
        <v>642</v>
      </c>
      <c r="C3" s="234">
        <v>46025.910416666666</v>
      </c>
      <c r="D3" s="227"/>
      <c r="E3" s="227"/>
      <c r="F3" s="233" t="s">
        <v>644</v>
      </c>
      <c r="G3" s="234">
        <v>46027.791666666664</v>
      </c>
      <c r="H3" s="227"/>
      <c r="I3" s="227"/>
      <c r="J3" s="233" t="s">
        <v>649</v>
      </c>
      <c r="K3" s="234">
        <v>46027.477083333331</v>
      </c>
      <c r="L3" s="238">
        <v>1</v>
      </c>
      <c r="M3" s="233" t="s">
        <v>683</v>
      </c>
      <c r="N3" s="234">
        <v>46027.479861111111</v>
      </c>
      <c r="O3" s="241"/>
      <c r="P3" s="227"/>
      <c r="Q3" s="233" t="s">
        <v>648</v>
      </c>
      <c r="R3" s="234">
        <v>46027.52847222222</v>
      </c>
      <c r="S3" s="5"/>
      <c r="T3" s="227"/>
      <c r="U3" s="242" t="s">
        <v>649</v>
      </c>
      <c r="V3" s="243">
        <v>46025.821527777778</v>
      </c>
      <c r="W3" s="244">
        <v>1</v>
      </c>
      <c r="X3" s="227"/>
      <c r="Y3" s="233" t="s">
        <v>651</v>
      </c>
      <c r="Z3" s="234">
        <v>46025.907638888886</v>
      </c>
      <c r="AA3" s="227"/>
      <c r="AB3" s="233" t="s">
        <v>684</v>
      </c>
      <c r="AC3" s="234">
        <v>46025.782638888886</v>
      </c>
      <c r="AD3" s="227"/>
      <c r="AE3" s="233" t="s">
        <v>653</v>
      </c>
      <c r="AF3" s="234">
        <v>46026.810416666667</v>
      </c>
      <c r="AG3" s="229"/>
      <c r="AH3" s="233" t="s">
        <v>685</v>
      </c>
      <c r="AI3" s="234">
        <v>46027.510416666664</v>
      </c>
      <c r="AJ3" s="238">
        <v>1</v>
      </c>
      <c r="AK3" s="227"/>
      <c r="AL3" s="233" t="s">
        <v>686</v>
      </c>
      <c r="AM3" s="234">
        <v>46034.503472222219</v>
      </c>
      <c r="AN3" s="233" t="s">
        <v>645</v>
      </c>
      <c r="AO3" s="233" t="s">
        <v>655</v>
      </c>
      <c r="AP3" s="234">
        <v>46025.84652777778</v>
      </c>
      <c r="AQ3" s="227"/>
      <c r="AR3" s="233" t="s">
        <v>656</v>
      </c>
      <c r="AS3" s="234">
        <v>46028.89166666667</v>
      </c>
      <c r="AT3" s="227"/>
      <c r="AU3" s="233" t="s">
        <v>657</v>
      </c>
      <c r="AV3" s="234">
        <v>46025.828472222223</v>
      </c>
      <c r="AW3" s="227"/>
      <c r="AX3" s="233" t="s">
        <v>658</v>
      </c>
      <c r="AY3" s="234">
        <v>46025.910416666666</v>
      </c>
      <c r="AZ3" s="227"/>
      <c r="BA3" s="233" t="s">
        <v>659</v>
      </c>
      <c r="BB3" s="234">
        <v>46025.90902777778</v>
      </c>
      <c r="BC3" s="227"/>
      <c r="BD3" s="227"/>
      <c r="BE3" s="233" t="s">
        <v>660</v>
      </c>
      <c r="BF3" s="234">
        <v>46025.84652777778</v>
      </c>
      <c r="BG3" s="227"/>
      <c r="BH3" s="227"/>
      <c r="BI3" s="233" t="s">
        <v>661</v>
      </c>
      <c r="BJ3" s="234">
        <v>46026.459027777775</v>
      </c>
      <c r="BK3" s="227"/>
      <c r="BL3" s="227"/>
      <c r="BM3" s="233" t="s">
        <v>662</v>
      </c>
      <c r="BN3" s="234">
        <v>46033.455555555556</v>
      </c>
      <c r="BO3" s="227"/>
      <c r="BP3" s="227"/>
      <c r="BQ3" s="233" t="s">
        <v>663</v>
      </c>
      <c r="BR3" s="234">
        <v>46025.818749999999</v>
      </c>
      <c r="BS3" s="227"/>
      <c r="BT3" s="227"/>
      <c r="BU3" s="233" t="s">
        <v>664</v>
      </c>
      <c r="BV3" s="234">
        <v>46025.791666666664</v>
      </c>
      <c r="BW3" s="227"/>
      <c r="BX3" s="233" t="s">
        <v>665</v>
      </c>
      <c r="BY3" s="234">
        <v>46025.859722222223</v>
      </c>
      <c r="BZ3" s="227"/>
      <c r="CA3" s="227"/>
      <c r="CB3" s="233" t="s">
        <v>649</v>
      </c>
      <c r="CC3" s="234">
        <v>46027.851388888892</v>
      </c>
      <c r="CD3" s="238">
        <v>1</v>
      </c>
      <c r="CE3" s="227"/>
      <c r="CF3" s="233" t="s">
        <v>649</v>
      </c>
      <c r="CG3" s="234">
        <v>46027.874305555553</v>
      </c>
      <c r="CH3" s="238">
        <v>1</v>
      </c>
      <c r="CI3" s="227"/>
      <c r="CJ3" s="233" t="s">
        <v>668</v>
      </c>
      <c r="CK3" s="234">
        <v>46027.456944444442</v>
      </c>
      <c r="CL3" s="227"/>
      <c r="CM3" s="228" t="s">
        <v>669</v>
      </c>
      <c r="CN3" s="239">
        <v>46025.798611111109</v>
      </c>
      <c r="CO3" s="232"/>
      <c r="CP3" s="227"/>
      <c r="CQ3" s="233" t="s">
        <v>687</v>
      </c>
      <c r="CR3" s="234">
        <v>46026.901388888888</v>
      </c>
      <c r="CS3" s="227"/>
      <c r="CT3" s="227"/>
      <c r="CU3" s="228" t="s">
        <v>665</v>
      </c>
      <c r="CV3" s="239">
        <v>46025.859722222223</v>
      </c>
      <c r="CW3" s="232"/>
      <c r="CX3" s="227"/>
      <c r="CY3" s="233" t="s">
        <v>688</v>
      </c>
      <c r="CZ3" s="234">
        <v>46033.791666666664</v>
      </c>
      <c r="DA3" s="227"/>
      <c r="DB3" s="227"/>
      <c r="DC3" s="233" t="s">
        <v>671</v>
      </c>
      <c r="DD3" s="234">
        <v>46026.875694444447</v>
      </c>
      <c r="DE3" s="227"/>
      <c r="DF3" s="233" t="s">
        <v>672</v>
      </c>
      <c r="DG3" s="234">
        <v>46026.79791666667</v>
      </c>
      <c r="DH3" s="227"/>
      <c r="DI3" s="233" t="s">
        <v>673</v>
      </c>
      <c r="DJ3" s="234">
        <v>46040.473611111112</v>
      </c>
      <c r="DK3" s="238">
        <v>0.25</v>
      </c>
      <c r="DL3" s="227"/>
      <c r="DM3" s="233" t="s">
        <v>675</v>
      </c>
      <c r="DN3" s="234">
        <v>46042.804166666669</v>
      </c>
      <c r="DO3" s="227"/>
      <c r="DP3" s="233" t="s">
        <v>677</v>
      </c>
      <c r="DQ3" s="234">
        <v>46026.824999999997</v>
      </c>
      <c r="DR3" s="227"/>
      <c r="DS3" s="233" t="s">
        <v>678</v>
      </c>
      <c r="DT3" s="234">
        <v>46026.464583333334</v>
      </c>
      <c r="DU3" s="227"/>
      <c r="DV3" s="233" t="s">
        <v>689</v>
      </c>
      <c r="DW3" s="234">
        <v>46047.798611111109</v>
      </c>
      <c r="DX3" s="227"/>
      <c r="DY3" s="227"/>
      <c r="DZ3" s="233" t="s">
        <v>679</v>
      </c>
      <c r="EA3" s="234">
        <v>46047.797222222223</v>
      </c>
      <c r="EB3" s="227"/>
      <c r="EC3" s="227"/>
      <c r="ED3" s="233" t="s">
        <v>681</v>
      </c>
      <c r="EE3" s="234">
        <v>46048.470138888886</v>
      </c>
      <c r="EF3" s="238">
        <v>0.25</v>
      </c>
    </row>
    <row r="4" spans="1:136" ht="15" customHeight="1">
      <c r="A4" s="227"/>
      <c r="B4" s="233" t="s">
        <v>642</v>
      </c>
      <c r="C4" s="234">
        <v>46026.555555555555</v>
      </c>
      <c r="D4" s="238">
        <v>1</v>
      </c>
      <c r="E4" s="227"/>
      <c r="F4" s="233" t="s">
        <v>644</v>
      </c>
      <c r="G4" s="234">
        <v>46028.459722222222</v>
      </c>
      <c r="H4" s="227"/>
      <c r="I4" s="227"/>
      <c r="J4" s="233" t="s">
        <v>646</v>
      </c>
      <c r="K4" s="234">
        <v>46027.932638888888</v>
      </c>
      <c r="L4" s="238">
        <v>0.25</v>
      </c>
      <c r="M4" s="233" t="s">
        <v>647</v>
      </c>
      <c r="N4" s="234">
        <v>46027.821527777778</v>
      </c>
      <c r="O4" s="227"/>
      <c r="P4" s="227"/>
      <c r="Q4" s="233" t="s">
        <v>690</v>
      </c>
      <c r="R4" s="233" t="s">
        <v>691</v>
      </c>
      <c r="S4" s="229"/>
      <c r="T4" s="227"/>
      <c r="U4" s="229"/>
      <c r="V4" s="237">
        <v>46027.469444444447</v>
      </c>
      <c r="W4" s="238">
        <v>0.25</v>
      </c>
      <c r="X4" s="227"/>
      <c r="Y4" s="233" t="s">
        <v>651</v>
      </c>
      <c r="Z4" s="234">
        <v>46026.552083333336</v>
      </c>
      <c r="AA4" s="238">
        <v>1</v>
      </c>
      <c r="AB4" s="233" t="s">
        <v>684</v>
      </c>
      <c r="AC4" s="234">
        <v>46026.490972222222</v>
      </c>
      <c r="AD4" s="238">
        <v>0.25</v>
      </c>
      <c r="AE4" s="233" t="s">
        <v>683</v>
      </c>
      <c r="AF4" s="234">
        <v>46027.473611111112</v>
      </c>
      <c r="AG4" s="229"/>
      <c r="AH4" s="233" t="s">
        <v>654</v>
      </c>
      <c r="AI4" s="234">
        <v>46027.875</v>
      </c>
      <c r="AJ4" s="227"/>
      <c r="AK4" s="227"/>
      <c r="AL4" s="233" t="s">
        <v>686</v>
      </c>
      <c r="AM4" s="234">
        <v>46034.829861111109</v>
      </c>
      <c r="AN4" s="227"/>
      <c r="AO4" s="235" t="s">
        <v>667</v>
      </c>
      <c r="AP4" s="234">
        <v>46026.472222222219</v>
      </c>
      <c r="AQ4" s="227"/>
      <c r="AR4" s="233" t="s">
        <v>656</v>
      </c>
      <c r="AS4" s="234">
        <v>46029.466666666667</v>
      </c>
      <c r="AT4" s="227"/>
      <c r="AU4" s="233" t="s">
        <v>657</v>
      </c>
      <c r="AV4" s="234">
        <v>46026.468055555553</v>
      </c>
      <c r="AW4" s="227"/>
      <c r="AX4" s="233" t="s">
        <v>683</v>
      </c>
      <c r="AY4" s="234">
        <v>46026.511805555558</v>
      </c>
      <c r="AZ4" s="227"/>
      <c r="BA4" s="233" t="s">
        <v>659</v>
      </c>
      <c r="BB4" s="234">
        <v>46026.479166666664</v>
      </c>
      <c r="BC4" s="227"/>
      <c r="BD4" s="227"/>
      <c r="BE4" s="233" t="s">
        <v>660</v>
      </c>
      <c r="BF4" s="234">
        <v>46025.859722222223</v>
      </c>
      <c r="BG4" s="227"/>
      <c r="BH4" s="227"/>
      <c r="BI4" s="233" t="s">
        <v>661</v>
      </c>
      <c r="BJ4" s="234">
        <v>46026.791666666664</v>
      </c>
      <c r="BK4" s="227"/>
      <c r="BL4" s="227"/>
      <c r="BM4" s="233" t="s">
        <v>662</v>
      </c>
      <c r="BN4" s="234">
        <v>46033.793749999997</v>
      </c>
      <c r="BO4" s="227"/>
      <c r="BP4" s="227"/>
      <c r="BQ4" s="233" t="s">
        <v>667</v>
      </c>
      <c r="BR4" s="234">
        <v>46026.51666666667</v>
      </c>
      <c r="BS4" s="227"/>
      <c r="BT4" s="227"/>
      <c r="BU4" s="233" t="s">
        <v>667</v>
      </c>
      <c r="BV4" s="234">
        <v>46026.541666666664</v>
      </c>
      <c r="BW4" s="227"/>
      <c r="BX4" s="233" t="s">
        <v>665</v>
      </c>
      <c r="BY4" s="234">
        <v>46026.490972222222</v>
      </c>
      <c r="BZ4" s="238">
        <v>0.5</v>
      </c>
      <c r="CA4" s="227"/>
      <c r="CB4" s="233" t="s">
        <v>666</v>
      </c>
      <c r="CC4" s="234">
        <v>46028.463194444441</v>
      </c>
      <c r="CD4" s="227"/>
      <c r="CE4" s="227"/>
      <c r="CF4" s="233" t="s">
        <v>692</v>
      </c>
      <c r="CG4" s="234">
        <v>46028.536111111112</v>
      </c>
      <c r="CH4" s="227"/>
      <c r="CI4" s="227"/>
      <c r="CJ4" s="233" t="s">
        <v>668</v>
      </c>
      <c r="CK4" s="234">
        <v>46028.456250000003</v>
      </c>
      <c r="CL4" s="227"/>
      <c r="CM4" s="228" t="s">
        <v>669</v>
      </c>
      <c r="CN4" s="239">
        <v>46026.492361111108</v>
      </c>
      <c r="CO4" s="245">
        <v>0.5</v>
      </c>
      <c r="CP4" s="227"/>
      <c r="CQ4" s="233" t="s">
        <v>687</v>
      </c>
      <c r="CR4" s="234">
        <v>46027.506249999999</v>
      </c>
      <c r="CS4" s="227"/>
      <c r="CT4" s="227"/>
      <c r="CU4" s="228" t="s">
        <v>665</v>
      </c>
      <c r="CV4" s="239">
        <v>46026.490972222222</v>
      </c>
      <c r="CW4" s="245">
        <v>0.5</v>
      </c>
      <c r="CX4" s="227"/>
      <c r="CY4" s="233" t="s">
        <v>688</v>
      </c>
      <c r="CZ4" s="234">
        <v>46034.456944444442</v>
      </c>
      <c r="DA4" s="227"/>
      <c r="DB4" s="227"/>
      <c r="DC4" s="233" t="s">
        <v>671</v>
      </c>
      <c r="DD4" s="234">
        <v>46027.454861111109</v>
      </c>
      <c r="DE4" s="227"/>
      <c r="DF4" s="233" t="s">
        <v>672</v>
      </c>
      <c r="DG4" s="234">
        <v>46027.461805555555</v>
      </c>
      <c r="DH4" s="227"/>
      <c r="DI4" s="233" t="s">
        <v>673</v>
      </c>
      <c r="DJ4" s="234">
        <v>46040.82708333333</v>
      </c>
      <c r="DK4" s="227"/>
      <c r="DL4" s="227"/>
      <c r="DM4" s="233" t="s">
        <v>675</v>
      </c>
      <c r="DN4" s="234">
        <v>46043.456250000003</v>
      </c>
      <c r="DO4" s="227"/>
      <c r="DP4" s="233" t="s">
        <v>677</v>
      </c>
      <c r="DQ4" s="234">
        <v>46027.46597222222</v>
      </c>
      <c r="DR4" s="227"/>
      <c r="DS4" s="233" t="s">
        <v>678</v>
      </c>
      <c r="DT4" s="234">
        <v>46026.464583333334</v>
      </c>
      <c r="DU4" s="227"/>
      <c r="DV4" s="233" t="s">
        <v>683</v>
      </c>
      <c r="DW4" s="234">
        <v>46048.5</v>
      </c>
      <c r="DX4" s="227"/>
      <c r="DY4" s="227"/>
      <c r="DZ4" s="233" t="s">
        <v>667</v>
      </c>
      <c r="EA4" s="234">
        <v>46048.493055555555</v>
      </c>
      <c r="EB4" s="227"/>
      <c r="EC4" s="227"/>
      <c r="ED4" s="233" t="s">
        <v>681</v>
      </c>
      <c r="EE4" s="234">
        <v>46048.857638888891</v>
      </c>
      <c r="EF4" s="227"/>
    </row>
    <row r="5" spans="1:136" ht="15" customHeight="1">
      <c r="A5" s="227"/>
      <c r="B5" s="233" t="s">
        <v>642</v>
      </c>
      <c r="C5" s="234">
        <v>46026.904166666667</v>
      </c>
      <c r="D5" s="227"/>
      <c r="E5" s="227"/>
      <c r="F5" s="233" t="s">
        <v>644</v>
      </c>
      <c r="G5" s="234">
        <v>46028.791666666664</v>
      </c>
      <c r="H5" s="227"/>
      <c r="I5" s="227"/>
      <c r="J5" s="233" t="s">
        <v>646</v>
      </c>
      <c r="K5" s="234">
        <v>46028.476388888892</v>
      </c>
      <c r="L5" s="238">
        <v>0.25</v>
      </c>
      <c r="M5" s="233" t="s">
        <v>647</v>
      </c>
      <c r="N5" s="234">
        <v>46028.477777777778</v>
      </c>
      <c r="O5" s="238">
        <v>0.25</v>
      </c>
      <c r="P5" s="227"/>
      <c r="Q5" s="235" t="s">
        <v>690</v>
      </c>
      <c r="R5" s="233" t="s">
        <v>693</v>
      </c>
      <c r="S5" s="229"/>
      <c r="T5" s="227"/>
      <c r="U5" s="5" t="s">
        <v>650</v>
      </c>
      <c r="V5" s="237">
        <v>46027.90347222222</v>
      </c>
      <c r="W5" s="227"/>
      <c r="X5" s="227"/>
      <c r="Y5" s="233" t="s">
        <v>651</v>
      </c>
      <c r="Z5" s="234">
        <v>46026.827777777777</v>
      </c>
      <c r="AA5" s="227"/>
      <c r="AB5" s="233" t="s">
        <v>684</v>
      </c>
      <c r="AC5" s="234">
        <v>46026.899305555555</v>
      </c>
      <c r="AD5" s="227"/>
      <c r="AE5" s="233" t="s">
        <v>653</v>
      </c>
      <c r="AF5" s="234">
        <v>46027.866666666669</v>
      </c>
      <c r="AG5" s="229"/>
      <c r="AH5" s="233" t="s">
        <v>694</v>
      </c>
      <c r="AI5" s="234">
        <v>46028.509027777778</v>
      </c>
      <c r="AJ5" s="238">
        <v>1</v>
      </c>
      <c r="AK5" s="227"/>
      <c r="AL5" s="233" t="s">
        <v>686</v>
      </c>
      <c r="AM5" s="234">
        <v>46035.458333333336</v>
      </c>
      <c r="AN5" s="227"/>
      <c r="AO5" s="233" t="s">
        <v>655</v>
      </c>
      <c r="AP5" s="234">
        <v>46026.897916666669</v>
      </c>
      <c r="AQ5" s="227"/>
      <c r="AR5" s="233" t="s">
        <v>656</v>
      </c>
      <c r="AS5" s="234">
        <v>46029.865277777775</v>
      </c>
      <c r="AT5" s="227"/>
      <c r="AU5" s="233" t="s">
        <v>657</v>
      </c>
      <c r="AV5" s="234">
        <v>46026.847222222219</v>
      </c>
      <c r="AW5" s="227"/>
      <c r="AX5" s="233" t="s">
        <v>658</v>
      </c>
      <c r="AY5" s="234">
        <v>46026.931250000001</v>
      </c>
      <c r="AZ5" s="227"/>
      <c r="BA5" s="233" t="s">
        <v>659</v>
      </c>
      <c r="BB5" s="234">
        <v>46026.797222222223</v>
      </c>
      <c r="BC5" s="227"/>
      <c r="BD5" s="227"/>
      <c r="BE5" s="233" t="s">
        <v>660</v>
      </c>
      <c r="BF5" s="234">
        <v>46026.462500000001</v>
      </c>
      <c r="BG5" s="227"/>
      <c r="BH5" s="227"/>
      <c r="BI5" s="233" t="s">
        <v>667</v>
      </c>
      <c r="BJ5" s="234">
        <v>46027.534722222219</v>
      </c>
      <c r="BK5" s="227"/>
      <c r="BL5" s="227"/>
      <c r="BM5" s="233" t="s">
        <v>662</v>
      </c>
      <c r="BN5" s="234">
        <v>46034.465277777781</v>
      </c>
      <c r="BO5" s="227"/>
      <c r="BP5" s="227"/>
      <c r="BQ5" s="233" t="s">
        <v>663</v>
      </c>
      <c r="BR5" s="234">
        <v>46026.886805555558</v>
      </c>
      <c r="BS5" s="227"/>
      <c r="BT5" s="227"/>
      <c r="BU5" s="233" t="s">
        <v>664</v>
      </c>
      <c r="BV5" s="234">
        <v>46026.854861111111</v>
      </c>
      <c r="BW5" s="227"/>
      <c r="BX5" s="233" t="s">
        <v>665</v>
      </c>
      <c r="BY5" s="234">
        <v>46026.886805555558</v>
      </c>
      <c r="BZ5" s="227"/>
      <c r="CA5" s="227"/>
      <c r="CB5" s="233" t="s">
        <v>666</v>
      </c>
      <c r="CC5" s="234">
        <v>46028.855555555558</v>
      </c>
      <c r="CD5" s="227"/>
      <c r="CE5" s="227"/>
      <c r="CF5" s="233" t="s">
        <v>695</v>
      </c>
      <c r="CG5" s="234">
        <v>46028.89166666667</v>
      </c>
      <c r="CH5" s="227"/>
      <c r="CI5" s="227"/>
      <c r="CJ5" s="233" t="s">
        <v>668</v>
      </c>
      <c r="CK5" s="234">
        <v>46029.453472222223</v>
      </c>
      <c r="CL5" s="227"/>
      <c r="CM5" s="228" t="s">
        <v>669</v>
      </c>
      <c r="CN5" s="239">
        <v>46026.931250000001</v>
      </c>
      <c r="CO5" s="232"/>
      <c r="CP5" s="227"/>
      <c r="CQ5" s="233" t="s">
        <v>687</v>
      </c>
      <c r="CR5" s="234">
        <v>46027.87222222222</v>
      </c>
      <c r="CS5" s="227"/>
      <c r="CT5" s="227"/>
      <c r="CU5" s="228" t="s">
        <v>665</v>
      </c>
      <c r="CV5" s="239">
        <v>46026.886805555558</v>
      </c>
      <c r="CW5" s="232"/>
      <c r="CX5" s="227"/>
      <c r="CY5" s="233" t="s">
        <v>688</v>
      </c>
      <c r="CZ5" s="234">
        <v>46035.456250000003</v>
      </c>
      <c r="DA5" s="227"/>
      <c r="DB5" s="227"/>
      <c r="DC5" s="233" t="s">
        <v>671</v>
      </c>
      <c r="DD5" s="234">
        <v>46027.893055555556</v>
      </c>
      <c r="DE5" s="227"/>
      <c r="DF5" s="233" t="s">
        <v>672</v>
      </c>
      <c r="DG5" s="234">
        <v>46027.797222222223</v>
      </c>
      <c r="DH5" s="227"/>
      <c r="DI5" s="233" t="s">
        <v>673</v>
      </c>
      <c r="DJ5" s="234">
        <v>46041.475694444445</v>
      </c>
      <c r="DK5" s="238">
        <v>0.25</v>
      </c>
      <c r="DL5" s="227"/>
      <c r="DM5" s="233" t="s">
        <v>675</v>
      </c>
      <c r="DN5" s="234">
        <v>46043.799305555556</v>
      </c>
      <c r="DO5" s="227"/>
      <c r="DP5" s="233" t="s">
        <v>677</v>
      </c>
      <c r="DQ5" s="234">
        <v>46027.840277777781</v>
      </c>
      <c r="DR5" s="227"/>
      <c r="DS5" s="233" t="s">
        <v>678</v>
      </c>
      <c r="DT5" s="234">
        <v>46026.884722222225</v>
      </c>
      <c r="DU5" s="227"/>
      <c r="DV5" s="233" t="s">
        <v>689</v>
      </c>
      <c r="DW5" s="234">
        <v>46048.850694444445</v>
      </c>
      <c r="DX5" s="227"/>
      <c r="DY5" s="227"/>
      <c r="DZ5" s="233" t="s">
        <v>679</v>
      </c>
      <c r="EA5" s="234">
        <v>46048.79583333333</v>
      </c>
      <c r="EB5" s="227"/>
      <c r="EC5" s="227"/>
      <c r="ED5" s="233" t="s">
        <v>681</v>
      </c>
      <c r="EE5" s="234">
        <v>46049.463888888888</v>
      </c>
      <c r="EF5" s="227"/>
    </row>
    <row r="6" spans="1:136" ht="15" customHeight="1">
      <c r="A6" s="227"/>
      <c r="B6" s="233" t="s">
        <v>642</v>
      </c>
      <c r="C6" s="234">
        <v>46027.587500000001</v>
      </c>
      <c r="D6" s="238">
        <v>1</v>
      </c>
      <c r="E6" s="227"/>
      <c r="F6" s="233" t="s">
        <v>696</v>
      </c>
      <c r="G6" s="234">
        <v>46030.453472222223</v>
      </c>
      <c r="H6" s="238">
        <v>1</v>
      </c>
      <c r="I6" s="227"/>
      <c r="J6" s="233" t="s">
        <v>646</v>
      </c>
      <c r="K6" s="234">
        <v>46028.972222222219</v>
      </c>
      <c r="L6" s="227"/>
      <c r="M6" s="233" t="s">
        <v>647</v>
      </c>
      <c r="N6" s="234">
        <v>46028.527083333334</v>
      </c>
      <c r="O6" s="227"/>
      <c r="P6" s="227"/>
      <c r="Q6" s="227"/>
      <c r="R6" s="233" t="s">
        <v>697</v>
      </c>
      <c r="S6" s="229">
        <v>2</v>
      </c>
      <c r="T6" s="227"/>
      <c r="U6" s="5" t="s">
        <v>650</v>
      </c>
      <c r="V6" s="237">
        <v>46027.928472222222</v>
      </c>
      <c r="W6" s="227"/>
      <c r="X6" s="227"/>
      <c r="Y6" s="233" t="s">
        <v>651</v>
      </c>
      <c r="Z6" s="234">
        <v>46027.462500000001</v>
      </c>
      <c r="AA6" s="227"/>
      <c r="AB6" s="233" t="s">
        <v>684</v>
      </c>
      <c r="AC6" s="234">
        <v>46027.494444444441</v>
      </c>
      <c r="AD6" s="238">
        <v>0.5</v>
      </c>
      <c r="AE6" s="233" t="s">
        <v>653</v>
      </c>
      <c r="AF6" s="234">
        <v>46028.459722222222</v>
      </c>
      <c r="AG6" s="229"/>
      <c r="AH6" s="233" t="s">
        <v>654</v>
      </c>
      <c r="AI6" s="234">
        <v>46028.87777777778</v>
      </c>
      <c r="AJ6" s="227"/>
      <c r="AK6" s="227"/>
      <c r="AL6" s="233" t="s">
        <v>686</v>
      </c>
      <c r="AM6" s="234">
        <v>46035.839583333334</v>
      </c>
      <c r="AN6" s="227"/>
      <c r="AO6" s="233" t="s">
        <v>655</v>
      </c>
      <c r="AP6" s="234">
        <v>46027.464583333334</v>
      </c>
      <c r="AQ6" s="227"/>
      <c r="AR6" s="233" t="s">
        <v>656</v>
      </c>
      <c r="AS6" s="234">
        <v>46032.521527777775</v>
      </c>
      <c r="AT6" s="227"/>
      <c r="AU6" s="233" t="s">
        <v>657</v>
      </c>
      <c r="AV6" s="234">
        <v>46027.467361111114</v>
      </c>
      <c r="AW6" s="227"/>
      <c r="AX6" s="233" t="s">
        <v>658</v>
      </c>
      <c r="AY6" s="234">
        <v>46027.506944444445</v>
      </c>
      <c r="AZ6" s="238">
        <v>1</v>
      </c>
      <c r="BA6" s="233" t="s">
        <v>667</v>
      </c>
      <c r="BB6" s="234">
        <v>46027.545138888891</v>
      </c>
      <c r="BC6" s="227"/>
      <c r="BD6" s="227"/>
      <c r="BE6" s="233" t="s">
        <v>660</v>
      </c>
      <c r="BF6" s="234">
        <v>46026.88958333333</v>
      </c>
      <c r="BG6" s="227"/>
      <c r="BH6" s="227"/>
      <c r="BI6" s="233" t="s">
        <v>661</v>
      </c>
      <c r="BJ6" s="234">
        <v>46027.536111111112</v>
      </c>
      <c r="BK6" s="227"/>
      <c r="BL6" s="227"/>
      <c r="BM6" s="233" t="s">
        <v>662</v>
      </c>
      <c r="BN6" s="234">
        <v>46034.792361111111</v>
      </c>
      <c r="BO6" s="227"/>
      <c r="BP6" s="227"/>
      <c r="BQ6" s="233" t="s">
        <v>663</v>
      </c>
      <c r="BR6" s="234">
        <v>46027.463194444441</v>
      </c>
      <c r="BS6" s="227"/>
      <c r="BT6" s="227"/>
      <c r="BU6" s="233" t="s">
        <v>664</v>
      </c>
      <c r="BV6" s="234">
        <v>46027.464583333334</v>
      </c>
      <c r="BW6" s="227"/>
      <c r="BX6" s="233" t="s">
        <v>665</v>
      </c>
      <c r="BY6" s="234">
        <v>46027.494444444441</v>
      </c>
      <c r="BZ6" s="238">
        <v>0.5</v>
      </c>
      <c r="CA6" s="227"/>
      <c r="CB6" s="233" t="s">
        <v>666</v>
      </c>
      <c r="CC6" s="234">
        <v>46029.460416666669</v>
      </c>
      <c r="CD6" s="227"/>
      <c r="CE6" s="227"/>
      <c r="CF6" s="233" t="s">
        <v>667</v>
      </c>
      <c r="CG6" s="234">
        <v>46029.502083333333</v>
      </c>
      <c r="CH6" s="238">
        <v>0</v>
      </c>
      <c r="CI6" s="227"/>
      <c r="CJ6" s="233" t="s">
        <v>668</v>
      </c>
      <c r="CK6" s="234">
        <v>46030.450694444444</v>
      </c>
      <c r="CL6" s="227"/>
      <c r="CM6" s="228" t="s">
        <v>669</v>
      </c>
      <c r="CN6" s="239">
        <v>46027.477083333331</v>
      </c>
      <c r="CO6" s="245">
        <v>0.25</v>
      </c>
      <c r="CP6" s="227"/>
      <c r="CQ6" s="233" t="s">
        <v>687</v>
      </c>
      <c r="CR6" s="234">
        <v>46028.509027777778</v>
      </c>
      <c r="CS6" s="238">
        <v>0.25</v>
      </c>
      <c r="CT6" s="227"/>
      <c r="CU6" s="228" t="s">
        <v>665</v>
      </c>
      <c r="CV6" s="239">
        <v>46027.494444444441</v>
      </c>
      <c r="CW6" s="245">
        <v>0.5</v>
      </c>
      <c r="CX6" s="227"/>
      <c r="CY6" s="233" t="s">
        <v>688</v>
      </c>
      <c r="CZ6" s="234">
        <v>46035.840277777781</v>
      </c>
      <c r="DA6" s="227"/>
      <c r="DB6" s="227"/>
      <c r="DC6" s="233" t="s">
        <v>671</v>
      </c>
      <c r="DD6" s="234">
        <v>46028.468055555553</v>
      </c>
      <c r="DE6" s="227"/>
      <c r="DF6" s="233" t="s">
        <v>672</v>
      </c>
      <c r="DG6" s="234">
        <v>46028.460416666669</v>
      </c>
      <c r="DH6" s="227"/>
      <c r="DI6" s="233" t="s">
        <v>673</v>
      </c>
      <c r="DJ6" s="234">
        <v>46041.835416666669</v>
      </c>
      <c r="DK6" s="227"/>
      <c r="DL6" s="227"/>
      <c r="DM6" s="233" t="s">
        <v>675</v>
      </c>
      <c r="DN6" s="234">
        <v>46044.461805555555</v>
      </c>
      <c r="DO6" s="227"/>
      <c r="DP6" s="233" t="s">
        <v>677</v>
      </c>
      <c r="DQ6" s="234">
        <v>46028.46597222222</v>
      </c>
      <c r="DR6" s="227"/>
      <c r="DS6" s="233" t="s">
        <v>678</v>
      </c>
      <c r="DT6" s="234">
        <v>46027.459722222222</v>
      </c>
      <c r="DU6" s="227"/>
      <c r="DV6" s="233" t="s">
        <v>683</v>
      </c>
      <c r="DW6" s="234">
        <v>46049.486805555556</v>
      </c>
      <c r="DX6" s="227"/>
      <c r="DY6" s="227"/>
      <c r="DZ6" s="233" t="s">
        <v>667</v>
      </c>
      <c r="EA6" s="234">
        <v>46049.543055555558</v>
      </c>
      <c r="EB6" s="227"/>
      <c r="EC6" s="227"/>
      <c r="ED6" s="233" t="s">
        <v>681</v>
      </c>
      <c r="EE6" s="234">
        <v>46049.852777777778</v>
      </c>
      <c r="EF6" s="227"/>
    </row>
    <row r="7" spans="1:136" ht="15" customHeight="1">
      <c r="A7" s="227"/>
      <c r="B7" s="233" t="s">
        <v>642</v>
      </c>
      <c r="C7" s="234">
        <v>46027.821527777778</v>
      </c>
      <c r="D7" s="227"/>
      <c r="E7" s="227"/>
      <c r="F7" s="233" t="s">
        <v>644</v>
      </c>
      <c r="G7" s="234">
        <v>46033.480555555558</v>
      </c>
      <c r="H7" s="238">
        <v>0.5</v>
      </c>
      <c r="I7" s="227"/>
      <c r="J7" s="233" t="s">
        <v>646</v>
      </c>
      <c r="K7" s="234">
        <v>46028.972916666666</v>
      </c>
      <c r="L7" s="227"/>
      <c r="M7" s="233" t="s">
        <v>647</v>
      </c>
      <c r="N7" s="234">
        <v>46028.527083333334</v>
      </c>
      <c r="O7" s="241"/>
      <c r="P7" s="227"/>
      <c r="Q7" s="233" t="s">
        <v>648</v>
      </c>
      <c r="R7" s="234">
        <v>46032.459722222222</v>
      </c>
      <c r="S7" s="229"/>
      <c r="T7" s="227"/>
      <c r="U7" s="5" t="s">
        <v>650</v>
      </c>
      <c r="V7" s="237">
        <v>46028.477083333331</v>
      </c>
      <c r="W7" s="238">
        <v>0.25</v>
      </c>
      <c r="X7" s="227"/>
      <c r="Y7" s="233" t="s">
        <v>651</v>
      </c>
      <c r="Z7" s="234">
        <v>46027.831944444442</v>
      </c>
      <c r="AA7" s="227"/>
      <c r="AB7" s="233" t="s">
        <v>684</v>
      </c>
      <c r="AC7" s="234">
        <v>46027.87222222222</v>
      </c>
      <c r="AD7" s="227"/>
      <c r="AE7" s="233" t="s">
        <v>653</v>
      </c>
      <c r="AF7" s="234">
        <v>46028.87777777778</v>
      </c>
      <c r="AG7" s="229"/>
      <c r="AH7" s="233" t="s">
        <v>685</v>
      </c>
      <c r="AI7" s="234">
        <v>46029.488194444442</v>
      </c>
      <c r="AJ7" s="238">
        <v>0.5</v>
      </c>
      <c r="AK7" s="227"/>
      <c r="AL7" s="233" t="s">
        <v>686</v>
      </c>
      <c r="AM7" s="234">
        <v>46036.45208333333</v>
      </c>
      <c r="AN7" s="227"/>
      <c r="AO7" s="233" t="s">
        <v>655</v>
      </c>
      <c r="AP7" s="234">
        <v>46027.874305555553</v>
      </c>
      <c r="AQ7" s="227"/>
      <c r="AR7" s="233" t="s">
        <v>656</v>
      </c>
      <c r="AS7" s="234">
        <v>46032.770833333336</v>
      </c>
      <c r="AT7" s="227"/>
      <c r="AU7" s="233" t="s">
        <v>657</v>
      </c>
      <c r="AV7" s="234">
        <v>46027.842361111114</v>
      </c>
      <c r="AW7" s="227"/>
      <c r="AX7" s="233" t="s">
        <v>658</v>
      </c>
      <c r="AY7" s="234">
        <v>46027.932638888888</v>
      </c>
      <c r="AZ7" s="227"/>
      <c r="BA7" s="233" t="s">
        <v>659</v>
      </c>
      <c r="BB7" s="234">
        <v>46027.859027777777</v>
      </c>
      <c r="BC7" s="227"/>
      <c r="BD7" s="227"/>
      <c r="BE7" s="233" t="s">
        <v>660</v>
      </c>
      <c r="BF7" s="234">
        <v>46027.872916666667</v>
      </c>
      <c r="BG7" s="227"/>
      <c r="BH7" s="227"/>
      <c r="BI7" s="233" t="s">
        <v>661</v>
      </c>
      <c r="BJ7" s="234">
        <v>46027.791666666664</v>
      </c>
      <c r="BK7" s="227"/>
      <c r="BL7" s="227"/>
      <c r="BM7" s="233" t="s">
        <v>662</v>
      </c>
      <c r="BN7" s="234">
        <v>46035.456944444442</v>
      </c>
      <c r="BO7" s="227"/>
      <c r="BP7" s="227"/>
      <c r="BQ7" s="233" t="s">
        <v>663</v>
      </c>
      <c r="BR7" s="234">
        <v>46027.873611111114</v>
      </c>
      <c r="BS7" s="227"/>
      <c r="BT7" s="227"/>
      <c r="BU7" s="233" t="s">
        <v>664</v>
      </c>
      <c r="BV7" s="234">
        <v>46027.85833333333</v>
      </c>
      <c r="BW7" s="227"/>
      <c r="BX7" s="233" t="s">
        <v>665</v>
      </c>
      <c r="BY7" s="234">
        <v>46027.924305555556</v>
      </c>
      <c r="BZ7" s="227"/>
      <c r="CA7" s="227"/>
      <c r="CB7" s="233" t="s">
        <v>666</v>
      </c>
      <c r="CC7" s="234">
        <v>46029.847916666666</v>
      </c>
      <c r="CD7" s="227"/>
      <c r="CE7" s="227"/>
      <c r="CF7" s="233" t="s">
        <v>695</v>
      </c>
      <c r="CG7" s="234">
        <v>46029.863888888889</v>
      </c>
      <c r="CH7" s="227"/>
      <c r="CI7" s="227"/>
      <c r="CJ7" s="233" t="s">
        <v>668</v>
      </c>
      <c r="CK7" s="234">
        <v>46033.452777777777</v>
      </c>
      <c r="CL7" s="227"/>
      <c r="CM7" s="228" t="s">
        <v>669</v>
      </c>
      <c r="CN7" s="239">
        <v>46027.893055555556</v>
      </c>
      <c r="CO7" s="232"/>
      <c r="CP7" s="227"/>
      <c r="CQ7" s="233" t="s">
        <v>687</v>
      </c>
      <c r="CR7" s="234">
        <v>46028.906944444447</v>
      </c>
      <c r="CS7" s="227"/>
      <c r="CT7" s="227"/>
      <c r="CU7" s="228" t="s">
        <v>665</v>
      </c>
      <c r="CV7" s="239">
        <v>46027.924305555556</v>
      </c>
      <c r="CW7" s="232"/>
      <c r="CX7" s="227"/>
      <c r="CY7" s="233" t="s">
        <v>688</v>
      </c>
      <c r="CZ7" s="234">
        <v>46036.453472222223</v>
      </c>
      <c r="DA7" s="227"/>
      <c r="DB7" s="227"/>
      <c r="DC7" s="233" t="s">
        <v>671</v>
      </c>
      <c r="DD7" s="234">
        <v>46029.463888888888</v>
      </c>
      <c r="DE7" s="227"/>
      <c r="DF7" s="233" t="s">
        <v>672</v>
      </c>
      <c r="DG7" s="234">
        <v>46028.795138888891</v>
      </c>
      <c r="DH7" s="227"/>
      <c r="DI7" s="233" t="s">
        <v>673</v>
      </c>
      <c r="DJ7" s="234">
        <v>46042.470833333333</v>
      </c>
      <c r="DK7" s="238">
        <v>0.25</v>
      </c>
      <c r="DL7" s="227"/>
      <c r="DM7" s="233" t="s">
        <v>675</v>
      </c>
      <c r="DN7" s="234">
        <v>46044.831944444442</v>
      </c>
      <c r="DO7" s="227"/>
      <c r="DP7" s="233" t="s">
        <v>677</v>
      </c>
      <c r="DQ7" s="234">
        <v>46028.850694444445</v>
      </c>
      <c r="DR7" s="227"/>
      <c r="DS7" s="233" t="s">
        <v>678</v>
      </c>
      <c r="DT7" s="234">
        <v>46028.470833333333</v>
      </c>
      <c r="DU7" s="227"/>
      <c r="DV7" s="233" t="s">
        <v>689</v>
      </c>
      <c r="DW7" s="234">
        <v>46049.833333333336</v>
      </c>
      <c r="DX7" s="227"/>
      <c r="DY7" s="227"/>
      <c r="DZ7" s="233" t="s">
        <v>679</v>
      </c>
      <c r="EA7" s="234">
        <v>46049.816666666666</v>
      </c>
      <c r="EB7" s="227"/>
      <c r="EC7" s="227"/>
      <c r="ED7" s="227"/>
      <c r="EE7" s="234">
        <v>46050.472916666666</v>
      </c>
      <c r="EF7" s="238">
        <v>0.25</v>
      </c>
    </row>
    <row r="8" spans="1:136" ht="15" customHeight="1">
      <c r="A8" s="227"/>
      <c r="B8" s="233" t="s">
        <v>642</v>
      </c>
      <c r="C8" s="234">
        <v>46028.972222222219</v>
      </c>
      <c r="D8" s="227"/>
      <c r="E8" s="227"/>
      <c r="F8" s="233" t="s">
        <v>644</v>
      </c>
      <c r="G8" s="234">
        <v>46033.791666666664</v>
      </c>
      <c r="H8" s="227"/>
      <c r="I8" s="227"/>
      <c r="J8" s="233" t="s">
        <v>646</v>
      </c>
      <c r="K8" s="234">
        <v>46029.474305555559</v>
      </c>
      <c r="L8" s="238">
        <v>0.25</v>
      </c>
      <c r="M8" s="233" t="s">
        <v>647</v>
      </c>
      <c r="N8" s="234">
        <v>46028.743750000001</v>
      </c>
      <c r="O8" s="227"/>
      <c r="P8" s="227"/>
      <c r="Q8" s="227"/>
      <c r="R8" s="233" t="s">
        <v>698</v>
      </c>
      <c r="S8" s="229">
        <v>2</v>
      </c>
      <c r="T8" s="227"/>
      <c r="U8" s="5" t="s">
        <v>650</v>
      </c>
      <c r="V8" s="237">
        <v>46029.462500000001</v>
      </c>
      <c r="W8" s="227"/>
      <c r="X8" s="227"/>
      <c r="Y8" s="233" t="s">
        <v>667</v>
      </c>
      <c r="Z8" s="234">
        <v>46028.511805555558</v>
      </c>
      <c r="AA8" s="227"/>
      <c r="AB8" s="233" t="s">
        <v>684</v>
      </c>
      <c r="AC8" s="234">
        <v>46028.490972222222</v>
      </c>
      <c r="AD8" s="238">
        <v>0.25</v>
      </c>
      <c r="AE8" s="233" t="s">
        <v>653</v>
      </c>
      <c r="AF8" s="234">
        <v>46029.457638888889</v>
      </c>
      <c r="AG8" s="229"/>
      <c r="AH8" s="233" t="s">
        <v>654</v>
      </c>
      <c r="AI8" s="234">
        <v>46029.865972222222</v>
      </c>
      <c r="AJ8" s="227"/>
      <c r="AK8" s="227"/>
      <c r="AL8" s="233" t="s">
        <v>686</v>
      </c>
      <c r="AM8" s="234">
        <v>46040.455555555556</v>
      </c>
      <c r="AN8" s="227"/>
      <c r="AO8" s="233" t="s">
        <v>655</v>
      </c>
      <c r="AP8" s="234">
        <v>46028.461805555555</v>
      </c>
      <c r="AQ8" s="227"/>
      <c r="AR8" s="233" t="s">
        <v>656</v>
      </c>
      <c r="AS8" s="234">
        <v>46035.470833333333</v>
      </c>
      <c r="AT8" s="238">
        <v>0.25</v>
      </c>
      <c r="AU8" s="233" t="s">
        <v>657</v>
      </c>
      <c r="AV8" s="234">
        <v>46028.467361111114</v>
      </c>
      <c r="AW8" s="227"/>
      <c r="AX8" s="233" t="s">
        <v>658</v>
      </c>
      <c r="AY8" s="234">
        <v>46028.470138888886</v>
      </c>
      <c r="AZ8" s="227"/>
      <c r="BA8" s="233" t="s">
        <v>699</v>
      </c>
      <c r="BB8" s="234">
        <v>46028.526388888888</v>
      </c>
      <c r="BC8" s="227"/>
      <c r="BD8" s="227"/>
      <c r="BE8" s="233" t="s">
        <v>660</v>
      </c>
      <c r="BF8" s="234">
        <v>46028.477777777778</v>
      </c>
      <c r="BG8" s="281" t="s">
        <v>667</v>
      </c>
      <c r="BH8" s="272"/>
      <c r="BI8" s="233" t="s">
        <v>661</v>
      </c>
      <c r="BJ8" s="234">
        <v>46028.457638888889</v>
      </c>
      <c r="BK8" s="227"/>
      <c r="BL8" s="227"/>
      <c r="BM8" s="233" t="s">
        <v>662</v>
      </c>
      <c r="BN8" s="234">
        <v>46036.459722222222</v>
      </c>
      <c r="BO8" s="227"/>
      <c r="BP8" s="227"/>
      <c r="BQ8" s="233" t="s">
        <v>663</v>
      </c>
      <c r="BR8" s="234">
        <v>46028.464583333334</v>
      </c>
      <c r="BS8" s="227"/>
      <c r="BT8" s="227"/>
      <c r="BU8" s="233" t="s">
        <v>664</v>
      </c>
      <c r="BV8" s="234">
        <v>46028.464583333334</v>
      </c>
      <c r="BW8" s="227"/>
      <c r="BX8" s="233" t="s">
        <v>665</v>
      </c>
      <c r="BY8" s="234">
        <v>46028.490972222222</v>
      </c>
      <c r="BZ8" s="238">
        <v>0.5</v>
      </c>
      <c r="CA8" s="227"/>
      <c r="CB8" s="233" t="s">
        <v>683</v>
      </c>
      <c r="CC8" s="234">
        <v>46030.474305555559</v>
      </c>
      <c r="CD8" s="227"/>
      <c r="CE8" s="227"/>
      <c r="CF8" s="241"/>
      <c r="CG8" s="234">
        <v>46030.523611111108</v>
      </c>
      <c r="CH8" s="238">
        <v>1</v>
      </c>
      <c r="CI8" s="227"/>
      <c r="CJ8" s="233" t="s">
        <v>668</v>
      </c>
      <c r="CK8" s="234">
        <v>46034.448611111111</v>
      </c>
      <c r="CL8" s="227"/>
      <c r="CM8" s="228" t="s">
        <v>669</v>
      </c>
      <c r="CN8" s="239">
        <v>46028.476388888892</v>
      </c>
      <c r="CO8" s="245">
        <v>0.25</v>
      </c>
      <c r="CP8" s="227"/>
      <c r="CQ8" s="233" t="s">
        <v>687</v>
      </c>
      <c r="CR8" s="234">
        <v>46029.537499999999</v>
      </c>
      <c r="CS8" s="238">
        <v>0.5</v>
      </c>
      <c r="CT8" s="227"/>
      <c r="CU8" s="228" t="s">
        <v>665</v>
      </c>
      <c r="CV8" s="239">
        <v>46028.490972222222</v>
      </c>
      <c r="CW8" s="245">
        <v>0.5</v>
      </c>
      <c r="CX8" s="227"/>
      <c r="CY8" s="233" t="s">
        <v>688</v>
      </c>
      <c r="CZ8" s="234">
        <v>46036.784722222219</v>
      </c>
      <c r="DA8" s="227"/>
      <c r="DB8" s="227"/>
      <c r="DC8" s="233" t="s">
        <v>671</v>
      </c>
      <c r="DD8" s="234">
        <v>46029.875</v>
      </c>
      <c r="DE8" s="227"/>
      <c r="DF8" s="233" t="s">
        <v>672</v>
      </c>
      <c r="DG8" s="234">
        <v>46029.462500000001</v>
      </c>
      <c r="DH8" s="227"/>
      <c r="DI8" s="233" t="s">
        <v>673</v>
      </c>
      <c r="DJ8" s="234">
        <v>46042.827777777777</v>
      </c>
      <c r="DK8" s="227"/>
      <c r="DL8" s="227"/>
      <c r="DM8" s="233" t="s">
        <v>675</v>
      </c>
      <c r="DN8" s="234">
        <v>46046.495833333334</v>
      </c>
      <c r="DO8" s="227"/>
      <c r="DP8" s="233" t="s">
        <v>677</v>
      </c>
      <c r="DQ8" s="234">
        <v>46029.459027777775</v>
      </c>
      <c r="DR8" s="227"/>
      <c r="DS8" s="233" t="s">
        <v>678</v>
      </c>
      <c r="DT8" s="234">
        <v>46029.459027777775</v>
      </c>
      <c r="DU8" s="227"/>
      <c r="DV8" s="233" t="s">
        <v>689</v>
      </c>
      <c r="DW8" s="234">
        <v>46050.456250000003</v>
      </c>
      <c r="DX8" s="227"/>
      <c r="DY8" s="227"/>
      <c r="DZ8" s="227"/>
      <c r="EA8" s="246">
        <v>46050</v>
      </c>
      <c r="EB8" s="238">
        <v>1</v>
      </c>
      <c r="EC8" s="227"/>
      <c r="ED8" s="227"/>
      <c r="EE8" s="227"/>
      <c r="EF8" s="227"/>
    </row>
    <row r="9" spans="1:136" ht="15" customHeight="1">
      <c r="A9" s="227"/>
      <c r="B9" s="233" t="s">
        <v>642</v>
      </c>
      <c r="C9" s="234">
        <v>46029.472916666666</v>
      </c>
      <c r="D9" s="238">
        <v>0.25</v>
      </c>
      <c r="E9" s="227"/>
      <c r="F9" s="233" t="s">
        <v>644</v>
      </c>
      <c r="G9" s="234">
        <v>46034.463194444441</v>
      </c>
      <c r="H9" s="227"/>
      <c r="I9" s="227"/>
      <c r="J9" s="233" t="s">
        <v>646</v>
      </c>
      <c r="K9" s="234">
        <v>46029.941666666666</v>
      </c>
      <c r="L9" s="227"/>
      <c r="M9" s="233" t="s">
        <v>647</v>
      </c>
      <c r="N9" s="234">
        <v>46029.46597222222</v>
      </c>
      <c r="O9" s="227"/>
      <c r="P9" s="227"/>
      <c r="Q9" s="233" t="s">
        <v>648</v>
      </c>
      <c r="R9" s="234">
        <v>46034.477777777778</v>
      </c>
      <c r="S9" s="229">
        <v>0.25</v>
      </c>
      <c r="T9" s="227"/>
      <c r="U9" s="5" t="s">
        <v>650</v>
      </c>
      <c r="V9" s="237">
        <v>46029.847222222219</v>
      </c>
      <c r="W9" s="227"/>
      <c r="X9" s="227"/>
      <c r="Y9" s="233" t="s">
        <v>651</v>
      </c>
      <c r="Z9" s="234">
        <v>46028.969444444447</v>
      </c>
      <c r="AA9" s="227"/>
      <c r="AB9" s="233" t="s">
        <v>684</v>
      </c>
      <c r="AC9" s="234">
        <v>46028.9</v>
      </c>
      <c r="AD9" s="227"/>
      <c r="AE9" s="233" t="s">
        <v>653</v>
      </c>
      <c r="AF9" s="234">
        <v>46029.853472222225</v>
      </c>
      <c r="AG9" s="229"/>
      <c r="AH9" s="233" t="s">
        <v>654</v>
      </c>
      <c r="AI9" s="234">
        <v>46030.48333333333</v>
      </c>
      <c r="AJ9" s="238">
        <v>0.5</v>
      </c>
      <c r="AK9" s="227"/>
      <c r="AL9" s="233" t="s">
        <v>686</v>
      </c>
      <c r="AM9" s="234">
        <v>46040.872916666667</v>
      </c>
      <c r="AN9" s="227"/>
      <c r="AO9" s="233" t="s">
        <v>655</v>
      </c>
      <c r="AP9" s="234">
        <v>46028.897222222222</v>
      </c>
      <c r="AQ9" s="227"/>
      <c r="AR9" s="233" t="s">
        <v>656</v>
      </c>
      <c r="AS9" s="234">
        <v>46035.842361111114</v>
      </c>
      <c r="AT9" s="227"/>
      <c r="AU9" s="233" t="s">
        <v>657</v>
      </c>
      <c r="AV9" s="234">
        <v>46028.855555555558</v>
      </c>
      <c r="AW9" s="227"/>
      <c r="AX9" s="233" t="s">
        <v>658</v>
      </c>
      <c r="AY9" s="234">
        <v>46028.974305555559</v>
      </c>
      <c r="AZ9" s="227"/>
      <c r="BA9" s="233" t="s">
        <v>659</v>
      </c>
      <c r="BB9" s="234">
        <v>46028.890277777777</v>
      </c>
      <c r="BC9" s="227"/>
      <c r="BD9" s="227"/>
      <c r="BE9" s="233" t="s">
        <v>660</v>
      </c>
      <c r="BF9" s="234">
        <v>46028.896527777775</v>
      </c>
      <c r="BG9" s="227"/>
      <c r="BH9" s="227"/>
      <c r="BI9" s="233" t="s">
        <v>661</v>
      </c>
      <c r="BJ9" s="234">
        <v>46028.791666666664</v>
      </c>
      <c r="BK9" s="227"/>
      <c r="BL9" s="227"/>
      <c r="BM9" s="233" t="s">
        <v>662</v>
      </c>
      <c r="BN9" s="234">
        <v>46040.462500000001</v>
      </c>
      <c r="BO9" s="227"/>
      <c r="BP9" s="227"/>
      <c r="BQ9" s="233" t="s">
        <v>663</v>
      </c>
      <c r="BR9" s="234">
        <v>46028.879166666666</v>
      </c>
      <c r="BS9" s="227"/>
      <c r="BT9" s="227"/>
      <c r="BU9" s="233" t="s">
        <v>664</v>
      </c>
      <c r="BV9" s="234">
        <v>46028.795138888891</v>
      </c>
      <c r="BW9" s="227"/>
      <c r="BX9" s="233" t="s">
        <v>665</v>
      </c>
      <c r="BY9" s="234">
        <v>46028.900694444441</v>
      </c>
      <c r="BZ9" s="227"/>
      <c r="CA9" s="227"/>
      <c r="CB9" s="233" t="s">
        <v>666</v>
      </c>
      <c r="CC9" s="234">
        <v>46032.529166666667</v>
      </c>
      <c r="CD9" s="227"/>
      <c r="CE9" s="227"/>
      <c r="CF9" s="233" t="s">
        <v>643</v>
      </c>
      <c r="CG9" s="234">
        <v>46032.525000000001</v>
      </c>
      <c r="CH9" s="227"/>
      <c r="CI9" s="227"/>
      <c r="CJ9" s="233" t="s">
        <v>668</v>
      </c>
      <c r="CK9" s="234">
        <v>46035.456944444442</v>
      </c>
      <c r="CL9" s="227"/>
      <c r="CM9" s="228" t="s">
        <v>669</v>
      </c>
      <c r="CN9" s="239">
        <v>46028.890277777777</v>
      </c>
      <c r="CO9" s="232"/>
      <c r="CP9" s="227"/>
      <c r="CQ9" s="233" t="s">
        <v>687</v>
      </c>
      <c r="CR9" s="234">
        <v>46029.790972222225</v>
      </c>
      <c r="CS9" s="227"/>
      <c r="CT9" s="227"/>
      <c r="CU9" s="228" t="s">
        <v>665</v>
      </c>
      <c r="CV9" s="228" t="s">
        <v>693</v>
      </c>
      <c r="CW9" s="245">
        <v>2</v>
      </c>
      <c r="CX9" s="227"/>
      <c r="CY9" s="233" t="s">
        <v>688</v>
      </c>
      <c r="CZ9" s="234">
        <v>46040.455555555556</v>
      </c>
      <c r="DA9" s="227"/>
      <c r="DB9" s="227"/>
      <c r="DC9" s="233" t="s">
        <v>671</v>
      </c>
      <c r="DD9" s="234">
        <v>46030.46597222222</v>
      </c>
      <c r="DE9" s="227"/>
      <c r="DF9" s="233" t="s">
        <v>672</v>
      </c>
      <c r="DG9" s="234">
        <v>46029.707638888889</v>
      </c>
      <c r="DH9" s="227"/>
      <c r="DI9" s="233" t="s">
        <v>673</v>
      </c>
      <c r="DJ9" s="234">
        <v>46043.465277777781</v>
      </c>
      <c r="DK9" s="227"/>
      <c r="DL9" s="227"/>
      <c r="DM9" s="233" t="s">
        <v>675</v>
      </c>
      <c r="DN9" s="234">
        <v>46046.793055555558</v>
      </c>
      <c r="DO9" s="227"/>
      <c r="DP9" s="233" t="s">
        <v>677</v>
      </c>
      <c r="DQ9" s="234">
        <v>46029.836111111108</v>
      </c>
      <c r="DR9" s="227"/>
      <c r="DS9" s="233" t="s">
        <v>678</v>
      </c>
      <c r="DT9" s="234">
        <v>46029.865277777775</v>
      </c>
      <c r="DU9" s="227"/>
      <c r="DV9" s="227"/>
      <c r="DW9" s="227"/>
      <c r="DX9" s="227"/>
      <c r="DY9" s="227"/>
      <c r="DZ9" s="227"/>
      <c r="EA9" s="246">
        <v>46051</v>
      </c>
      <c r="EB9" s="238">
        <v>1</v>
      </c>
      <c r="EC9" s="227"/>
      <c r="ED9" s="227"/>
      <c r="EE9" s="227"/>
      <c r="EF9" s="227"/>
    </row>
    <row r="10" spans="1:136" ht="15" customHeight="1">
      <c r="A10" s="227"/>
      <c r="B10" s="233" t="s">
        <v>642</v>
      </c>
      <c r="C10" s="234">
        <v>46029.943055555559</v>
      </c>
      <c r="D10" s="227"/>
      <c r="E10" s="227"/>
      <c r="F10" s="233" t="s">
        <v>644</v>
      </c>
      <c r="G10" s="234">
        <v>46034.792361111111</v>
      </c>
      <c r="H10" s="227"/>
      <c r="I10" s="227"/>
      <c r="J10" s="235" t="s">
        <v>667</v>
      </c>
      <c r="K10" s="234">
        <v>46030.48333333333</v>
      </c>
      <c r="L10" s="227"/>
      <c r="M10" s="233" t="s">
        <v>647</v>
      </c>
      <c r="N10" s="234">
        <v>46029.795138888891</v>
      </c>
      <c r="O10" s="227"/>
      <c r="P10" s="227"/>
      <c r="Q10" s="233" t="s">
        <v>648</v>
      </c>
      <c r="R10" s="234">
        <v>46035.539583333331</v>
      </c>
      <c r="S10" s="229">
        <v>1</v>
      </c>
      <c r="T10" s="227"/>
      <c r="U10" s="5" t="s">
        <v>650</v>
      </c>
      <c r="V10" s="237">
        <v>46030.478472222225</v>
      </c>
      <c r="W10" s="238">
        <v>0.25</v>
      </c>
      <c r="X10" s="227"/>
      <c r="Y10" s="233" t="s">
        <v>651</v>
      </c>
      <c r="Z10" s="234">
        <v>46028.97152777778</v>
      </c>
      <c r="AA10" s="227"/>
      <c r="AB10" s="233" t="s">
        <v>692</v>
      </c>
      <c r="AC10" s="234">
        <v>46029.529861111114</v>
      </c>
      <c r="AD10" s="227"/>
      <c r="AE10" s="233" t="s">
        <v>653</v>
      </c>
      <c r="AF10" s="234">
        <v>46030.461111111108</v>
      </c>
      <c r="AG10" s="229"/>
      <c r="AH10" s="233" t="s">
        <v>654</v>
      </c>
      <c r="AI10" s="234">
        <v>46032.540277777778</v>
      </c>
      <c r="AJ10" s="227"/>
      <c r="AK10" s="227"/>
      <c r="AL10" s="233" t="s">
        <v>686</v>
      </c>
      <c r="AM10" s="234">
        <v>46040.879166666666</v>
      </c>
      <c r="AN10" s="227"/>
      <c r="AO10" s="233" t="s">
        <v>655</v>
      </c>
      <c r="AP10" s="234">
        <v>46029.463194444441</v>
      </c>
      <c r="AQ10" s="227"/>
      <c r="AR10" s="233" t="s">
        <v>656</v>
      </c>
      <c r="AS10" s="234">
        <v>46040.487500000003</v>
      </c>
      <c r="AT10" s="238">
        <v>0.5</v>
      </c>
      <c r="AU10" s="233" t="s">
        <v>657</v>
      </c>
      <c r="AV10" s="234">
        <v>46029.468055555553</v>
      </c>
      <c r="AW10" s="227"/>
      <c r="AX10" s="233" t="s">
        <v>683</v>
      </c>
      <c r="AY10" s="234">
        <v>46029.539583333331</v>
      </c>
      <c r="AZ10" s="227"/>
      <c r="BA10" s="233" t="s">
        <v>699</v>
      </c>
      <c r="BB10" s="234">
        <v>46029.472916666666</v>
      </c>
      <c r="BC10" s="227"/>
      <c r="BD10" s="227"/>
      <c r="BE10" s="233" t="s">
        <v>667</v>
      </c>
      <c r="BF10" s="234">
        <v>46029.51458333333</v>
      </c>
      <c r="BG10" s="227"/>
      <c r="BH10" s="227"/>
      <c r="BI10" s="233" t="s">
        <v>661</v>
      </c>
      <c r="BJ10" s="234">
        <v>46029.455555555556</v>
      </c>
      <c r="BK10" s="227"/>
      <c r="BL10" s="227"/>
      <c r="BM10" s="233" t="s">
        <v>662</v>
      </c>
      <c r="BN10" s="234">
        <v>46040.79791666667</v>
      </c>
      <c r="BO10" s="227"/>
      <c r="BP10" s="227"/>
      <c r="BQ10" s="233" t="s">
        <v>663</v>
      </c>
      <c r="BR10" s="234">
        <v>46029.462500000001</v>
      </c>
      <c r="BS10" s="227"/>
      <c r="BT10" s="227"/>
      <c r="BU10" s="233" t="s">
        <v>692</v>
      </c>
      <c r="BV10" s="234">
        <v>46029.506249999999</v>
      </c>
      <c r="BW10" s="227"/>
      <c r="BX10" s="233" t="s">
        <v>665</v>
      </c>
      <c r="BY10" s="234">
        <v>46030.479166666664</v>
      </c>
      <c r="BZ10" s="238">
        <v>0.25</v>
      </c>
      <c r="CA10" s="227"/>
      <c r="CB10" s="233" t="s">
        <v>666</v>
      </c>
      <c r="CC10" s="234">
        <v>46032.844444444447</v>
      </c>
      <c r="CD10" s="227"/>
      <c r="CE10" s="227"/>
      <c r="CF10" s="233" t="s">
        <v>695</v>
      </c>
      <c r="CG10" s="234">
        <v>46032.79583333333</v>
      </c>
      <c r="CH10" s="227"/>
      <c r="CI10" s="227"/>
      <c r="CJ10" s="233" t="s">
        <v>668</v>
      </c>
      <c r="CK10" s="234">
        <v>46036.456944444442</v>
      </c>
      <c r="CL10" s="227"/>
      <c r="CM10" s="228" t="s">
        <v>669</v>
      </c>
      <c r="CN10" s="239">
        <v>46029.474305555559</v>
      </c>
      <c r="CO10" s="245">
        <v>0.25</v>
      </c>
      <c r="CP10" s="227"/>
      <c r="CQ10" s="235" t="s">
        <v>697</v>
      </c>
      <c r="CR10" s="234">
        <v>46033.883333333331</v>
      </c>
      <c r="CS10" s="227"/>
      <c r="CT10" s="227"/>
      <c r="CU10" s="228" t="s">
        <v>665</v>
      </c>
      <c r="CV10" s="239">
        <v>46030.479166666664</v>
      </c>
      <c r="CW10" s="245">
        <v>0.25</v>
      </c>
      <c r="CX10" s="227"/>
      <c r="CY10" s="233" t="s">
        <v>688</v>
      </c>
      <c r="CZ10" s="234">
        <v>46040.455555555556</v>
      </c>
      <c r="DA10" s="227"/>
      <c r="DB10" s="227"/>
      <c r="DC10" s="233" t="s">
        <v>671</v>
      </c>
      <c r="DD10" s="234">
        <v>46032.502083333333</v>
      </c>
      <c r="DE10" s="227"/>
      <c r="DF10" s="233" t="s">
        <v>672</v>
      </c>
      <c r="DG10" s="234">
        <v>46030.460416666669</v>
      </c>
      <c r="DH10" s="227"/>
      <c r="DI10" s="233" t="s">
        <v>673</v>
      </c>
      <c r="DJ10" s="234">
        <v>46047.459722222222</v>
      </c>
      <c r="DK10" s="227"/>
      <c r="DL10" s="227"/>
      <c r="DM10" s="233" t="s">
        <v>675</v>
      </c>
      <c r="DN10" s="234">
        <v>46047.461111111108</v>
      </c>
      <c r="DO10" s="227"/>
      <c r="DP10" s="233" t="s">
        <v>677</v>
      </c>
      <c r="DQ10" s="234">
        <v>46030.45</v>
      </c>
      <c r="DR10" s="227"/>
      <c r="DS10" s="233" t="s">
        <v>678</v>
      </c>
      <c r="DT10" s="234">
        <v>46030.491666666669</v>
      </c>
      <c r="DU10" s="238">
        <v>0.5</v>
      </c>
      <c r="DV10" s="227"/>
      <c r="DW10" s="227"/>
      <c r="DX10" s="227"/>
      <c r="DY10" s="227"/>
      <c r="DZ10" s="227"/>
      <c r="EA10" s="227"/>
      <c r="EB10" s="227"/>
      <c r="EC10" s="227"/>
      <c r="ED10" s="227"/>
      <c r="EE10" s="227"/>
      <c r="EF10" s="227"/>
    </row>
    <row r="11" spans="1:136" ht="15" customHeight="1">
      <c r="A11" s="227"/>
      <c r="B11" s="233" t="s">
        <v>700</v>
      </c>
      <c r="C11" s="234">
        <v>46030.478472222225</v>
      </c>
      <c r="D11" s="238">
        <v>0.25</v>
      </c>
      <c r="E11" s="227"/>
      <c r="F11" s="233" t="s">
        <v>644</v>
      </c>
      <c r="G11" s="234">
        <v>46035.46597222222</v>
      </c>
      <c r="H11" s="227"/>
      <c r="I11" s="227"/>
      <c r="J11" s="247" t="s">
        <v>701</v>
      </c>
      <c r="K11" s="248">
        <v>46033.820138888892</v>
      </c>
      <c r="L11" s="227"/>
      <c r="M11" s="233" t="s">
        <v>647</v>
      </c>
      <c r="N11" s="234">
        <v>46030.447916666664</v>
      </c>
      <c r="O11" s="227"/>
      <c r="P11" s="227"/>
      <c r="Q11" s="233" t="s">
        <v>648</v>
      </c>
      <c r="R11" s="234">
        <v>46036.489583333336</v>
      </c>
      <c r="S11" s="5">
        <v>0.5</v>
      </c>
      <c r="T11" s="227"/>
      <c r="U11" s="5" t="s">
        <v>650</v>
      </c>
      <c r="V11" s="237">
        <v>46032.557638888888</v>
      </c>
      <c r="W11" s="227"/>
      <c r="X11" s="227"/>
      <c r="Y11" s="233" t="s">
        <v>651</v>
      </c>
      <c r="Z11" s="234">
        <v>46028.973611111112</v>
      </c>
      <c r="AA11" s="227"/>
      <c r="AB11" s="233" t="s">
        <v>684</v>
      </c>
      <c r="AC11" s="234">
        <v>46030.479166666664</v>
      </c>
      <c r="AD11" s="227"/>
      <c r="AE11" s="233" t="s">
        <v>702</v>
      </c>
      <c r="AF11" s="234">
        <v>46030.706250000003</v>
      </c>
      <c r="AG11" s="229">
        <v>1</v>
      </c>
      <c r="AH11" s="233" t="s">
        <v>667</v>
      </c>
      <c r="AI11" s="234">
        <v>46033.517361111109</v>
      </c>
      <c r="AJ11" s="238">
        <v>0.25</v>
      </c>
      <c r="AK11" s="227"/>
      <c r="AL11" s="233" t="s">
        <v>686</v>
      </c>
      <c r="AM11" s="234">
        <v>46041.445138888892</v>
      </c>
      <c r="AN11" s="227"/>
      <c r="AO11" s="233" t="s">
        <v>655</v>
      </c>
      <c r="AP11" s="234">
        <v>46029.875</v>
      </c>
      <c r="AQ11" s="227"/>
      <c r="AR11" s="233" t="s">
        <v>656</v>
      </c>
      <c r="AS11" s="234">
        <v>46040.882638888892</v>
      </c>
      <c r="AT11" s="227"/>
      <c r="AU11" s="233" t="s">
        <v>657</v>
      </c>
      <c r="AV11" s="234">
        <v>46029.851388888892</v>
      </c>
      <c r="AW11" s="227"/>
      <c r="AX11" s="233" t="s">
        <v>658</v>
      </c>
      <c r="AY11" s="234">
        <v>46029.939583333333</v>
      </c>
      <c r="AZ11" s="227"/>
      <c r="BA11" s="233" t="s">
        <v>659</v>
      </c>
      <c r="BB11" s="234">
        <v>46029.943055555559</v>
      </c>
      <c r="BC11" s="227"/>
      <c r="BD11" s="227"/>
      <c r="BE11" s="233" t="s">
        <v>660</v>
      </c>
      <c r="BF11" s="234">
        <v>46029.881249999999</v>
      </c>
      <c r="BG11" s="227"/>
      <c r="BH11" s="227"/>
      <c r="BI11" s="233" t="s">
        <v>661</v>
      </c>
      <c r="BJ11" s="234">
        <v>46029.790972222225</v>
      </c>
      <c r="BK11" s="227"/>
      <c r="BL11" s="227"/>
      <c r="BM11" s="233" t="s">
        <v>662</v>
      </c>
      <c r="BN11" s="234">
        <v>46041.458333333336</v>
      </c>
      <c r="BO11" s="227"/>
      <c r="BP11" s="227"/>
      <c r="BQ11" s="233" t="s">
        <v>663</v>
      </c>
      <c r="BR11" s="234">
        <v>46029.806944444441</v>
      </c>
      <c r="BS11" s="227"/>
      <c r="BT11" s="227"/>
      <c r="BU11" s="233" t="s">
        <v>664</v>
      </c>
      <c r="BV11" s="234">
        <v>46029.791666666664</v>
      </c>
      <c r="BW11" s="227"/>
      <c r="BX11" s="233" t="s">
        <v>665</v>
      </c>
      <c r="BY11" s="234">
        <v>46030.741666666669</v>
      </c>
      <c r="BZ11" s="227"/>
      <c r="CA11" s="227"/>
      <c r="CB11" s="233" t="s">
        <v>666</v>
      </c>
      <c r="CC11" s="234">
        <v>46033.464583333334</v>
      </c>
      <c r="CD11" s="227"/>
      <c r="CE11" s="227"/>
      <c r="CF11" s="233" t="s">
        <v>695</v>
      </c>
      <c r="CG11" s="234">
        <v>46033.470138888886</v>
      </c>
      <c r="CH11" s="227"/>
      <c r="CI11" s="227"/>
      <c r="CJ11" s="233" t="s">
        <v>668</v>
      </c>
      <c r="CK11" s="234">
        <v>46041.457638888889</v>
      </c>
      <c r="CL11" s="227"/>
      <c r="CM11" s="228" t="s">
        <v>669</v>
      </c>
      <c r="CN11" s="239">
        <v>46029.932638888888</v>
      </c>
      <c r="CO11" s="232"/>
      <c r="CP11" s="227"/>
      <c r="CQ11" s="233" t="s">
        <v>703</v>
      </c>
      <c r="CR11" s="234">
        <v>46034.661805555559</v>
      </c>
      <c r="CS11" s="227"/>
      <c r="CT11" s="227"/>
      <c r="CU11" s="228" t="s">
        <v>665</v>
      </c>
      <c r="CV11" s="239">
        <v>46030.741666666669</v>
      </c>
      <c r="CW11" s="232"/>
      <c r="CX11" s="227"/>
      <c r="CY11" s="233" t="s">
        <v>688</v>
      </c>
      <c r="CZ11" s="234">
        <v>46040.852083333331</v>
      </c>
      <c r="DA11" s="227"/>
      <c r="DB11" s="227"/>
      <c r="DC11" s="233" t="s">
        <v>671</v>
      </c>
      <c r="DD11" s="234">
        <v>46032.79583333333</v>
      </c>
      <c r="DE11" s="227"/>
      <c r="DF11" s="233" t="s">
        <v>672</v>
      </c>
      <c r="DG11" s="234">
        <v>46030.742361111108</v>
      </c>
      <c r="DH11" s="227"/>
      <c r="DI11" s="227"/>
      <c r="DJ11" s="227"/>
      <c r="DK11" s="238">
        <v>0.75</v>
      </c>
      <c r="DL11" s="227"/>
      <c r="DM11" s="233" t="s">
        <v>675</v>
      </c>
      <c r="DN11" s="234">
        <v>46048.467361111114</v>
      </c>
      <c r="DO11" s="227"/>
      <c r="DP11" s="227"/>
      <c r="DQ11" s="227"/>
      <c r="DR11" s="227"/>
      <c r="DS11" s="227"/>
      <c r="DT11" s="227"/>
      <c r="DU11" s="227"/>
      <c r="DV11" s="227"/>
      <c r="DW11" s="227"/>
      <c r="DX11" s="227"/>
      <c r="DY11" s="227"/>
      <c r="DZ11" s="227"/>
      <c r="EA11" s="227"/>
      <c r="EB11" s="227"/>
      <c r="EC11" s="227"/>
      <c r="ED11" s="227"/>
      <c r="EE11" s="227"/>
      <c r="EF11" s="227"/>
    </row>
    <row r="12" spans="1:136" ht="15" customHeight="1">
      <c r="A12" s="227"/>
      <c r="B12" s="233" t="s">
        <v>642</v>
      </c>
      <c r="C12" s="234">
        <v>46030.48333333333</v>
      </c>
      <c r="D12" s="227"/>
      <c r="E12" s="227"/>
      <c r="F12" s="233" t="s">
        <v>644</v>
      </c>
      <c r="G12" s="234">
        <v>46036.460416666669</v>
      </c>
      <c r="H12" s="227"/>
      <c r="I12" s="227"/>
      <c r="J12" s="233" t="s">
        <v>646</v>
      </c>
      <c r="K12" s="234">
        <v>46034.478472222225</v>
      </c>
      <c r="L12" s="238">
        <v>0.25</v>
      </c>
      <c r="M12" s="233" t="s">
        <v>643</v>
      </c>
      <c r="N12" s="234">
        <v>46032.559027777781</v>
      </c>
      <c r="O12" s="227"/>
      <c r="P12" s="227"/>
      <c r="Q12" s="233" t="s">
        <v>704</v>
      </c>
      <c r="R12" s="233" t="s">
        <v>705</v>
      </c>
      <c r="S12" s="229">
        <v>1</v>
      </c>
      <c r="T12" s="227"/>
      <c r="U12" s="5" t="s">
        <v>650</v>
      </c>
      <c r="V12" s="237">
        <v>46032.818055555559</v>
      </c>
      <c r="W12" s="227"/>
      <c r="X12" s="227"/>
      <c r="Y12" s="233" t="s">
        <v>651</v>
      </c>
      <c r="Z12" s="234">
        <v>46029.474999999999</v>
      </c>
      <c r="AA12" s="238">
        <v>0.25</v>
      </c>
      <c r="AB12" s="233" t="s">
        <v>692</v>
      </c>
      <c r="AC12" s="234">
        <v>46032.604861111111</v>
      </c>
      <c r="AD12" s="227"/>
      <c r="AE12" s="233" t="s">
        <v>683</v>
      </c>
      <c r="AF12" s="249">
        <v>46034.47152777778</v>
      </c>
      <c r="AG12" s="229"/>
      <c r="AH12" s="233" t="s">
        <v>654</v>
      </c>
      <c r="AI12" s="234">
        <v>46033.878472222219</v>
      </c>
      <c r="AJ12" s="227"/>
      <c r="AK12" s="227"/>
      <c r="AL12" s="233" t="s">
        <v>686</v>
      </c>
      <c r="AM12" s="234">
        <v>46041.836111111108</v>
      </c>
      <c r="AN12" s="227"/>
      <c r="AO12" s="233" t="s">
        <v>655</v>
      </c>
      <c r="AP12" s="234">
        <v>46030.465277777781</v>
      </c>
      <c r="AQ12" s="227"/>
      <c r="AR12" s="233" t="s">
        <v>656</v>
      </c>
      <c r="AS12" s="234">
        <v>46046.525000000001</v>
      </c>
      <c r="AT12" s="227"/>
      <c r="AU12" s="233" t="s">
        <v>657</v>
      </c>
      <c r="AV12" s="234">
        <v>46030.470138888886</v>
      </c>
      <c r="AW12" s="238">
        <v>0.25</v>
      </c>
      <c r="AX12" s="233" t="s">
        <v>658</v>
      </c>
      <c r="AY12" s="234">
        <v>46030.525000000001</v>
      </c>
      <c r="AZ12" s="238">
        <v>1</v>
      </c>
      <c r="BA12" s="233" t="s">
        <v>659</v>
      </c>
      <c r="BB12" s="234">
        <v>46030.478472222225</v>
      </c>
      <c r="BC12" s="238">
        <v>0.25</v>
      </c>
      <c r="BD12" s="227"/>
      <c r="BE12" s="233" t="s">
        <v>660</v>
      </c>
      <c r="BF12" s="234">
        <v>46030.463194444441</v>
      </c>
      <c r="BG12" s="227"/>
      <c r="BH12" s="227"/>
      <c r="BI12" s="233" t="s">
        <v>661</v>
      </c>
      <c r="BJ12" s="234">
        <v>46029.791666666664</v>
      </c>
      <c r="BK12" s="227"/>
      <c r="BL12" s="227"/>
      <c r="BM12" s="233" t="s">
        <v>662</v>
      </c>
      <c r="BN12" s="234">
        <v>46041.806250000001</v>
      </c>
      <c r="BO12" s="227"/>
      <c r="BP12" s="227"/>
      <c r="BQ12" s="233" t="s">
        <v>667</v>
      </c>
      <c r="BR12" s="234">
        <v>46030.505555555559</v>
      </c>
      <c r="BS12" s="227"/>
      <c r="BT12" s="227"/>
      <c r="BU12" s="233" t="s">
        <v>664</v>
      </c>
      <c r="BV12" s="234">
        <v>46030.459722222222</v>
      </c>
      <c r="BW12" s="227"/>
      <c r="BX12" s="241"/>
      <c r="BY12" s="234">
        <v>46032.722222222219</v>
      </c>
      <c r="BZ12" s="227"/>
      <c r="CA12" s="227"/>
      <c r="CB12" s="233" t="s">
        <v>666</v>
      </c>
      <c r="CC12" s="234">
        <v>46033.802777777775</v>
      </c>
      <c r="CD12" s="227"/>
      <c r="CE12" s="227"/>
      <c r="CF12" s="233" t="s">
        <v>695</v>
      </c>
      <c r="CG12" s="234">
        <v>46033.878472222219</v>
      </c>
      <c r="CH12" s="227"/>
      <c r="CI12" s="227"/>
      <c r="CJ12" s="233" t="s">
        <v>668</v>
      </c>
      <c r="CK12" s="234">
        <v>46042.44027777778</v>
      </c>
      <c r="CL12" s="227"/>
      <c r="CM12" s="228" t="s">
        <v>669</v>
      </c>
      <c r="CN12" s="239">
        <v>46030.484027777777</v>
      </c>
      <c r="CO12" s="245">
        <v>0.5</v>
      </c>
      <c r="CP12" s="227"/>
      <c r="CQ12" s="233" t="s">
        <v>687</v>
      </c>
      <c r="CR12" s="234">
        <v>46034.834027777775</v>
      </c>
      <c r="CS12" s="227"/>
      <c r="CT12" s="227"/>
      <c r="CU12" s="228" t="s">
        <v>665</v>
      </c>
      <c r="CV12" s="228" t="s">
        <v>698</v>
      </c>
      <c r="CW12" s="245">
        <v>2</v>
      </c>
      <c r="CX12" s="227"/>
      <c r="CY12" s="233" t="s">
        <v>688</v>
      </c>
      <c r="CZ12" s="234">
        <v>46041.461111111108</v>
      </c>
      <c r="DA12" s="227"/>
      <c r="DB12" s="227"/>
      <c r="DC12" s="233" t="s">
        <v>692</v>
      </c>
      <c r="DD12" s="234">
        <v>46033.615277777775</v>
      </c>
      <c r="DE12" s="227"/>
      <c r="DF12" s="233" t="s">
        <v>672</v>
      </c>
      <c r="DG12" s="234">
        <v>46033.463888888888</v>
      </c>
      <c r="DH12" s="227"/>
      <c r="DI12" s="227"/>
      <c r="DJ12" s="227"/>
      <c r="DK12" s="227"/>
      <c r="DL12" s="227"/>
      <c r="DM12" s="233" t="s">
        <v>675</v>
      </c>
      <c r="DN12" s="234">
        <v>46048.833333333336</v>
      </c>
      <c r="DO12" s="227"/>
      <c r="DP12" s="227"/>
      <c r="DQ12" s="227"/>
      <c r="DR12" s="227"/>
      <c r="DS12" s="227"/>
      <c r="DT12" s="227"/>
      <c r="DU12" s="227"/>
      <c r="DV12" s="227"/>
      <c r="DW12" s="227"/>
      <c r="DX12" s="227"/>
      <c r="DY12" s="227"/>
      <c r="DZ12" s="227"/>
      <c r="EA12" s="227"/>
      <c r="EB12" s="227"/>
      <c r="EC12" s="227"/>
      <c r="ED12" s="227"/>
      <c r="EE12" s="227"/>
      <c r="EF12" s="227"/>
    </row>
    <row r="13" spans="1:136" ht="15" customHeight="1">
      <c r="A13" s="227"/>
      <c r="B13" s="233" t="s">
        <v>642</v>
      </c>
      <c r="C13" s="234">
        <v>46032.815972222219</v>
      </c>
      <c r="D13" s="227"/>
      <c r="E13" s="227"/>
      <c r="F13" s="247" t="s">
        <v>706</v>
      </c>
      <c r="G13" s="248">
        <v>46036.752083333333</v>
      </c>
      <c r="H13" s="227"/>
      <c r="I13" s="227"/>
      <c r="J13" s="233" t="s">
        <v>646</v>
      </c>
      <c r="K13" s="234">
        <v>46034.831250000003</v>
      </c>
      <c r="L13" s="227"/>
      <c r="M13" s="233" t="s">
        <v>647</v>
      </c>
      <c r="N13" s="234">
        <v>46032.79583333333</v>
      </c>
      <c r="O13" s="227"/>
      <c r="P13" s="227"/>
      <c r="Q13" s="241"/>
      <c r="R13" s="234">
        <v>46041.472222222219</v>
      </c>
      <c r="S13" s="5">
        <v>0.25</v>
      </c>
      <c r="T13" s="227"/>
      <c r="U13" s="5" t="s">
        <v>683</v>
      </c>
      <c r="V13" s="237">
        <v>46033.488194444442</v>
      </c>
      <c r="W13" s="227"/>
      <c r="X13" s="227"/>
      <c r="Y13" s="233" t="s">
        <v>651</v>
      </c>
      <c r="Z13" s="234">
        <v>46029.475694444445</v>
      </c>
      <c r="AA13" s="227"/>
      <c r="AB13" s="233" t="s">
        <v>684</v>
      </c>
      <c r="AC13" s="234">
        <v>46033.480555555558</v>
      </c>
      <c r="AD13" s="227"/>
      <c r="AE13" s="233" t="s">
        <v>653</v>
      </c>
      <c r="AF13" s="234">
        <v>46034.798611111109</v>
      </c>
      <c r="AG13" s="229"/>
      <c r="AH13" s="233" t="s">
        <v>667</v>
      </c>
      <c r="AI13" s="234">
        <v>46034.509722222225</v>
      </c>
      <c r="AJ13" s="238">
        <v>0.25</v>
      </c>
      <c r="AK13" s="227"/>
      <c r="AL13" s="233" t="s">
        <v>686</v>
      </c>
      <c r="AM13" s="234">
        <v>46042.448611111111</v>
      </c>
      <c r="AN13" s="227"/>
      <c r="AO13" s="233" t="s">
        <v>655</v>
      </c>
      <c r="AP13" s="234">
        <v>46030.741666666669</v>
      </c>
      <c r="AQ13" s="227"/>
      <c r="AR13" s="233" t="s">
        <v>656</v>
      </c>
      <c r="AS13" s="234">
        <v>46046.836805555555</v>
      </c>
      <c r="AT13" s="227"/>
      <c r="AU13" s="233" t="s">
        <v>657</v>
      </c>
      <c r="AV13" s="234">
        <v>46032.504166666666</v>
      </c>
      <c r="AW13" s="227"/>
      <c r="AX13" s="233" t="s">
        <v>658</v>
      </c>
      <c r="AY13" s="234">
        <v>46031.1</v>
      </c>
      <c r="AZ13" s="227"/>
      <c r="BA13" s="233" t="s">
        <v>659</v>
      </c>
      <c r="BB13" s="234">
        <v>46032.677777777775</v>
      </c>
      <c r="BC13" s="227"/>
      <c r="BD13" s="227"/>
      <c r="BE13" s="233" t="s">
        <v>660</v>
      </c>
      <c r="BF13" s="234">
        <v>46032.529166666667</v>
      </c>
      <c r="BG13" s="227"/>
      <c r="BH13" s="227"/>
      <c r="BI13" s="233" t="s">
        <v>661</v>
      </c>
      <c r="BJ13" s="234">
        <v>46030.448611111111</v>
      </c>
      <c r="BK13" s="227"/>
      <c r="BL13" s="227"/>
      <c r="BM13" s="233" t="s">
        <v>662</v>
      </c>
      <c r="BN13" s="234">
        <v>46042.460416666669</v>
      </c>
      <c r="BO13" s="227"/>
      <c r="BP13" s="227"/>
      <c r="BQ13" s="233" t="s">
        <v>663</v>
      </c>
      <c r="BR13" s="234">
        <v>46030.741666666669</v>
      </c>
      <c r="BS13" s="227"/>
      <c r="BT13" s="227"/>
      <c r="BU13" s="233" t="s">
        <v>664</v>
      </c>
      <c r="BV13" s="234">
        <v>46033.455555555556</v>
      </c>
      <c r="BW13" s="227"/>
      <c r="BX13" s="233" t="s">
        <v>665</v>
      </c>
      <c r="BY13" s="234">
        <v>46032.840277777781</v>
      </c>
      <c r="BZ13" s="227"/>
      <c r="CA13" s="227"/>
      <c r="CB13" s="233" t="s">
        <v>666</v>
      </c>
      <c r="CC13" s="234">
        <v>46034.461111111108</v>
      </c>
      <c r="CD13" s="227"/>
      <c r="CE13" s="227"/>
      <c r="CF13" s="241"/>
      <c r="CG13" s="234">
        <v>46034.509722222225</v>
      </c>
      <c r="CH13" s="238">
        <v>1</v>
      </c>
      <c r="CI13" s="227"/>
      <c r="CJ13" s="233" t="s">
        <v>668</v>
      </c>
      <c r="CK13" s="234">
        <v>46042.799305555556</v>
      </c>
      <c r="CL13" s="227"/>
      <c r="CM13" s="228" t="s">
        <v>669</v>
      </c>
      <c r="CN13" s="239">
        <v>46034.478472222225</v>
      </c>
      <c r="CO13" s="245">
        <v>0.25</v>
      </c>
      <c r="CP13" s="227"/>
      <c r="CQ13" s="233" t="s">
        <v>687</v>
      </c>
      <c r="CR13" s="234">
        <v>46035.493055555555</v>
      </c>
      <c r="CS13" s="227"/>
      <c r="CT13" s="227"/>
      <c r="CU13" s="228" t="s">
        <v>665</v>
      </c>
      <c r="CV13" s="239">
        <v>46032.840277777781</v>
      </c>
      <c r="CW13" s="232"/>
      <c r="CX13" s="227"/>
      <c r="CY13" s="233" t="s">
        <v>688</v>
      </c>
      <c r="CZ13" s="234">
        <v>46041.793749999997</v>
      </c>
      <c r="DA13" s="227"/>
      <c r="DB13" s="227"/>
      <c r="DC13" s="233" t="s">
        <v>671</v>
      </c>
      <c r="DD13" s="234">
        <v>46033.817361111112</v>
      </c>
      <c r="DE13" s="227"/>
      <c r="DF13" s="233" t="s">
        <v>672</v>
      </c>
      <c r="DG13" s="234">
        <v>46033.793749999997</v>
      </c>
      <c r="DH13" s="227"/>
      <c r="DI13" s="227"/>
      <c r="DJ13" s="227"/>
      <c r="DK13" s="227"/>
      <c r="DL13" s="227"/>
      <c r="DM13" s="233" t="s">
        <v>675</v>
      </c>
      <c r="DN13" s="234">
        <v>46049.468055555553</v>
      </c>
      <c r="DO13" s="227"/>
      <c r="DP13" s="227"/>
      <c r="DQ13" s="227"/>
      <c r="DR13" s="227"/>
      <c r="DS13" s="227"/>
      <c r="DT13" s="227"/>
      <c r="DU13" s="227"/>
      <c r="DV13" s="227"/>
      <c r="DW13" s="227"/>
      <c r="DX13" s="227"/>
      <c r="DY13" s="227"/>
      <c r="DZ13" s="227"/>
      <c r="EA13" s="227"/>
      <c r="EB13" s="227"/>
      <c r="EC13" s="227"/>
      <c r="ED13" s="227"/>
      <c r="EE13" s="227"/>
      <c r="EF13" s="227"/>
    </row>
    <row r="14" spans="1:136" ht="15" customHeight="1">
      <c r="A14" s="227"/>
      <c r="B14" s="233" t="s">
        <v>642</v>
      </c>
      <c r="C14" s="234">
        <v>46033.695138888892</v>
      </c>
      <c r="D14" s="238">
        <v>1</v>
      </c>
      <c r="E14" s="227"/>
      <c r="F14" s="227"/>
      <c r="G14" s="234">
        <v>46040.459027777775</v>
      </c>
      <c r="H14" s="227"/>
      <c r="I14" s="227"/>
      <c r="J14" s="227"/>
      <c r="K14" s="234">
        <v>46035.479861111111</v>
      </c>
      <c r="L14" s="238">
        <v>0.5</v>
      </c>
      <c r="M14" s="233" t="s">
        <v>647</v>
      </c>
      <c r="N14" s="234">
        <v>46033.818055555559</v>
      </c>
      <c r="O14" s="227"/>
      <c r="P14" s="227"/>
      <c r="Q14" s="233" t="s">
        <v>707</v>
      </c>
      <c r="R14" s="234">
        <v>46042.477083333331</v>
      </c>
      <c r="S14" s="229">
        <v>0.25</v>
      </c>
      <c r="T14" s="227"/>
      <c r="U14" s="5" t="s">
        <v>650</v>
      </c>
      <c r="V14" s="237">
        <v>46033.817361111112</v>
      </c>
      <c r="W14" s="227"/>
      <c r="X14" s="227"/>
      <c r="Y14" s="233" t="s">
        <v>651</v>
      </c>
      <c r="Z14" s="234">
        <v>46029.943055555559</v>
      </c>
      <c r="AA14" s="227"/>
      <c r="AB14" s="233" t="s">
        <v>684</v>
      </c>
      <c r="AC14" s="234">
        <v>46033.883333333331</v>
      </c>
      <c r="AD14" s="227"/>
      <c r="AE14" s="233" t="s">
        <v>653</v>
      </c>
      <c r="AF14" s="234">
        <v>46034.809027777781</v>
      </c>
      <c r="AG14" s="229"/>
      <c r="AH14" s="233" t="s">
        <v>654</v>
      </c>
      <c r="AI14" s="234">
        <v>46034.82916666667</v>
      </c>
      <c r="AJ14" s="227"/>
      <c r="AK14" s="227"/>
      <c r="AL14" s="233" t="s">
        <v>686</v>
      </c>
      <c r="AM14" s="234">
        <v>46043.442361111112</v>
      </c>
      <c r="AN14" s="227"/>
      <c r="AO14" s="233" t="s">
        <v>655</v>
      </c>
      <c r="AP14" s="234">
        <v>46032.606249999997</v>
      </c>
      <c r="AQ14" s="227"/>
      <c r="AR14" s="227"/>
      <c r="AS14" s="233" t="s">
        <v>649</v>
      </c>
      <c r="AT14" s="238">
        <v>1</v>
      </c>
      <c r="AU14" s="233" t="s">
        <v>657</v>
      </c>
      <c r="AV14" s="234">
        <v>46032.79583333333</v>
      </c>
      <c r="AW14" s="227"/>
      <c r="AX14" s="233" t="s">
        <v>708</v>
      </c>
      <c r="AY14" s="234">
        <v>46031.664583333331</v>
      </c>
      <c r="AZ14" s="227"/>
      <c r="BA14" s="233" t="s">
        <v>659</v>
      </c>
      <c r="BB14" s="234">
        <v>46032.817361111112</v>
      </c>
      <c r="BC14" s="227"/>
      <c r="BD14" s="227"/>
      <c r="BE14" s="233" t="s">
        <v>709</v>
      </c>
      <c r="BF14" s="234">
        <v>46032.844444444447</v>
      </c>
      <c r="BG14" s="227"/>
      <c r="BH14" s="227"/>
      <c r="BI14" s="233" t="s">
        <v>661</v>
      </c>
      <c r="BJ14" s="234">
        <v>46033.461111111108</v>
      </c>
      <c r="BK14" s="227"/>
      <c r="BL14" s="227"/>
      <c r="BM14" s="233" t="s">
        <v>683</v>
      </c>
      <c r="BN14" s="234">
        <v>46043.497916666667</v>
      </c>
      <c r="BO14" s="227"/>
      <c r="BP14" s="227"/>
      <c r="BQ14" s="233" t="s">
        <v>663</v>
      </c>
      <c r="BR14" s="234">
        <v>46030.741666666669</v>
      </c>
      <c r="BS14" s="227"/>
      <c r="BT14" s="227"/>
      <c r="BU14" s="233" t="s">
        <v>664</v>
      </c>
      <c r="BV14" s="234">
        <v>46033.794444444444</v>
      </c>
      <c r="BW14" s="227"/>
      <c r="BX14" s="233" t="s">
        <v>698</v>
      </c>
      <c r="BY14" s="234">
        <v>46034.494444444441</v>
      </c>
      <c r="BZ14" s="238">
        <v>1.5</v>
      </c>
      <c r="CA14" s="227"/>
      <c r="CB14" s="233" t="s">
        <v>666</v>
      </c>
      <c r="CC14" s="234">
        <v>46034.8</v>
      </c>
      <c r="CD14" s="227"/>
      <c r="CE14" s="227"/>
      <c r="CF14" s="233" t="s">
        <v>695</v>
      </c>
      <c r="CG14" s="234">
        <v>46034.82916666667</v>
      </c>
      <c r="CH14" s="227"/>
      <c r="CI14" s="227"/>
      <c r="CJ14" s="233" t="s">
        <v>668</v>
      </c>
      <c r="CK14" s="234">
        <v>46043.449305555558</v>
      </c>
      <c r="CL14" s="227"/>
      <c r="CM14" s="228" t="s">
        <v>669</v>
      </c>
      <c r="CN14" s="228" t="s">
        <v>698</v>
      </c>
      <c r="CO14" s="245">
        <v>2</v>
      </c>
      <c r="CP14" s="227"/>
      <c r="CQ14" s="233" t="s">
        <v>687</v>
      </c>
      <c r="CR14" s="234">
        <v>46035.883333333331</v>
      </c>
      <c r="CS14" s="227"/>
      <c r="CT14" s="227"/>
      <c r="CU14" s="228" t="s">
        <v>665</v>
      </c>
      <c r="CV14" s="239">
        <v>46034.494444444441</v>
      </c>
      <c r="CW14" s="245">
        <v>0.5</v>
      </c>
      <c r="CX14" s="227"/>
      <c r="CY14" s="233" t="s">
        <v>688</v>
      </c>
      <c r="CZ14" s="234">
        <v>46042.460416666669</v>
      </c>
      <c r="DA14" s="227"/>
      <c r="DB14" s="227"/>
      <c r="DC14" s="233" t="s">
        <v>671</v>
      </c>
      <c r="DD14" s="234">
        <v>46034.468055555553</v>
      </c>
      <c r="DE14" s="227"/>
      <c r="DF14" s="233" t="s">
        <v>672</v>
      </c>
      <c r="DG14" s="234">
        <v>46034.461805555555</v>
      </c>
      <c r="DH14" s="227"/>
      <c r="DI14" s="227"/>
      <c r="DJ14" s="227"/>
      <c r="DK14" s="227"/>
      <c r="DL14" s="227"/>
      <c r="DM14" s="233" t="s">
        <v>675</v>
      </c>
      <c r="DN14" s="234">
        <v>46049.793055555558</v>
      </c>
      <c r="DO14" s="227"/>
      <c r="DP14" s="227"/>
      <c r="DQ14" s="227"/>
      <c r="DR14" s="227"/>
      <c r="DS14" s="227"/>
      <c r="DT14" s="227"/>
      <c r="DU14" s="227"/>
      <c r="DV14" s="227"/>
      <c r="DW14" s="227"/>
      <c r="DX14" s="227"/>
      <c r="DY14" s="227"/>
      <c r="DZ14" s="227"/>
      <c r="EA14" s="227"/>
      <c r="EB14" s="227"/>
      <c r="EC14" s="227"/>
      <c r="ED14" s="227"/>
      <c r="EE14" s="227"/>
      <c r="EF14" s="227"/>
    </row>
    <row r="15" spans="1:136" ht="15" customHeight="1">
      <c r="A15" s="227"/>
      <c r="B15" s="233" t="s">
        <v>642</v>
      </c>
      <c r="C15" s="234">
        <v>46033.862500000003</v>
      </c>
      <c r="D15" s="227"/>
      <c r="E15" s="227"/>
      <c r="F15" s="227"/>
      <c r="G15" s="234">
        <v>46040.792361111111</v>
      </c>
      <c r="H15" s="227"/>
      <c r="I15" s="227"/>
      <c r="J15" s="233" t="s">
        <v>646</v>
      </c>
      <c r="K15" s="234">
        <v>46035.930555555555</v>
      </c>
      <c r="L15" s="227"/>
      <c r="M15" s="233" t="s">
        <v>647</v>
      </c>
      <c r="N15" s="234">
        <v>46034.463194444441</v>
      </c>
      <c r="O15" s="227"/>
      <c r="P15" s="227"/>
      <c r="Q15" s="227"/>
      <c r="R15" s="227"/>
      <c r="S15" s="229"/>
      <c r="T15" s="227"/>
      <c r="U15" s="5" t="s">
        <v>699</v>
      </c>
      <c r="V15" s="237">
        <v>46034.51458333333</v>
      </c>
      <c r="W15" s="238">
        <v>0.5</v>
      </c>
      <c r="X15" s="227"/>
      <c r="Y15" s="233" t="s">
        <v>651</v>
      </c>
      <c r="Z15" s="234">
        <v>46030.465277777781</v>
      </c>
      <c r="AA15" s="227"/>
      <c r="AB15" s="233" t="s">
        <v>667</v>
      </c>
      <c r="AC15" s="234">
        <v>46034.494444444441</v>
      </c>
      <c r="AD15" s="227"/>
      <c r="AE15" s="233" t="s">
        <v>653</v>
      </c>
      <c r="AF15" s="234">
        <v>46035.456944444442</v>
      </c>
      <c r="AG15" s="229"/>
      <c r="AH15" s="233" t="s">
        <v>685</v>
      </c>
      <c r="AI15" s="234">
        <v>46035.508333333331</v>
      </c>
      <c r="AJ15" s="238">
        <v>1</v>
      </c>
      <c r="AK15" s="227"/>
      <c r="AL15" s="233" t="s">
        <v>686</v>
      </c>
      <c r="AM15" s="234">
        <v>46044.458333333336</v>
      </c>
      <c r="AN15" s="227"/>
      <c r="AO15" s="233" t="s">
        <v>655</v>
      </c>
      <c r="AP15" s="234">
        <v>46032.818055555559</v>
      </c>
      <c r="AQ15" s="227"/>
      <c r="AR15" s="227"/>
      <c r="AS15" s="233" t="s">
        <v>710</v>
      </c>
      <c r="AT15" s="238">
        <v>1</v>
      </c>
      <c r="AU15" s="233" t="s">
        <v>657</v>
      </c>
      <c r="AV15" s="234">
        <v>46033.473611111112</v>
      </c>
      <c r="AW15" s="235" t="s">
        <v>667</v>
      </c>
      <c r="AX15" s="233" t="s">
        <v>658</v>
      </c>
      <c r="AY15" s="234">
        <v>46031.931250000001</v>
      </c>
      <c r="AZ15" s="227"/>
      <c r="BA15" s="233" t="s">
        <v>659</v>
      </c>
      <c r="BB15" s="234">
        <v>46033.481944444444</v>
      </c>
      <c r="BC15" s="238">
        <v>0.5</v>
      </c>
      <c r="BD15" s="227"/>
      <c r="BE15" s="233" t="s">
        <v>698</v>
      </c>
      <c r="BF15" s="234">
        <v>46035.448611111111</v>
      </c>
      <c r="BG15" s="238">
        <v>2</v>
      </c>
      <c r="BH15" s="227"/>
      <c r="BI15" s="233" t="s">
        <v>661</v>
      </c>
      <c r="BJ15" s="234">
        <v>46033.791666666664</v>
      </c>
      <c r="BK15" s="227"/>
      <c r="BL15" s="227"/>
      <c r="BM15" s="233" t="s">
        <v>683</v>
      </c>
      <c r="BN15" s="234">
        <v>46044.522222222222</v>
      </c>
      <c r="BO15" s="227"/>
      <c r="BP15" s="227"/>
      <c r="BQ15" s="233" t="s">
        <v>643</v>
      </c>
      <c r="BR15" s="234">
        <v>46032.606944444444</v>
      </c>
      <c r="BS15" s="227"/>
      <c r="BT15" s="227"/>
      <c r="BU15" s="233" t="s">
        <v>664</v>
      </c>
      <c r="BV15" s="234">
        <v>46034.465277777781</v>
      </c>
      <c r="BW15" s="227"/>
      <c r="BX15" s="233" t="s">
        <v>665</v>
      </c>
      <c r="BY15" s="234">
        <v>46034.811805555553</v>
      </c>
      <c r="BZ15" s="227"/>
      <c r="CA15" s="227"/>
      <c r="CB15" s="233" t="s">
        <v>666</v>
      </c>
      <c r="CC15" s="234">
        <v>46035.46875</v>
      </c>
      <c r="CD15" s="227"/>
      <c r="CE15" s="227"/>
      <c r="CF15" s="233" t="s">
        <v>695</v>
      </c>
      <c r="CG15" s="234">
        <v>46035.476388888892</v>
      </c>
      <c r="CH15" s="227"/>
      <c r="CI15" s="227"/>
      <c r="CJ15" s="227"/>
      <c r="CK15" s="234">
        <v>46044.460416666669</v>
      </c>
      <c r="CL15" s="227"/>
      <c r="CM15" s="228" t="s">
        <v>669</v>
      </c>
      <c r="CN15" s="239">
        <v>46035.479861111111</v>
      </c>
      <c r="CO15" s="245">
        <v>0.5</v>
      </c>
      <c r="CP15" s="227"/>
      <c r="CQ15" s="233" t="s">
        <v>692</v>
      </c>
      <c r="CR15" s="234">
        <v>46036.61041666667</v>
      </c>
      <c r="CS15" s="227"/>
      <c r="CT15" s="227"/>
      <c r="CU15" s="228" t="s">
        <v>665</v>
      </c>
      <c r="CV15" s="239">
        <v>46034.811805555553</v>
      </c>
      <c r="CW15" s="232"/>
      <c r="CX15" s="227"/>
      <c r="CY15" s="233" t="s">
        <v>688</v>
      </c>
      <c r="CZ15" s="234">
        <v>46042.836805555555</v>
      </c>
      <c r="DA15" s="227"/>
      <c r="DB15" s="227"/>
      <c r="DC15" s="233" t="s">
        <v>692</v>
      </c>
      <c r="DD15" s="234">
        <v>46035.638194444444</v>
      </c>
      <c r="DE15" s="227"/>
      <c r="DF15" s="233" t="s">
        <v>672</v>
      </c>
      <c r="DG15" s="234">
        <v>46034.79583333333</v>
      </c>
      <c r="DH15" s="227"/>
      <c r="DI15" s="227"/>
      <c r="DJ15" s="227"/>
      <c r="DK15" s="227"/>
      <c r="DL15" s="227"/>
      <c r="DM15" s="233" t="s">
        <v>675</v>
      </c>
      <c r="DN15" s="234">
        <v>46050.461805555555</v>
      </c>
      <c r="DO15" s="227"/>
      <c r="DP15" s="227"/>
      <c r="DQ15" s="227"/>
      <c r="DR15" s="227"/>
      <c r="DS15" s="227"/>
      <c r="DT15" s="227"/>
      <c r="DU15" s="227"/>
      <c r="DV15" s="227"/>
      <c r="DW15" s="227"/>
      <c r="DX15" s="227"/>
      <c r="DY15" s="227"/>
      <c r="DZ15" s="227"/>
      <c r="EA15" s="227"/>
      <c r="EB15" s="227"/>
      <c r="EC15" s="227"/>
      <c r="ED15" s="227"/>
      <c r="EE15" s="227"/>
      <c r="EF15" s="227"/>
    </row>
    <row r="16" spans="1:136" ht="15" customHeight="1">
      <c r="A16" s="227"/>
      <c r="B16" s="233" t="s">
        <v>711</v>
      </c>
      <c r="C16" s="234">
        <v>46035.460416666669</v>
      </c>
      <c r="D16" s="227"/>
      <c r="E16" s="227"/>
      <c r="F16" s="235" t="s">
        <v>667</v>
      </c>
      <c r="G16" s="234">
        <v>46041.53125</v>
      </c>
      <c r="H16" s="227"/>
      <c r="I16" s="227"/>
      <c r="J16" s="235" t="s">
        <v>667</v>
      </c>
      <c r="K16" s="250">
        <v>46036.539583333331</v>
      </c>
      <c r="L16" s="227"/>
      <c r="M16" s="233" t="s">
        <v>647</v>
      </c>
      <c r="N16" s="234">
        <v>46034.802777777775</v>
      </c>
      <c r="O16" s="227"/>
      <c r="P16" s="227"/>
      <c r="Q16" s="227"/>
      <c r="R16" s="227"/>
      <c r="S16" s="229"/>
      <c r="T16" s="227"/>
      <c r="U16" s="5" t="s">
        <v>650</v>
      </c>
      <c r="V16" s="237">
        <v>46034.806250000001</v>
      </c>
      <c r="W16" s="227"/>
      <c r="X16" s="227"/>
      <c r="Y16" s="233" t="s">
        <v>651</v>
      </c>
      <c r="Z16" s="234">
        <v>46030.657638888886</v>
      </c>
      <c r="AA16" s="227"/>
      <c r="AB16" s="233" t="s">
        <v>684</v>
      </c>
      <c r="AC16" s="234">
        <v>46034.80972222222</v>
      </c>
      <c r="AD16" s="227"/>
      <c r="AE16" s="233" t="s">
        <v>653</v>
      </c>
      <c r="AF16" s="234">
        <v>46035.840277777781</v>
      </c>
      <c r="AG16" s="229"/>
      <c r="AH16" s="233" t="s">
        <v>654</v>
      </c>
      <c r="AI16" s="234">
        <v>46035.881944444445</v>
      </c>
      <c r="AJ16" s="227"/>
      <c r="AK16" s="227"/>
      <c r="AL16" s="233" t="s">
        <v>686</v>
      </c>
      <c r="AM16" s="234">
        <v>46044.945138888892</v>
      </c>
      <c r="AN16" s="227"/>
      <c r="AO16" s="233" t="s">
        <v>655</v>
      </c>
      <c r="AP16" s="234">
        <v>46032.818749999999</v>
      </c>
      <c r="AQ16" s="227"/>
      <c r="AR16" s="227"/>
      <c r="AS16" s="233" t="s">
        <v>697</v>
      </c>
      <c r="AT16" s="238">
        <v>1</v>
      </c>
      <c r="AU16" s="233" t="s">
        <v>657</v>
      </c>
      <c r="AV16" s="234">
        <v>46033.80972222222</v>
      </c>
      <c r="AW16" s="227"/>
      <c r="AX16" s="233" t="s">
        <v>643</v>
      </c>
      <c r="AY16" s="234">
        <v>46032.634027777778</v>
      </c>
      <c r="AZ16" s="227"/>
      <c r="BA16" s="233" t="s">
        <v>659</v>
      </c>
      <c r="BB16" s="234">
        <v>46033.862500000003</v>
      </c>
      <c r="BC16" s="227"/>
      <c r="BD16" s="227"/>
      <c r="BE16" s="233" t="s">
        <v>660</v>
      </c>
      <c r="BF16" s="234">
        <v>46035.85</v>
      </c>
      <c r="BG16" s="227"/>
      <c r="BH16" s="227"/>
      <c r="BI16" s="233" t="s">
        <v>661</v>
      </c>
      <c r="BJ16" s="234">
        <v>46034.459722222222</v>
      </c>
      <c r="BK16" s="227"/>
      <c r="BL16" s="227"/>
      <c r="BM16" s="227"/>
      <c r="BN16" s="234">
        <v>46044.801388888889</v>
      </c>
      <c r="BO16" s="227"/>
      <c r="BP16" s="227"/>
      <c r="BQ16" s="233" t="s">
        <v>663</v>
      </c>
      <c r="BR16" s="234">
        <v>46032.772916666669</v>
      </c>
      <c r="BS16" s="227"/>
      <c r="BT16" s="227"/>
      <c r="BU16" s="233" t="s">
        <v>664</v>
      </c>
      <c r="BV16" s="234">
        <v>46035.456944444442</v>
      </c>
      <c r="BW16" s="227"/>
      <c r="BX16" s="233" t="s">
        <v>665</v>
      </c>
      <c r="BY16" s="234">
        <v>46035.84375</v>
      </c>
      <c r="BZ16" s="227"/>
      <c r="CA16" s="227"/>
      <c r="CB16" s="233" t="s">
        <v>666</v>
      </c>
      <c r="CC16" s="234">
        <v>46035.843055555553</v>
      </c>
      <c r="CD16" s="227"/>
      <c r="CE16" s="227"/>
      <c r="CF16" s="233" t="s">
        <v>695</v>
      </c>
      <c r="CG16" s="234">
        <v>46035.881944444445</v>
      </c>
      <c r="CH16" s="227"/>
      <c r="CI16" s="227"/>
      <c r="CJ16" s="227"/>
      <c r="CK16" s="234">
        <v>46047.45208333333</v>
      </c>
      <c r="CL16" s="227"/>
      <c r="CM16" s="228" t="s">
        <v>669</v>
      </c>
      <c r="CN16" s="228" t="s">
        <v>712</v>
      </c>
      <c r="CO16" s="245">
        <v>2</v>
      </c>
      <c r="CP16" s="227"/>
      <c r="CQ16" s="233" t="s">
        <v>687</v>
      </c>
      <c r="CR16" s="234">
        <v>46036.787499999999</v>
      </c>
      <c r="CS16" s="227"/>
      <c r="CT16" s="227"/>
      <c r="CU16" s="228" t="s">
        <v>665</v>
      </c>
      <c r="CV16" s="239">
        <v>46035.84375</v>
      </c>
      <c r="CW16" s="232"/>
      <c r="CX16" s="227"/>
      <c r="CY16" s="233" t="s">
        <v>688</v>
      </c>
      <c r="CZ16" s="234">
        <v>46043.45208333333</v>
      </c>
      <c r="DA16" s="227"/>
      <c r="DB16" s="227"/>
      <c r="DC16" s="233" t="s">
        <v>671</v>
      </c>
      <c r="DD16" s="234">
        <v>46036.467361111114</v>
      </c>
      <c r="DE16" s="227"/>
      <c r="DF16" s="233" t="s">
        <v>672</v>
      </c>
      <c r="DG16" s="234">
        <v>46035.456944444442</v>
      </c>
      <c r="DH16" s="227"/>
      <c r="DI16" s="227"/>
      <c r="DJ16" s="227"/>
      <c r="DK16" s="227"/>
      <c r="DL16" s="227"/>
      <c r="DM16" s="227"/>
      <c r="DN16" s="227"/>
      <c r="DO16" s="227"/>
      <c r="DP16" s="227"/>
      <c r="DQ16" s="227"/>
      <c r="DR16" s="227"/>
      <c r="DS16" s="227"/>
      <c r="DT16" s="227"/>
      <c r="DU16" s="227"/>
      <c r="DV16" s="227"/>
      <c r="DW16" s="227"/>
      <c r="DX16" s="227"/>
      <c r="DY16" s="227"/>
      <c r="DZ16" s="227"/>
      <c r="EA16" s="227"/>
      <c r="EB16" s="227"/>
      <c r="EC16" s="227"/>
      <c r="ED16" s="227"/>
      <c r="EE16" s="227"/>
      <c r="EF16" s="227"/>
    </row>
    <row r="17" spans="1:136" ht="15" customHeight="1">
      <c r="A17" s="227"/>
      <c r="B17" s="233" t="s">
        <v>642</v>
      </c>
      <c r="C17" s="234">
        <v>46035.875694444447</v>
      </c>
      <c r="D17" s="227"/>
      <c r="E17" s="227"/>
      <c r="F17" s="227"/>
      <c r="G17" s="234">
        <v>46041.792361111111</v>
      </c>
      <c r="H17" s="227"/>
      <c r="I17" s="227"/>
      <c r="J17" s="227"/>
      <c r="K17" s="234">
        <v>46036.78402777778</v>
      </c>
      <c r="L17" s="227"/>
      <c r="M17" s="233" t="s">
        <v>683</v>
      </c>
      <c r="N17" s="234">
        <v>46035.47152777778</v>
      </c>
      <c r="O17" s="227"/>
      <c r="P17" s="227"/>
      <c r="Q17" s="227"/>
      <c r="R17" s="227"/>
      <c r="S17" s="229"/>
      <c r="T17" s="227"/>
      <c r="U17" s="5" t="s">
        <v>683</v>
      </c>
      <c r="V17" s="237">
        <v>46035.488194444442</v>
      </c>
      <c r="W17" s="227"/>
      <c r="X17" s="227"/>
      <c r="Y17" s="233" t="s">
        <v>651</v>
      </c>
      <c r="Z17" s="234">
        <v>46032.616666666669</v>
      </c>
      <c r="AA17" s="241"/>
      <c r="AB17" s="233" t="s">
        <v>684</v>
      </c>
      <c r="AC17" s="234">
        <v>46035.489583333336</v>
      </c>
      <c r="AD17" s="238">
        <v>0.25</v>
      </c>
      <c r="AE17" s="233" t="s">
        <v>653</v>
      </c>
      <c r="AF17" s="234">
        <v>46036.459722222222</v>
      </c>
      <c r="AG17" s="229"/>
      <c r="AH17" s="233" t="s">
        <v>654</v>
      </c>
      <c r="AI17" s="234">
        <v>46036.478472222225</v>
      </c>
      <c r="AJ17" s="238">
        <v>0.25</v>
      </c>
      <c r="AK17" s="227"/>
      <c r="AL17" s="233" t="s">
        <v>686</v>
      </c>
      <c r="AM17" s="234">
        <v>46046.500694444447</v>
      </c>
      <c r="AN17" s="227"/>
      <c r="AO17" s="233" t="s">
        <v>655</v>
      </c>
      <c r="AP17" s="234">
        <v>46033.456944444442</v>
      </c>
      <c r="AQ17" s="227"/>
      <c r="AR17" s="227"/>
      <c r="AS17" s="235" t="s">
        <v>698</v>
      </c>
      <c r="AT17" s="238">
        <v>1</v>
      </c>
      <c r="AU17" s="233" t="s">
        <v>657</v>
      </c>
      <c r="AV17" s="234">
        <v>46034.465277777781</v>
      </c>
      <c r="AW17" s="227"/>
      <c r="AX17" s="233" t="s">
        <v>658</v>
      </c>
      <c r="AY17" s="234">
        <v>46033.56527777778</v>
      </c>
      <c r="AZ17" s="238">
        <v>1</v>
      </c>
      <c r="BA17" s="233" t="s">
        <v>699</v>
      </c>
      <c r="BB17" s="234">
        <v>46034.550694444442</v>
      </c>
      <c r="BC17" s="238">
        <v>0</v>
      </c>
      <c r="BD17" s="227"/>
      <c r="BE17" s="233" t="s">
        <v>660</v>
      </c>
      <c r="BF17" s="234">
        <v>46036.470833333333</v>
      </c>
      <c r="BG17" s="238">
        <v>0.25</v>
      </c>
      <c r="BH17" s="227"/>
      <c r="BI17" s="233" t="s">
        <v>661</v>
      </c>
      <c r="BJ17" s="234">
        <v>46034.791666666664</v>
      </c>
      <c r="BK17" s="227"/>
      <c r="BL17" s="227"/>
      <c r="BM17" s="227"/>
      <c r="BN17" s="234">
        <v>46047.46597222222</v>
      </c>
      <c r="BO17" s="227"/>
      <c r="BP17" s="227"/>
      <c r="BQ17" s="233" t="s">
        <v>698</v>
      </c>
      <c r="BR17" s="234">
        <v>46034.455555555556</v>
      </c>
      <c r="BS17" s="238">
        <v>1</v>
      </c>
      <c r="BT17" s="227"/>
      <c r="BU17" s="233" t="s">
        <v>664</v>
      </c>
      <c r="BV17" s="234">
        <v>46035.802777777775</v>
      </c>
      <c r="BW17" s="227"/>
      <c r="BX17" s="233" t="s">
        <v>713</v>
      </c>
      <c r="BY17" s="234">
        <v>46036.611111111109</v>
      </c>
      <c r="BZ17" s="233"/>
      <c r="CA17" s="227"/>
      <c r="CB17" s="233" t="s">
        <v>666</v>
      </c>
      <c r="CC17" s="234">
        <v>46036.465277777781</v>
      </c>
      <c r="CD17" s="227"/>
      <c r="CE17" s="227"/>
      <c r="CF17" s="233" t="s">
        <v>695</v>
      </c>
      <c r="CG17" s="234">
        <v>46036.478472222225</v>
      </c>
      <c r="CH17" s="227"/>
      <c r="CI17" s="227"/>
      <c r="CJ17" s="233" t="s">
        <v>668</v>
      </c>
      <c r="CK17" s="234">
        <v>46048.446527777778</v>
      </c>
      <c r="CL17" s="227"/>
      <c r="CM17" s="228" t="s">
        <v>669</v>
      </c>
      <c r="CN17" s="239">
        <v>46040.481249999997</v>
      </c>
      <c r="CO17" s="245">
        <v>0.5</v>
      </c>
      <c r="CP17" s="227"/>
      <c r="CQ17" s="241"/>
      <c r="CR17" s="234">
        <v>46040.512499999997</v>
      </c>
      <c r="CS17" s="238">
        <v>0.5</v>
      </c>
      <c r="CT17" s="227"/>
      <c r="CU17" s="228" t="s">
        <v>692</v>
      </c>
      <c r="CV17" s="239">
        <v>46036.611111111109</v>
      </c>
      <c r="CW17" s="232"/>
      <c r="CX17" s="227"/>
      <c r="CY17" s="233" t="s">
        <v>688</v>
      </c>
      <c r="CZ17" s="234">
        <v>46043.816666666666</v>
      </c>
      <c r="DA17" s="227"/>
      <c r="DB17" s="227"/>
      <c r="DC17" s="233" t="s">
        <v>671</v>
      </c>
      <c r="DD17" s="234">
        <v>46036.467361111114</v>
      </c>
      <c r="DE17" s="227"/>
      <c r="DF17" s="233" t="s">
        <v>672</v>
      </c>
      <c r="DG17" s="234">
        <v>46035.797222222223</v>
      </c>
      <c r="DH17" s="227"/>
      <c r="DI17" s="227"/>
      <c r="DJ17" s="227"/>
      <c r="DK17" s="227"/>
      <c r="DL17" s="227"/>
      <c r="DM17" s="227"/>
      <c r="DN17" s="227"/>
      <c r="DO17" s="227"/>
      <c r="DP17" s="227"/>
      <c r="DQ17" s="227"/>
      <c r="DR17" s="227"/>
      <c r="DS17" s="227"/>
      <c r="DT17" s="227"/>
      <c r="DU17" s="227"/>
      <c r="DV17" s="227"/>
      <c r="DW17" s="227"/>
      <c r="DX17" s="227"/>
      <c r="DY17" s="227"/>
      <c r="DZ17" s="227"/>
      <c r="EA17" s="227"/>
      <c r="EB17" s="227"/>
      <c r="EC17" s="227"/>
      <c r="ED17" s="227"/>
      <c r="EE17" s="227"/>
      <c r="EF17" s="227"/>
    </row>
    <row r="18" spans="1:136" ht="15" customHeight="1">
      <c r="A18" s="227"/>
      <c r="B18" s="233" t="s">
        <v>642</v>
      </c>
      <c r="C18" s="234">
        <v>46036.493750000001</v>
      </c>
      <c r="D18" s="238">
        <v>0.5</v>
      </c>
      <c r="E18" s="227"/>
      <c r="F18" s="227"/>
      <c r="G18" s="234">
        <v>46042.459027777775</v>
      </c>
      <c r="H18" s="227"/>
      <c r="I18" s="227"/>
      <c r="J18" s="251" t="s">
        <v>714</v>
      </c>
      <c r="K18" s="234">
        <v>46042.467361111114</v>
      </c>
      <c r="L18" s="227"/>
      <c r="M18" s="233" t="s">
        <v>647</v>
      </c>
      <c r="N18" s="234">
        <v>46035.595138888886</v>
      </c>
      <c r="O18" s="227"/>
      <c r="P18" s="227"/>
      <c r="Q18" s="227"/>
      <c r="R18" s="227"/>
      <c r="S18" s="229"/>
      <c r="T18" s="227"/>
      <c r="U18" s="5" t="s">
        <v>650</v>
      </c>
      <c r="V18" s="237">
        <v>46035.888194444444</v>
      </c>
      <c r="W18" s="227"/>
      <c r="X18" s="227"/>
      <c r="Y18" s="233" t="s">
        <v>651</v>
      </c>
      <c r="Z18" s="234">
        <v>46040.465277777781</v>
      </c>
      <c r="AA18" s="238">
        <v>4</v>
      </c>
      <c r="AB18" s="233" t="s">
        <v>684</v>
      </c>
      <c r="AC18" s="234">
        <v>46035.843055555553</v>
      </c>
      <c r="AD18" s="227"/>
      <c r="AE18" s="233" t="s">
        <v>653</v>
      </c>
      <c r="AF18" s="234">
        <v>46036.761805555558</v>
      </c>
      <c r="AG18" s="229"/>
      <c r="AH18" s="235" t="s">
        <v>705</v>
      </c>
      <c r="AI18" s="234">
        <v>46042.467361111114</v>
      </c>
      <c r="AJ18" s="238">
        <v>1</v>
      </c>
      <c r="AK18" s="227"/>
      <c r="AL18" s="233" t="s">
        <v>686</v>
      </c>
      <c r="AM18" s="234">
        <v>46046.797222222223</v>
      </c>
      <c r="AN18" s="227"/>
      <c r="AO18" s="233" t="s">
        <v>655</v>
      </c>
      <c r="AP18" s="234">
        <v>46033.817361111112</v>
      </c>
      <c r="AQ18" s="227"/>
      <c r="AR18" s="227"/>
      <c r="AS18" s="235" t="s">
        <v>709</v>
      </c>
      <c r="AT18" s="238">
        <v>2</v>
      </c>
      <c r="AU18" s="233" t="s">
        <v>657</v>
      </c>
      <c r="AV18" s="234">
        <v>46034.806250000001</v>
      </c>
      <c r="AW18" s="227"/>
      <c r="AX18" s="233" t="s">
        <v>658</v>
      </c>
      <c r="AY18" s="234">
        <v>46033.817361111112</v>
      </c>
      <c r="AZ18" s="227"/>
      <c r="BA18" s="233" t="s">
        <v>659</v>
      </c>
      <c r="BB18" s="234">
        <v>46034.803472222222</v>
      </c>
      <c r="BC18" s="227"/>
      <c r="BD18" s="227"/>
      <c r="BE18" s="233" t="s">
        <v>660</v>
      </c>
      <c r="BF18" s="234">
        <v>46036.795138888891</v>
      </c>
      <c r="BG18" s="227"/>
      <c r="BH18" s="227"/>
      <c r="BI18" s="233" t="s">
        <v>667</v>
      </c>
      <c r="BJ18" s="234">
        <v>46035.530555555553</v>
      </c>
      <c r="BK18" s="227"/>
      <c r="BL18" s="227"/>
      <c r="BM18" s="227"/>
      <c r="BN18" s="234">
        <v>46048.459027777775</v>
      </c>
      <c r="BO18" s="227"/>
      <c r="BP18" s="227"/>
      <c r="BQ18" s="233" t="s">
        <v>663</v>
      </c>
      <c r="BR18" s="234">
        <v>46034.80972222222</v>
      </c>
      <c r="BS18" s="227"/>
      <c r="BT18" s="227"/>
      <c r="BU18" s="233" t="s">
        <v>664</v>
      </c>
      <c r="BV18" s="234">
        <v>46035.807638888888</v>
      </c>
      <c r="BW18" s="227"/>
      <c r="BX18" s="233" t="s">
        <v>665</v>
      </c>
      <c r="BY18" s="234">
        <v>46036.616666666669</v>
      </c>
      <c r="BZ18" s="227"/>
      <c r="CA18" s="227"/>
      <c r="CB18" s="233" t="s">
        <v>666</v>
      </c>
      <c r="CC18" s="234">
        <v>46036.71597222222</v>
      </c>
      <c r="CD18" s="227"/>
      <c r="CE18" s="227"/>
      <c r="CF18" s="233" t="s">
        <v>695</v>
      </c>
      <c r="CG18" s="234">
        <v>46036.787499999999</v>
      </c>
      <c r="CH18" s="227"/>
      <c r="CI18" s="227"/>
      <c r="CJ18" s="233" t="s">
        <v>668</v>
      </c>
      <c r="CK18" s="234">
        <v>46049.45416666667</v>
      </c>
      <c r="CL18" s="227"/>
      <c r="CM18" s="228" t="s">
        <v>669</v>
      </c>
      <c r="CN18" s="239">
        <v>46040.879861111112</v>
      </c>
      <c r="CO18" s="232"/>
      <c r="CP18" s="227"/>
      <c r="CQ18" s="233" t="s">
        <v>687</v>
      </c>
      <c r="CR18" s="234">
        <v>46040.898611111108</v>
      </c>
      <c r="CS18" s="227"/>
      <c r="CT18" s="227"/>
      <c r="CU18" s="228" t="s">
        <v>665</v>
      </c>
      <c r="CV18" s="239">
        <v>46036.616666666669</v>
      </c>
      <c r="CW18" s="232"/>
      <c r="CX18" s="227"/>
      <c r="CY18" s="233" t="s">
        <v>688</v>
      </c>
      <c r="CZ18" s="234">
        <v>46044.463888888888</v>
      </c>
      <c r="DA18" s="227"/>
      <c r="DB18" s="227"/>
      <c r="DC18" s="233" t="s">
        <v>671</v>
      </c>
      <c r="DD18" s="234">
        <v>46036.779166666667</v>
      </c>
      <c r="DE18" s="227"/>
      <c r="DF18" s="233" t="s">
        <v>672</v>
      </c>
      <c r="DG18" s="234">
        <v>46036.459027777775</v>
      </c>
      <c r="DH18" s="227"/>
      <c r="DI18" s="227"/>
      <c r="DJ18" s="227"/>
      <c r="DK18" s="227"/>
      <c r="DL18" s="227"/>
      <c r="DM18" s="227"/>
      <c r="DN18" s="227"/>
      <c r="DO18" s="227"/>
      <c r="DP18" s="227"/>
      <c r="DQ18" s="227"/>
      <c r="DR18" s="227"/>
      <c r="DS18" s="227"/>
      <c r="DT18" s="227"/>
      <c r="DU18" s="227"/>
      <c r="DV18" s="227"/>
      <c r="DW18" s="227"/>
      <c r="DX18" s="227"/>
      <c r="DY18" s="227"/>
      <c r="DZ18" s="227"/>
      <c r="EA18" s="227"/>
      <c r="EB18" s="227"/>
      <c r="EC18" s="227"/>
      <c r="ED18" s="227"/>
      <c r="EE18" s="227"/>
      <c r="EF18" s="227"/>
    </row>
    <row r="19" spans="1:136" ht="15" customHeight="1">
      <c r="A19" s="227"/>
      <c r="B19" s="227"/>
      <c r="C19" s="234">
        <v>46040.466666666667</v>
      </c>
      <c r="D19" s="227"/>
      <c r="E19" s="227"/>
      <c r="F19" s="227"/>
      <c r="G19" s="234">
        <v>46042.793055555558</v>
      </c>
      <c r="H19" s="227"/>
      <c r="I19" s="227"/>
      <c r="J19" s="251" t="s">
        <v>715</v>
      </c>
      <c r="K19" s="234">
        <v>46042.852777777778</v>
      </c>
      <c r="L19" s="227"/>
      <c r="M19" s="233" t="s">
        <v>647</v>
      </c>
      <c r="N19" s="234">
        <v>46036.464583333334</v>
      </c>
      <c r="O19" s="227"/>
      <c r="P19" s="227"/>
      <c r="Q19" s="227"/>
      <c r="R19" s="227"/>
      <c r="S19" s="229"/>
      <c r="T19" s="227"/>
      <c r="U19" s="5" t="s">
        <v>699</v>
      </c>
      <c r="V19" s="237">
        <v>46036.501388888886</v>
      </c>
      <c r="W19" s="238">
        <v>0.5</v>
      </c>
      <c r="X19" s="227"/>
      <c r="Y19" s="233" t="s">
        <v>651</v>
      </c>
      <c r="Z19" s="234">
        <v>46040.886805555558</v>
      </c>
      <c r="AA19" s="227"/>
      <c r="AB19" s="233" t="s">
        <v>684</v>
      </c>
      <c r="AC19" s="234">
        <v>46036.477083333331</v>
      </c>
      <c r="AD19" s="227"/>
      <c r="AE19" s="233" t="s">
        <v>653</v>
      </c>
      <c r="AF19" s="234">
        <v>46036.765972222223</v>
      </c>
      <c r="AG19" s="229"/>
      <c r="AH19" s="233" t="s">
        <v>716</v>
      </c>
      <c r="AI19" s="234">
        <v>46042.856249999997</v>
      </c>
      <c r="AJ19" s="238">
        <v>1</v>
      </c>
      <c r="AK19" s="227"/>
      <c r="AL19" s="233" t="s">
        <v>686</v>
      </c>
      <c r="AM19" s="234">
        <v>46047.465277777781</v>
      </c>
      <c r="AN19" s="227"/>
      <c r="AO19" s="233" t="s">
        <v>655</v>
      </c>
      <c r="AP19" s="234">
        <v>46034.462500000001</v>
      </c>
      <c r="AQ19" s="227"/>
      <c r="AR19" s="227"/>
      <c r="AS19" s="233" t="s">
        <v>712</v>
      </c>
      <c r="AT19" s="238">
        <v>2</v>
      </c>
      <c r="AU19" s="233" t="s">
        <v>657</v>
      </c>
      <c r="AV19" s="234">
        <v>46035.459722222222</v>
      </c>
      <c r="AW19" s="227"/>
      <c r="AX19" s="233" t="s">
        <v>658</v>
      </c>
      <c r="AY19" s="234">
        <v>46034.540277777778</v>
      </c>
      <c r="AZ19" s="238">
        <v>1</v>
      </c>
      <c r="BA19" s="233" t="s">
        <v>659</v>
      </c>
      <c r="BB19" s="234">
        <v>46035.460416666669</v>
      </c>
      <c r="BC19" s="227"/>
      <c r="BD19" s="227"/>
      <c r="BE19" s="233" t="s">
        <v>660</v>
      </c>
      <c r="BF19" s="234">
        <v>46040.462500000001</v>
      </c>
      <c r="BG19" s="227"/>
      <c r="BH19" s="227"/>
      <c r="BI19" s="233" t="s">
        <v>661</v>
      </c>
      <c r="BJ19" s="234">
        <v>46035.797222222223</v>
      </c>
      <c r="BK19" s="227"/>
      <c r="BL19" s="227"/>
      <c r="BM19" s="227"/>
      <c r="BN19" s="234">
        <v>46048.793055555558</v>
      </c>
      <c r="BO19" s="227"/>
      <c r="BP19" s="227"/>
      <c r="BQ19" s="233" t="s">
        <v>663</v>
      </c>
      <c r="BR19" s="234">
        <v>46035.462500000001</v>
      </c>
      <c r="BS19" s="227"/>
      <c r="BT19" s="227"/>
      <c r="BU19" s="233" t="s">
        <v>664</v>
      </c>
      <c r="BV19" s="234">
        <v>46036.456944444442</v>
      </c>
      <c r="BW19" s="227"/>
      <c r="BX19" s="233" t="s">
        <v>665</v>
      </c>
      <c r="BY19" s="234">
        <v>46036.763194444444</v>
      </c>
      <c r="BZ19" s="227"/>
      <c r="CA19" s="227"/>
      <c r="CB19" s="233" t="s">
        <v>666</v>
      </c>
      <c r="CC19" s="234">
        <v>46040.47152777778</v>
      </c>
      <c r="CD19" s="238">
        <v>0.25</v>
      </c>
      <c r="CE19" s="227"/>
      <c r="CF19" s="233" t="s">
        <v>695</v>
      </c>
      <c r="CG19" s="234">
        <v>46040.488194444442</v>
      </c>
      <c r="CH19" s="238">
        <v>0.25</v>
      </c>
      <c r="CI19" s="227"/>
      <c r="CJ19" s="233" t="s">
        <v>668</v>
      </c>
      <c r="CK19" s="234">
        <v>46050.446527777778</v>
      </c>
      <c r="CL19" s="227"/>
      <c r="CM19" s="228" t="s">
        <v>669</v>
      </c>
      <c r="CN19" s="239">
        <v>46041.486805555556</v>
      </c>
      <c r="CO19" s="245">
        <v>0.5</v>
      </c>
      <c r="CP19" s="227"/>
      <c r="CQ19" s="241"/>
      <c r="CR19" s="234">
        <v>46041.703472222223</v>
      </c>
      <c r="CS19" s="238">
        <v>1</v>
      </c>
      <c r="CT19" s="227"/>
      <c r="CU19" s="228" t="s">
        <v>665</v>
      </c>
      <c r="CV19" s="239">
        <v>46036.763194444444</v>
      </c>
      <c r="CW19" s="232"/>
      <c r="CX19" s="227"/>
      <c r="CY19" s="233" t="s">
        <v>688</v>
      </c>
      <c r="CZ19" s="234">
        <v>46044.804861111108</v>
      </c>
      <c r="DA19" s="227"/>
      <c r="DB19" s="227"/>
      <c r="DC19" s="233" t="s">
        <v>671</v>
      </c>
      <c r="DD19" s="234">
        <v>46040.459722222222</v>
      </c>
      <c r="DE19" s="227"/>
      <c r="DF19" s="233" t="s">
        <v>672</v>
      </c>
      <c r="DG19" s="234">
        <v>46036.755555555559</v>
      </c>
      <c r="DH19" s="227"/>
      <c r="DI19" s="227"/>
      <c r="DJ19" s="227"/>
      <c r="DK19" s="227"/>
      <c r="DL19" s="227"/>
      <c r="DM19" s="227"/>
      <c r="DN19" s="227"/>
      <c r="DO19" s="227"/>
      <c r="DP19" s="227"/>
      <c r="DQ19" s="227"/>
      <c r="DR19" s="227"/>
      <c r="DS19" s="227"/>
      <c r="DT19" s="227"/>
      <c r="DU19" s="227"/>
      <c r="DV19" s="227"/>
      <c r="DW19" s="227"/>
      <c r="DX19" s="227"/>
      <c r="DY19" s="227"/>
      <c r="DZ19" s="227"/>
      <c r="EA19" s="227"/>
      <c r="EB19" s="227"/>
      <c r="EC19" s="227"/>
      <c r="ED19" s="227"/>
      <c r="EE19" s="227"/>
      <c r="EF19" s="227"/>
    </row>
    <row r="20" spans="1:136" ht="15" customHeight="1">
      <c r="A20" s="227"/>
      <c r="B20" s="227"/>
      <c r="C20" s="234">
        <v>46041.599305555559</v>
      </c>
      <c r="D20" s="238">
        <v>1</v>
      </c>
      <c r="E20" s="227"/>
      <c r="F20" s="235" t="s">
        <v>667</v>
      </c>
      <c r="G20" s="234">
        <v>46043.489583333336</v>
      </c>
      <c r="H20" s="227"/>
      <c r="I20" s="227"/>
      <c r="J20" s="227"/>
      <c r="K20" s="234">
        <v>46043.470138888886</v>
      </c>
      <c r="L20" s="238">
        <v>0.25</v>
      </c>
      <c r="M20" s="233" t="s">
        <v>647</v>
      </c>
      <c r="N20" s="234">
        <v>46036.770833333336</v>
      </c>
      <c r="O20" s="227"/>
      <c r="P20" s="227"/>
      <c r="Q20" s="227"/>
      <c r="R20" s="227"/>
      <c r="S20" s="229"/>
      <c r="T20" s="227"/>
      <c r="U20" s="229"/>
      <c r="V20" s="237">
        <v>46036.788888888892</v>
      </c>
      <c r="W20" s="227"/>
      <c r="X20" s="227"/>
      <c r="Y20" s="233" t="s">
        <v>651</v>
      </c>
      <c r="Z20" s="234">
        <v>46041.486111111109</v>
      </c>
      <c r="AA20" s="238">
        <v>0.5</v>
      </c>
      <c r="AB20" s="233" t="s">
        <v>684</v>
      </c>
      <c r="AC20" s="234">
        <v>46036.762499999997</v>
      </c>
      <c r="AD20" s="227"/>
      <c r="AE20" s="233" t="s">
        <v>653</v>
      </c>
      <c r="AF20" s="234">
        <v>46040.462500000001</v>
      </c>
      <c r="AG20" s="229"/>
      <c r="AH20" s="227"/>
      <c r="AI20" s="234">
        <v>46043.486111111109</v>
      </c>
      <c r="AJ20" s="238">
        <v>0.5</v>
      </c>
      <c r="AK20" s="227"/>
      <c r="AL20" s="233" t="s">
        <v>686</v>
      </c>
      <c r="AM20" s="234">
        <v>46048.459027777775</v>
      </c>
      <c r="AN20" s="227"/>
      <c r="AO20" s="233" t="s">
        <v>655</v>
      </c>
      <c r="AP20" s="234">
        <v>46034.77847222222</v>
      </c>
      <c r="AQ20" s="227"/>
      <c r="AR20" s="227"/>
      <c r="AS20" s="233" t="s">
        <v>716</v>
      </c>
      <c r="AT20" s="238">
        <v>2</v>
      </c>
      <c r="AU20" s="233" t="s">
        <v>657</v>
      </c>
      <c r="AV20" s="234">
        <v>46035.84097222222</v>
      </c>
      <c r="AW20" s="227"/>
      <c r="AX20" s="233" t="s">
        <v>658</v>
      </c>
      <c r="AY20" s="234">
        <v>46034.792361111111</v>
      </c>
      <c r="AZ20" s="227"/>
      <c r="BA20" s="233" t="s">
        <v>659</v>
      </c>
      <c r="BB20" s="234">
        <v>46035.875694444447</v>
      </c>
      <c r="BC20" s="227"/>
      <c r="BD20" s="227"/>
      <c r="BE20" s="233" t="s">
        <v>660</v>
      </c>
      <c r="BF20" s="234">
        <v>46040.90347222222</v>
      </c>
      <c r="BG20" s="227"/>
      <c r="BH20" s="227"/>
      <c r="BI20" s="233" t="s">
        <v>661</v>
      </c>
      <c r="BJ20" s="234">
        <v>46036.465277777781</v>
      </c>
      <c r="BK20" s="227"/>
      <c r="BL20" s="227"/>
      <c r="BM20" s="227"/>
      <c r="BN20" s="233" t="s">
        <v>717</v>
      </c>
      <c r="BO20" s="238">
        <v>1</v>
      </c>
      <c r="BP20" s="227"/>
      <c r="BQ20" s="233" t="s">
        <v>663</v>
      </c>
      <c r="BR20" s="234">
        <v>46035.843055555553</v>
      </c>
      <c r="BS20" s="227"/>
      <c r="BT20" s="227"/>
      <c r="BU20" s="233" t="s">
        <v>664</v>
      </c>
      <c r="BV20" s="234">
        <v>46040.462500000001</v>
      </c>
      <c r="BW20" s="227"/>
      <c r="BX20" s="233" t="s">
        <v>665</v>
      </c>
      <c r="BY20" s="234">
        <v>46040.486805555556</v>
      </c>
      <c r="BZ20" s="238">
        <v>0.5</v>
      </c>
      <c r="CA20" s="227"/>
      <c r="CB20" s="233" t="s">
        <v>666</v>
      </c>
      <c r="CC20" s="234">
        <v>46040.849305555559</v>
      </c>
      <c r="CD20" s="227"/>
      <c r="CE20" s="227"/>
      <c r="CF20" s="233" t="s">
        <v>695</v>
      </c>
      <c r="CG20" s="234">
        <v>46040.886111111111</v>
      </c>
      <c r="CH20" s="227"/>
      <c r="CI20" s="227"/>
      <c r="CJ20" s="227"/>
      <c r="CK20" s="227"/>
      <c r="CL20" s="227"/>
      <c r="CM20" s="228" t="s">
        <v>669</v>
      </c>
      <c r="CN20" s="239">
        <v>46041.852777777778</v>
      </c>
      <c r="CO20" s="232"/>
      <c r="CP20" s="227"/>
      <c r="CQ20" s="233" t="s">
        <v>687</v>
      </c>
      <c r="CR20" s="234">
        <v>46042.496527777781</v>
      </c>
      <c r="CS20" s="227"/>
      <c r="CT20" s="227"/>
      <c r="CU20" s="228" t="s">
        <v>665</v>
      </c>
      <c r="CV20" s="239">
        <v>46040.486805555556</v>
      </c>
      <c r="CW20" s="245">
        <v>0.5</v>
      </c>
      <c r="CX20" s="227"/>
      <c r="CY20" s="233" t="s">
        <v>688</v>
      </c>
      <c r="CZ20" s="234">
        <v>46046.532638888886</v>
      </c>
      <c r="DA20" s="227"/>
      <c r="DB20" s="227"/>
      <c r="DC20" s="233" t="s">
        <v>671</v>
      </c>
      <c r="DD20" s="234">
        <v>46040.90347222222</v>
      </c>
      <c r="DE20" s="227"/>
      <c r="DF20" s="233" t="s">
        <v>672</v>
      </c>
      <c r="DG20" s="234">
        <v>46040.462500000001</v>
      </c>
      <c r="DH20" s="227"/>
      <c r="DI20" s="227"/>
      <c r="DJ20" s="227"/>
      <c r="DK20" s="227"/>
      <c r="DL20" s="227"/>
      <c r="DM20" s="227"/>
      <c r="DN20" s="227"/>
      <c r="DO20" s="227"/>
      <c r="DP20" s="227"/>
      <c r="DQ20" s="227"/>
      <c r="DR20" s="227"/>
      <c r="DS20" s="227"/>
      <c r="DT20" s="227"/>
      <c r="DU20" s="227"/>
      <c r="DV20" s="227"/>
      <c r="DW20" s="227"/>
      <c r="DX20" s="227"/>
      <c r="DY20" s="227"/>
      <c r="DZ20" s="227"/>
      <c r="EA20" s="227"/>
      <c r="EB20" s="227"/>
      <c r="EC20" s="227"/>
      <c r="ED20" s="227"/>
      <c r="EE20" s="227"/>
      <c r="EF20" s="227"/>
    </row>
    <row r="21" spans="1:136">
      <c r="A21" s="227"/>
      <c r="B21" s="227"/>
      <c r="C21" s="234">
        <v>46042.520138888889</v>
      </c>
      <c r="D21" s="238">
        <v>1</v>
      </c>
      <c r="E21" s="227"/>
      <c r="F21" s="227"/>
      <c r="G21" s="227"/>
      <c r="H21" s="227"/>
      <c r="I21" s="227"/>
      <c r="J21" s="227"/>
      <c r="K21" s="234">
        <v>46043.875694444447</v>
      </c>
      <c r="L21" s="227"/>
      <c r="M21" s="233" t="s">
        <v>647</v>
      </c>
      <c r="N21" s="234">
        <v>46040.456250000003</v>
      </c>
      <c r="O21" s="227"/>
      <c r="P21" s="227"/>
      <c r="Q21" s="227"/>
      <c r="R21" s="227"/>
      <c r="S21" s="229"/>
      <c r="T21" s="227"/>
      <c r="U21" s="5" t="s">
        <v>699</v>
      </c>
      <c r="V21" s="237">
        <v>46040.548611111109</v>
      </c>
      <c r="W21" s="238">
        <v>0.5</v>
      </c>
      <c r="X21" s="227"/>
      <c r="Y21" s="233" t="s">
        <v>651</v>
      </c>
      <c r="Z21" s="234">
        <v>46041.902777777781</v>
      </c>
      <c r="AA21" s="227"/>
      <c r="AB21" s="233" t="s">
        <v>684</v>
      </c>
      <c r="AC21" s="234">
        <v>46040.486805555556</v>
      </c>
      <c r="AD21" s="238">
        <v>0.25</v>
      </c>
      <c r="AE21" s="233" t="s">
        <v>653</v>
      </c>
      <c r="AF21" s="234">
        <v>46040.879861111112</v>
      </c>
      <c r="AG21" s="229"/>
      <c r="AH21" s="276" t="s">
        <v>718</v>
      </c>
      <c r="AI21" s="272"/>
      <c r="AJ21" s="272"/>
      <c r="AK21" s="227"/>
      <c r="AL21" s="233" t="s">
        <v>686</v>
      </c>
      <c r="AM21" s="234">
        <v>46048.938194444447</v>
      </c>
      <c r="AN21" s="227"/>
      <c r="AO21" s="233" t="s">
        <v>655</v>
      </c>
      <c r="AP21" s="234">
        <v>46035.474305555559</v>
      </c>
      <c r="AQ21" s="277" t="s">
        <v>667</v>
      </c>
      <c r="AR21" s="272"/>
      <c r="AS21" s="233" t="s">
        <v>719</v>
      </c>
      <c r="AT21" s="238">
        <v>2</v>
      </c>
      <c r="AU21" s="233" t="s">
        <v>657</v>
      </c>
      <c r="AV21" s="234">
        <v>46036.456944444442</v>
      </c>
      <c r="AW21" s="227"/>
      <c r="AX21" s="233" t="s">
        <v>658</v>
      </c>
      <c r="AY21" s="234">
        <v>46035.505555555559</v>
      </c>
      <c r="AZ21" s="238">
        <v>1</v>
      </c>
      <c r="BA21" s="233" t="s">
        <v>659</v>
      </c>
      <c r="BB21" s="234">
        <v>46036.493750000001</v>
      </c>
      <c r="BC21" s="238">
        <v>0.5</v>
      </c>
      <c r="BD21" s="227"/>
      <c r="BE21" s="233" t="s">
        <v>660</v>
      </c>
      <c r="BF21" s="234">
        <v>46041.459027777775</v>
      </c>
      <c r="BG21" s="227"/>
      <c r="BH21" s="227"/>
      <c r="BI21" s="233" t="s">
        <v>661</v>
      </c>
      <c r="BJ21" s="234">
        <v>46036.752083333333</v>
      </c>
      <c r="BK21" s="227"/>
      <c r="BL21" s="227"/>
      <c r="BM21" s="227"/>
      <c r="BN21" s="234">
        <v>46050.464583333334</v>
      </c>
      <c r="BO21" s="227"/>
      <c r="BP21" s="227"/>
      <c r="BQ21" s="233" t="s">
        <v>663</v>
      </c>
      <c r="BR21" s="234">
        <v>46036.465277777781</v>
      </c>
      <c r="BS21" s="227"/>
      <c r="BT21" s="227"/>
      <c r="BU21" s="233" t="s">
        <v>664</v>
      </c>
      <c r="BV21" s="234">
        <v>46040.798611111109</v>
      </c>
      <c r="BW21" s="227"/>
      <c r="BX21" s="233" t="s">
        <v>665</v>
      </c>
      <c r="BY21" s="234">
        <v>46040.884027777778</v>
      </c>
      <c r="BZ21" s="227"/>
      <c r="CA21" s="227"/>
      <c r="CB21" s="233" t="s">
        <v>666</v>
      </c>
      <c r="CC21" s="234">
        <v>46041.460416666669</v>
      </c>
      <c r="CD21" s="227"/>
      <c r="CE21" s="227"/>
      <c r="CF21" s="233" t="s">
        <v>695</v>
      </c>
      <c r="CG21" s="234">
        <v>46041.493750000001</v>
      </c>
      <c r="CH21" s="238">
        <v>0.5</v>
      </c>
      <c r="CI21" s="227"/>
      <c r="CJ21" s="227"/>
      <c r="CK21" s="227"/>
      <c r="CL21" s="227"/>
      <c r="CM21" s="228" t="s">
        <v>669</v>
      </c>
      <c r="CN21" s="239">
        <v>46042.467361111114</v>
      </c>
      <c r="CO21" s="232"/>
      <c r="CP21" s="227"/>
      <c r="CQ21" s="233" t="s">
        <v>687</v>
      </c>
      <c r="CR21" s="234">
        <v>46043.013888888891</v>
      </c>
      <c r="CS21" s="227"/>
      <c r="CT21" s="227"/>
      <c r="CU21" s="228" t="s">
        <v>665</v>
      </c>
      <c r="CV21" s="239">
        <v>46040.884027777778</v>
      </c>
      <c r="CW21" s="232"/>
      <c r="CX21" s="227"/>
      <c r="CY21" s="233" t="s">
        <v>688</v>
      </c>
      <c r="CZ21" s="234">
        <v>46046.870833333334</v>
      </c>
      <c r="DA21" s="227"/>
      <c r="DB21" s="227"/>
      <c r="DC21" s="233" t="s">
        <v>671</v>
      </c>
      <c r="DD21" s="234">
        <v>46041.462500000001</v>
      </c>
      <c r="DE21" s="227"/>
      <c r="DF21" s="233" t="s">
        <v>672</v>
      </c>
      <c r="DG21" s="234">
        <v>46040.793749999997</v>
      </c>
      <c r="DH21" s="227"/>
      <c r="DI21" s="227"/>
      <c r="DJ21" s="227"/>
      <c r="DK21" s="227"/>
      <c r="DL21" s="227"/>
      <c r="DM21" s="227"/>
      <c r="DN21" s="227"/>
      <c r="DO21" s="227"/>
      <c r="DP21" s="227"/>
      <c r="DQ21" s="227"/>
      <c r="DR21" s="227"/>
      <c r="DS21" s="227"/>
      <c r="DT21" s="227"/>
      <c r="DU21" s="227"/>
      <c r="DV21" s="227"/>
      <c r="DW21" s="227"/>
      <c r="DX21" s="227"/>
      <c r="DY21" s="227"/>
      <c r="DZ21" s="227"/>
      <c r="EA21" s="227"/>
      <c r="EB21" s="227"/>
      <c r="EC21" s="227"/>
      <c r="ED21" s="227"/>
      <c r="EE21" s="227"/>
      <c r="EF21" s="227"/>
    </row>
    <row r="22" spans="1:136">
      <c r="A22" s="227"/>
      <c r="B22" s="227"/>
      <c r="C22" s="234">
        <v>46043.563194444447</v>
      </c>
      <c r="D22" s="238">
        <v>1</v>
      </c>
      <c r="E22" s="227"/>
      <c r="F22" s="227"/>
      <c r="G22" s="227"/>
      <c r="H22" s="227"/>
      <c r="I22" s="227"/>
      <c r="J22" s="235" t="s">
        <v>692</v>
      </c>
      <c r="K22" s="234">
        <v>46044.522222222222</v>
      </c>
      <c r="L22" s="227"/>
      <c r="M22" s="233" t="s">
        <v>647</v>
      </c>
      <c r="N22" s="234">
        <v>46040.604166666664</v>
      </c>
      <c r="O22" s="227"/>
      <c r="P22" s="227"/>
      <c r="Q22" s="227"/>
      <c r="R22" s="227"/>
      <c r="S22" s="229"/>
      <c r="T22" s="227"/>
      <c r="U22" s="229"/>
      <c r="V22" s="237">
        <v>46040.90347222222</v>
      </c>
      <c r="W22" s="227"/>
      <c r="X22" s="227"/>
      <c r="Y22" s="233" t="s">
        <v>667</v>
      </c>
      <c r="Z22" s="234">
        <v>46043.480555555558</v>
      </c>
      <c r="AA22" s="227"/>
      <c r="AB22" s="233" t="s">
        <v>684</v>
      </c>
      <c r="AC22" s="234">
        <v>46040.882638888892</v>
      </c>
      <c r="AD22" s="227"/>
      <c r="AE22" s="233" t="s">
        <v>653</v>
      </c>
      <c r="AF22" s="234">
        <v>46040.879861111112</v>
      </c>
      <c r="AG22" s="229"/>
      <c r="AH22" s="272"/>
      <c r="AI22" s="272"/>
      <c r="AJ22" s="272"/>
      <c r="AK22" s="227"/>
      <c r="AL22" s="233" t="s">
        <v>686</v>
      </c>
      <c r="AM22" s="234">
        <v>46049.46597222222</v>
      </c>
      <c r="AN22" s="227"/>
      <c r="AO22" s="233" t="s">
        <v>655</v>
      </c>
      <c r="AP22" s="234">
        <v>46035.84375</v>
      </c>
      <c r="AQ22" s="227"/>
      <c r="AR22" s="227"/>
      <c r="AS22" s="233" t="s">
        <v>720</v>
      </c>
      <c r="AT22" s="238">
        <v>2</v>
      </c>
      <c r="AU22" s="233" t="s">
        <v>657</v>
      </c>
      <c r="AV22" s="234">
        <v>46036.758333333331</v>
      </c>
      <c r="AW22" s="227"/>
      <c r="AX22" s="233" t="s">
        <v>658</v>
      </c>
      <c r="AY22" s="234">
        <v>46035.930555555555</v>
      </c>
      <c r="AZ22" s="227"/>
      <c r="BA22" s="233" t="s">
        <v>659</v>
      </c>
      <c r="BB22" s="234">
        <v>46040.466666666667</v>
      </c>
      <c r="BC22" s="227"/>
      <c r="BD22" s="227"/>
      <c r="BE22" s="233" t="s">
        <v>660</v>
      </c>
      <c r="BF22" s="234">
        <v>46041.870833333334</v>
      </c>
      <c r="BG22" s="227"/>
      <c r="BH22" s="227"/>
      <c r="BI22" s="233" t="s">
        <v>661</v>
      </c>
      <c r="BJ22" s="234">
        <v>46040.466666666667</v>
      </c>
      <c r="BK22" s="227"/>
      <c r="BL22" s="227"/>
      <c r="BM22" s="235" t="s">
        <v>713</v>
      </c>
      <c r="BN22" s="233" t="s">
        <v>721</v>
      </c>
      <c r="BO22" s="227"/>
      <c r="BP22" s="227"/>
      <c r="BQ22" s="233" t="s">
        <v>663</v>
      </c>
      <c r="BR22" s="234">
        <v>46036.752083333333</v>
      </c>
      <c r="BS22" s="227"/>
      <c r="BT22" s="227"/>
      <c r="BU22" s="233" t="s">
        <v>664</v>
      </c>
      <c r="BV22" s="234">
        <v>46041.458333333336</v>
      </c>
      <c r="BW22" s="227"/>
      <c r="BX22" s="233" t="s">
        <v>665</v>
      </c>
      <c r="BY22" s="234">
        <v>46041.491666666669</v>
      </c>
      <c r="BZ22" s="238">
        <v>0.5</v>
      </c>
      <c r="CA22" s="227"/>
      <c r="CB22" s="233" t="s">
        <v>666</v>
      </c>
      <c r="CC22" s="234">
        <v>46041.845833333333</v>
      </c>
      <c r="CD22" s="227"/>
      <c r="CE22" s="227"/>
      <c r="CF22" s="233" t="s">
        <v>695</v>
      </c>
      <c r="CG22" s="234">
        <v>46041.870833333334</v>
      </c>
      <c r="CH22" s="227"/>
      <c r="CI22" s="227"/>
      <c r="CJ22" s="227"/>
      <c r="CK22" s="227"/>
      <c r="CL22" s="227"/>
      <c r="CM22" s="228" t="s">
        <v>669</v>
      </c>
      <c r="CN22" s="239">
        <v>46042.853472222225</v>
      </c>
      <c r="CO22" s="232"/>
      <c r="CP22" s="227"/>
      <c r="CQ22" s="233" t="s">
        <v>667</v>
      </c>
      <c r="CR22" s="234">
        <v>46043.55972222222</v>
      </c>
      <c r="CS22" s="227"/>
      <c r="CT22" s="227"/>
      <c r="CU22" s="228" t="s">
        <v>665</v>
      </c>
      <c r="CV22" s="239">
        <v>46041.491666666669</v>
      </c>
      <c r="CW22" s="245">
        <v>0.5</v>
      </c>
      <c r="CX22" s="227"/>
      <c r="CY22" s="233" t="s">
        <v>688</v>
      </c>
      <c r="CZ22" s="234">
        <v>46047.50277777778</v>
      </c>
      <c r="DA22" s="238">
        <v>1</v>
      </c>
      <c r="DB22" s="227"/>
      <c r="DC22" s="233" t="s">
        <v>671</v>
      </c>
      <c r="DD22" s="234">
        <v>46041.462500000001</v>
      </c>
      <c r="DE22" s="227"/>
      <c r="DF22" s="233" t="s">
        <v>672</v>
      </c>
      <c r="DG22" s="234">
        <v>46041.466666666667</v>
      </c>
      <c r="DH22" s="227"/>
      <c r="DI22" s="227"/>
      <c r="DJ22" s="227"/>
      <c r="DK22" s="227"/>
      <c r="DL22" s="227"/>
      <c r="DM22" s="227"/>
      <c r="DN22" s="227"/>
      <c r="DO22" s="227"/>
      <c r="DP22" s="227"/>
      <c r="DQ22" s="227"/>
      <c r="DR22" s="227"/>
      <c r="DS22" s="227"/>
      <c r="DT22" s="227"/>
      <c r="DU22" s="227"/>
      <c r="DV22" s="227"/>
      <c r="DW22" s="227"/>
      <c r="DX22" s="227"/>
      <c r="DY22" s="227"/>
      <c r="DZ22" s="227"/>
      <c r="EA22" s="227"/>
      <c r="EB22" s="227"/>
      <c r="EC22" s="227"/>
      <c r="ED22" s="227"/>
      <c r="EE22" s="227"/>
      <c r="EF22" s="227"/>
    </row>
    <row r="23" spans="1:136">
      <c r="A23" s="227"/>
      <c r="B23" s="227"/>
      <c r="C23" s="234">
        <v>46044.540972222225</v>
      </c>
      <c r="D23" s="238">
        <v>1</v>
      </c>
      <c r="E23" s="227"/>
      <c r="F23" s="227"/>
      <c r="G23" s="227"/>
      <c r="H23" s="227"/>
      <c r="I23" s="227"/>
      <c r="J23" s="227"/>
      <c r="K23" s="234">
        <v>46044.828472222223</v>
      </c>
      <c r="L23" s="227"/>
      <c r="M23" s="233" t="s">
        <v>647</v>
      </c>
      <c r="N23" s="234">
        <v>46040.806250000001</v>
      </c>
      <c r="O23" s="227"/>
      <c r="P23" s="227"/>
      <c r="Q23" s="227"/>
      <c r="R23" s="227"/>
      <c r="S23" s="229"/>
      <c r="T23" s="227"/>
      <c r="U23" s="229"/>
      <c r="V23" s="237">
        <v>46041.477083333331</v>
      </c>
      <c r="W23" s="238">
        <v>0.25</v>
      </c>
      <c r="X23" s="227"/>
      <c r="Y23" s="227"/>
      <c r="Z23" s="234">
        <v>46043.874305555553</v>
      </c>
      <c r="AA23" s="227"/>
      <c r="AB23" s="233" t="s">
        <v>667</v>
      </c>
      <c r="AC23" s="234">
        <v>46041.491666666669</v>
      </c>
      <c r="AD23" s="227"/>
      <c r="AE23" s="233" t="s">
        <v>653</v>
      </c>
      <c r="AF23" s="234">
        <v>46040.886111111111</v>
      </c>
      <c r="AG23" s="229"/>
      <c r="AH23" s="272"/>
      <c r="AI23" s="272"/>
      <c r="AJ23" s="272"/>
      <c r="AK23" s="227"/>
      <c r="AL23" s="233" t="s">
        <v>686</v>
      </c>
      <c r="AM23" s="234">
        <v>46049.818055555559</v>
      </c>
      <c r="AN23" s="227"/>
      <c r="AO23" s="233" t="s">
        <v>655</v>
      </c>
      <c r="AP23" s="234">
        <v>46036.474999999999</v>
      </c>
      <c r="AQ23" s="238">
        <v>0.25</v>
      </c>
      <c r="AR23" s="227"/>
      <c r="AS23" s="233" t="s">
        <v>722</v>
      </c>
      <c r="AT23" s="238">
        <v>2</v>
      </c>
      <c r="AU23" s="233" t="s">
        <v>657</v>
      </c>
      <c r="AV23" s="234">
        <v>46040.463194444441</v>
      </c>
      <c r="AW23" s="227"/>
      <c r="AX23" s="233" t="s">
        <v>658</v>
      </c>
      <c r="AY23" s="234">
        <v>46036.576388888891</v>
      </c>
      <c r="AZ23" s="238">
        <v>1</v>
      </c>
      <c r="BA23" s="233" t="s">
        <v>659</v>
      </c>
      <c r="BB23" s="234">
        <v>46040.800000000003</v>
      </c>
      <c r="BC23" s="227"/>
      <c r="BD23" s="227"/>
      <c r="BE23" s="233" t="s">
        <v>660</v>
      </c>
      <c r="BF23" s="234">
        <v>46042.453472222223</v>
      </c>
      <c r="BG23" s="227"/>
      <c r="BH23" s="227"/>
      <c r="BI23" s="233" t="s">
        <v>661</v>
      </c>
      <c r="BJ23" s="234">
        <v>46040.793055555558</v>
      </c>
      <c r="BK23" s="227"/>
      <c r="BL23" s="227"/>
      <c r="BM23" s="227"/>
      <c r="BN23" s="227"/>
      <c r="BO23" s="227"/>
      <c r="BP23" s="227"/>
      <c r="BQ23" s="233" t="s">
        <v>663</v>
      </c>
      <c r="BR23" s="234">
        <v>46040.456250000003</v>
      </c>
      <c r="BS23" s="227"/>
      <c r="BT23" s="227"/>
      <c r="BU23" s="233" t="s">
        <v>664</v>
      </c>
      <c r="BV23" s="234">
        <v>46041.806250000001</v>
      </c>
      <c r="BW23" s="227"/>
      <c r="BX23" s="233" t="s">
        <v>665</v>
      </c>
      <c r="BY23" s="234">
        <v>46041.888888888891</v>
      </c>
      <c r="BZ23" s="227"/>
      <c r="CA23" s="227"/>
      <c r="CB23" s="241"/>
      <c r="CC23" s="234">
        <v>46042.469444444447</v>
      </c>
      <c r="CD23" s="227"/>
      <c r="CE23" s="227"/>
      <c r="CF23" s="233" t="s">
        <v>695</v>
      </c>
      <c r="CG23" s="234">
        <v>46042.468055555553</v>
      </c>
      <c r="CH23" s="227"/>
      <c r="CI23" s="227"/>
      <c r="CJ23" s="227"/>
      <c r="CK23" s="227"/>
      <c r="CL23" s="227"/>
      <c r="CM23" s="228" t="s">
        <v>669</v>
      </c>
      <c r="CN23" s="239">
        <v>46043.470138888886</v>
      </c>
      <c r="CO23" s="245">
        <v>0.25</v>
      </c>
      <c r="CP23" s="227"/>
      <c r="CQ23" s="227"/>
      <c r="CR23" s="234">
        <v>46043.88958333333</v>
      </c>
      <c r="CS23" s="227"/>
      <c r="CT23" s="227"/>
      <c r="CU23" s="228" t="s">
        <v>665</v>
      </c>
      <c r="CV23" s="239">
        <v>46041.888888888891</v>
      </c>
      <c r="CW23" s="232"/>
      <c r="CX23" s="227"/>
      <c r="CY23" s="233" t="s">
        <v>688</v>
      </c>
      <c r="CZ23" s="234">
        <v>46047.875694444447</v>
      </c>
      <c r="DA23" s="227"/>
      <c r="DB23" s="227"/>
      <c r="DC23" s="233" t="s">
        <v>671</v>
      </c>
      <c r="DD23" s="234">
        <v>46041.893750000003</v>
      </c>
      <c r="DE23" s="227"/>
      <c r="DF23" s="233" t="s">
        <v>672</v>
      </c>
      <c r="DG23" s="234">
        <v>46041.792361111111</v>
      </c>
      <c r="DH23" s="227"/>
      <c r="DI23" s="227"/>
      <c r="DJ23" s="227"/>
      <c r="DK23" s="227"/>
      <c r="DL23" s="227"/>
      <c r="DM23" s="227"/>
      <c r="DN23" s="227"/>
      <c r="DO23" s="227"/>
      <c r="DP23" s="227"/>
      <c r="DQ23" s="227"/>
      <c r="DR23" s="227"/>
      <c r="DS23" s="227"/>
      <c r="DT23" s="227"/>
      <c r="DU23" s="227"/>
      <c r="DV23" s="227"/>
      <c r="DW23" s="227"/>
      <c r="DX23" s="227"/>
      <c r="DY23" s="227"/>
      <c r="DZ23" s="227"/>
      <c r="EA23" s="227"/>
      <c r="EB23" s="227"/>
      <c r="EC23" s="227"/>
      <c r="ED23" s="227"/>
      <c r="EE23" s="227"/>
      <c r="EF23" s="227"/>
    </row>
    <row r="24" spans="1:136">
      <c r="A24" s="227"/>
      <c r="B24" s="227"/>
      <c r="C24" s="234">
        <v>46046.606944444444</v>
      </c>
      <c r="D24" s="238">
        <v>1</v>
      </c>
      <c r="E24" s="227"/>
      <c r="F24" s="227"/>
      <c r="G24" s="227"/>
      <c r="H24" s="227"/>
      <c r="I24" s="227"/>
      <c r="J24" s="227"/>
      <c r="K24" s="234">
        <v>46047.46875</v>
      </c>
      <c r="L24" s="227"/>
      <c r="M24" s="233" t="s">
        <v>647</v>
      </c>
      <c r="N24" s="234">
        <v>46041.469444444447</v>
      </c>
      <c r="O24" s="227"/>
      <c r="P24" s="227"/>
      <c r="Q24" s="227"/>
      <c r="R24" s="227"/>
      <c r="S24" s="229"/>
      <c r="T24" s="227"/>
      <c r="U24" s="229"/>
      <c r="V24" s="237">
        <v>46041.906944444447</v>
      </c>
      <c r="W24" s="227"/>
      <c r="X24" s="227"/>
      <c r="Y24" s="227"/>
      <c r="Z24" s="234">
        <v>46044.472222222219</v>
      </c>
      <c r="AA24" s="238">
        <v>0.25</v>
      </c>
      <c r="AB24" s="233" t="s">
        <v>684</v>
      </c>
      <c r="AC24" s="234">
        <v>46041.888194444444</v>
      </c>
      <c r="AD24" s="227"/>
      <c r="AE24" s="233" t="s">
        <v>723</v>
      </c>
      <c r="AF24" s="234">
        <v>46041.47152777778</v>
      </c>
      <c r="AG24" s="229"/>
      <c r="AH24" s="233" t="s">
        <v>654</v>
      </c>
      <c r="AI24" s="234">
        <v>46044.480555555558</v>
      </c>
      <c r="AJ24" s="238">
        <v>0.5</v>
      </c>
      <c r="AK24" s="227"/>
      <c r="AL24" s="233" t="s">
        <v>686</v>
      </c>
      <c r="AM24" s="234">
        <v>46050.464583333334</v>
      </c>
      <c r="AN24" s="227"/>
      <c r="AO24" s="233" t="s">
        <v>655</v>
      </c>
      <c r="AP24" s="234">
        <v>46036.759027777778</v>
      </c>
      <c r="AQ24" s="227"/>
      <c r="AR24" s="227"/>
      <c r="AS24" s="276" t="s">
        <v>724</v>
      </c>
      <c r="AT24" s="272"/>
      <c r="AU24" s="233" t="s">
        <v>657</v>
      </c>
      <c r="AV24" s="234">
        <v>46040.848611111112</v>
      </c>
      <c r="AW24" s="227"/>
      <c r="AX24" s="233" t="s">
        <v>658</v>
      </c>
      <c r="AY24" s="234">
        <v>46036.784722222219</v>
      </c>
      <c r="AZ24" s="227"/>
      <c r="BA24" s="233" t="s">
        <v>699</v>
      </c>
      <c r="BB24" s="234">
        <v>46041.513888888891</v>
      </c>
      <c r="BC24" s="227"/>
      <c r="BD24" s="227"/>
      <c r="BE24" s="233" t="s">
        <v>660</v>
      </c>
      <c r="BF24" s="234">
        <v>46042.911111111112</v>
      </c>
      <c r="BG24" s="227"/>
      <c r="BH24" s="227"/>
      <c r="BI24" s="233" t="s">
        <v>725</v>
      </c>
      <c r="BJ24" s="234">
        <v>46041.47152777778</v>
      </c>
      <c r="BK24" s="227"/>
      <c r="BL24" s="227"/>
      <c r="BM24" s="227"/>
      <c r="BN24" s="227"/>
      <c r="BO24" s="227"/>
      <c r="BP24" s="227"/>
      <c r="BQ24" s="233" t="s">
        <v>713</v>
      </c>
      <c r="BR24" s="234">
        <v>46041.605555555558</v>
      </c>
      <c r="BS24" s="227"/>
      <c r="BT24" s="227"/>
      <c r="BU24" s="233" t="s">
        <v>664</v>
      </c>
      <c r="BV24" s="234">
        <v>46042.461111111108</v>
      </c>
      <c r="BW24" s="227"/>
      <c r="BX24" s="233" t="s">
        <v>707</v>
      </c>
      <c r="BY24" s="234">
        <v>46042.488194444442</v>
      </c>
      <c r="BZ24" s="238">
        <v>0.5</v>
      </c>
      <c r="CA24" s="227"/>
      <c r="CB24" s="233" t="s">
        <v>666</v>
      </c>
      <c r="CC24" s="234">
        <v>46042.82916666667</v>
      </c>
      <c r="CD24" s="227"/>
      <c r="CE24" s="227"/>
      <c r="CF24" s="233" t="s">
        <v>695</v>
      </c>
      <c r="CG24" s="234">
        <v>46042.855555555558</v>
      </c>
      <c r="CH24" s="227"/>
      <c r="CI24" s="227"/>
      <c r="CJ24" s="227"/>
      <c r="CK24" s="227"/>
      <c r="CL24" s="227"/>
      <c r="CM24" s="228" t="s">
        <v>669</v>
      </c>
      <c r="CN24" s="239">
        <v>46043.87222222222</v>
      </c>
      <c r="CO24" s="232"/>
      <c r="CP24" s="227"/>
      <c r="CQ24" s="233" t="s">
        <v>685</v>
      </c>
      <c r="CR24" s="234">
        <v>46044.57916666667</v>
      </c>
      <c r="CS24" s="238">
        <v>1</v>
      </c>
      <c r="CT24" s="227"/>
      <c r="CU24" s="228" t="s">
        <v>665</v>
      </c>
      <c r="CV24" s="239">
        <v>46042.488194444442</v>
      </c>
      <c r="CW24" s="245">
        <v>0.5</v>
      </c>
      <c r="CX24" s="227"/>
      <c r="CY24" s="233" t="s">
        <v>688</v>
      </c>
      <c r="CZ24" s="234">
        <v>46048.461805555555</v>
      </c>
      <c r="DA24" s="227"/>
      <c r="DB24" s="227"/>
      <c r="DC24" s="233" t="s">
        <v>671</v>
      </c>
      <c r="DD24" s="234">
        <v>46042.449305555558</v>
      </c>
      <c r="DE24" s="227"/>
      <c r="DF24" s="233" t="s">
        <v>672</v>
      </c>
      <c r="DG24" s="234">
        <v>46042.459722222222</v>
      </c>
      <c r="DH24" s="227"/>
      <c r="DI24" s="227"/>
      <c r="DJ24" s="227"/>
      <c r="DK24" s="227"/>
      <c r="DL24" s="227"/>
      <c r="DM24" s="227"/>
      <c r="DN24" s="227"/>
      <c r="DO24" s="227"/>
      <c r="DP24" s="227"/>
      <c r="DQ24" s="227"/>
      <c r="DR24" s="227"/>
      <c r="DS24" s="227"/>
      <c r="DT24" s="227"/>
      <c r="DU24" s="227"/>
      <c r="DV24" s="227"/>
      <c r="DW24" s="227"/>
      <c r="DX24" s="227"/>
      <c r="DY24" s="227"/>
      <c r="DZ24" s="227"/>
      <c r="EA24" s="227"/>
      <c r="EB24" s="227"/>
      <c r="EC24" s="227"/>
      <c r="ED24" s="227"/>
      <c r="EE24" s="227"/>
      <c r="EF24" s="227"/>
    </row>
    <row r="25" spans="1:136">
      <c r="A25" s="227"/>
      <c r="B25" s="227"/>
      <c r="C25" s="234">
        <v>46046.870833333334</v>
      </c>
      <c r="D25" s="227"/>
      <c r="E25" s="227"/>
      <c r="F25" s="227"/>
      <c r="G25" s="227"/>
      <c r="H25" s="227"/>
      <c r="I25" s="227"/>
      <c r="J25" s="227"/>
      <c r="K25" s="234">
        <v>46047.918055555558</v>
      </c>
      <c r="L25" s="227"/>
      <c r="M25" s="233" t="s">
        <v>647</v>
      </c>
      <c r="N25" s="234">
        <v>46041.820833333331</v>
      </c>
      <c r="O25" s="227"/>
      <c r="P25" s="227"/>
      <c r="Q25" s="227"/>
      <c r="R25" s="227"/>
      <c r="S25" s="229"/>
      <c r="T25" s="227"/>
      <c r="U25" s="229" t="s">
        <v>699</v>
      </c>
      <c r="V25" s="237">
        <v>46042.563194444447</v>
      </c>
      <c r="W25" s="238">
        <v>0.5</v>
      </c>
      <c r="X25" s="227"/>
      <c r="Y25" s="227"/>
      <c r="Z25" s="234">
        <v>46044.810416666667</v>
      </c>
      <c r="AA25" s="227"/>
      <c r="AB25" s="233" t="s">
        <v>684</v>
      </c>
      <c r="AC25" s="234">
        <v>46042.488194444442</v>
      </c>
      <c r="AD25" s="238">
        <v>0.25</v>
      </c>
      <c r="AE25" s="233" t="s">
        <v>653</v>
      </c>
      <c r="AF25" s="234">
        <v>46041.836111111108</v>
      </c>
      <c r="AG25" s="229"/>
      <c r="AH25" s="233" t="s">
        <v>654</v>
      </c>
      <c r="AI25" s="234">
        <v>46044.945138888892</v>
      </c>
      <c r="AJ25" s="227"/>
      <c r="AK25" s="227"/>
      <c r="AL25" s="227"/>
      <c r="AM25" s="227"/>
      <c r="AN25" s="227"/>
      <c r="AO25" s="233" t="s">
        <v>655</v>
      </c>
      <c r="AP25" s="234">
        <v>46040.469444444447</v>
      </c>
      <c r="AQ25" s="238">
        <v>0.25</v>
      </c>
      <c r="AR25" s="227"/>
      <c r="AS25" s="272"/>
      <c r="AT25" s="272"/>
      <c r="AU25" s="233" t="s">
        <v>657</v>
      </c>
      <c r="AV25" s="234">
        <v>46041.467361111114</v>
      </c>
      <c r="AW25" s="227"/>
      <c r="AX25" s="233" t="s">
        <v>658</v>
      </c>
      <c r="AY25" s="234">
        <v>46037.777083333334</v>
      </c>
      <c r="AZ25" s="227"/>
      <c r="BA25" s="233" t="s">
        <v>659</v>
      </c>
      <c r="BB25" s="234">
        <v>46041.84652777778</v>
      </c>
      <c r="BC25" s="227"/>
      <c r="BD25" s="227"/>
      <c r="BE25" s="233" t="s">
        <v>660</v>
      </c>
      <c r="BF25" s="234">
        <v>46043.453472222223</v>
      </c>
      <c r="BG25" s="227"/>
      <c r="BH25" s="227"/>
      <c r="BI25" s="233" t="s">
        <v>661</v>
      </c>
      <c r="BJ25" s="234">
        <v>46041.816666666666</v>
      </c>
      <c r="BK25" s="227"/>
      <c r="BL25" s="227"/>
      <c r="BM25" s="227"/>
      <c r="BN25" s="227"/>
      <c r="BO25" s="227"/>
      <c r="BP25" s="227"/>
      <c r="BQ25" s="233" t="s">
        <v>663</v>
      </c>
      <c r="BR25" s="234">
        <v>46041.865972222222</v>
      </c>
      <c r="BS25" s="227"/>
      <c r="BT25" s="227"/>
      <c r="BU25" s="233" t="s">
        <v>664</v>
      </c>
      <c r="BV25" s="234">
        <v>46042.798611111109</v>
      </c>
      <c r="BW25" s="227"/>
      <c r="BX25" s="227"/>
      <c r="BY25" s="227"/>
      <c r="BZ25" s="227"/>
      <c r="CA25" s="227"/>
      <c r="CB25" s="233" t="s">
        <v>683</v>
      </c>
      <c r="CC25" s="234">
        <v>46043.472916666666</v>
      </c>
      <c r="CD25" s="238">
        <v>0.25</v>
      </c>
      <c r="CE25" s="227"/>
      <c r="CF25" s="233" t="s">
        <v>695</v>
      </c>
      <c r="CG25" s="234">
        <v>46043.486111111109</v>
      </c>
      <c r="CH25" s="238">
        <v>0.25</v>
      </c>
      <c r="CI25" s="227"/>
      <c r="CJ25" s="227"/>
      <c r="CK25" s="227"/>
      <c r="CL25" s="227"/>
      <c r="CM25" s="228" t="s">
        <v>669</v>
      </c>
      <c r="CN25" s="239">
        <v>46044.490277777775</v>
      </c>
      <c r="CO25" s="245">
        <v>0.5</v>
      </c>
      <c r="CP25" s="227"/>
      <c r="CQ25" s="241"/>
      <c r="CR25" s="234">
        <v>46045.008333333331</v>
      </c>
      <c r="CS25" s="227"/>
      <c r="CT25" s="227"/>
      <c r="CU25" s="227"/>
      <c r="CV25" s="227"/>
      <c r="CW25" s="227"/>
      <c r="CX25" s="227"/>
      <c r="CY25" s="233" t="s">
        <v>688</v>
      </c>
      <c r="CZ25" s="234">
        <v>46048.799305555556</v>
      </c>
      <c r="DA25" s="227"/>
      <c r="DB25" s="227"/>
      <c r="DC25" s="233" t="s">
        <v>671</v>
      </c>
      <c r="DD25" s="234">
        <v>46042.90902777778</v>
      </c>
      <c r="DE25" s="227"/>
      <c r="DF25" s="233" t="s">
        <v>672</v>
      </c>
      <c r="DG25" s="234">
        <v>46042.799305555556</v>
      </c>
      <c r="DH25" s="227"/>
      <c r="DI25" s="227"/>
      <c r="DJ25" s="227"/>
      <c r="DK25" s="227"/>
      <c r="DL25" s="227"/>
      <c r="DM25" s="227"/>
      <c r="DN25" s="227"/>
      <c r="DO25" s="227"/>
      <c r="DP25" s="227"/>
      <c r="DQ25" s="227"/>
      <c r="DR25" s="227"/>
      <c r="DS25" s="227"/>
      <c r="DT25" s="227"/>
      <c r="DU25" s="227"/>
      <c r="DV25" s="227"/>
      <c r="DW25" s="227"/>
      <c r="DX25" s="227"/>
      <c r="DY25" s="227"/>
      <c r="DZ25" s="227"/>
      <c r="EA25" s="227"/>
      <c r="EB25" s="227"/>
      <c r="EC25" s="227"/>
      <c r="ED25" s="227"/>
      <c r="EE25" s="227"/>
      <c r="EF25" s="227"/>
    </row>
    <row r="26" spans="1:136">
      <c r="A26" s="227"/>
      <c r="B26" s="227"/>
      <c r="C26" s="234">
        <v>46047.475694444445</v>
      </c>
      <c r="D26" s="238">
        <v>0.25</v>
      </c>
      <c r="E26" s="227"/>
      <c r="F26" s="227"/>
      <c r="G26" s="227"/>
      <c r="H26" s="227"/>
      <c r="I26" s="227"/>
      <c r="J26" s="235" t="s">
        <v>726</v>
      </c>
      <c r="K26" s="234">
        <v>46048.469444444447</v>
      </c>
      <c r="L26" s="238">
        <v>0</v>
      </c>
      <c r="M26" s="233" t="s">
        <v>647</v>
      </c>
      <c r="N26" s="234">
        <v>46042.462500000001</v>
      </c>
      <c r="O26" s="227"/>
      <c r="P26" s="227"/>
      <c r="Q26" s="227"/>
      <c r="R26" s="227"/>
      <c r="S26" s="229"/>
      <c r="T26" s="227"/>
      <c r="U26" s="229"/>
      <c r="V26" s="237">
        <v>46042.88958333333</v>
      </c>
      <c r="W26" s="227"/>
      <c r="X26" s="227"/>
      <c r="Y26" s="235" t="s">
        <v>643</v>
      </c>
      <c r="Z26" s="234">
        <v>46046.500694444447</v>
      </c>
      <c r="AA26" s="227"/>
      <c r="AB26" s="233" t="s">
        <v>684</v>
      </c>
      <c r="AC26" s="234">
        <v>46043.480555555558</v>
      </c>
      <c r="AD26" s="238">
        <v>0.25</v>
      </c>
      <c r="AE26" s="233" t="s">
        <v>653</v>
      </c>
      <c r="AF26" s="234">
        <v>46042.456250000003</v>
      </c>
      <c r="AG26" s="229"/>
      <c r="AH26" s="233" t="s">
        <v>654</v>
      </c>
      <c r="AI26" s="234">
        <v>46046.529166666667</v>
      </c>
      <c r="AJ26" s="227"/>
      <c r="AK26" s="227"/>
      <c r="AL26" s="227"/>
      <c r="AM26" s="227"/>
      <c r="AN26" s="227"/>
      <c r="AO26" s="233" t="s">
        <v>655</v>
      </c>
      <c r="AP26" s="234">
        <v>46040.90347222222</v>
      </c>
      <c r="AQ26" s="227"/>
      <c r="AR26" s="227"/>
      <c r="AS26" s="272"/>
      <c r="AT26" s="272"/>
      <c r="AU26" s="233" t="s">
        <v>657</v>
      </c>
      <c r="AV26" s="234">
        <v>46041.855555555558</v>
      </c>
      <c r="AW26" s="227"/>
      <c r="AX26" s="233" t="s">
        <v>658</v>
      </c>
      <c r="AY26" s="234">
        <v>46037.88958333333</v>
      </c>
      <c r="AZ26" s="227"/>
      <c r="BA26" s="233" t="s">
        <v>659</v>
      </c>
      <c r="BB26" s="234">
        <v>46042.529861111114</v>
      </c>
      <c r="BC26" s="238">
        <v>1</v>
      </c>
      <c r="BD26" s="227"/>
      <c r="BE26" s="233" t="s">
        <v>660</v>
      </c>
      <c r="BF26" s="234">
        <v>46044.450694444444</v>
      </c>
      <c r="BG26" s="227"/>
      <c r="BH26" s="227"/>
      <c r="BI26" s="233" t="s">
        <v>661</v>
      </c>
      <c r="BJ26" s="234">
        <v>46042.456250000003</v>
      </c>
      <c r="BK26" s="227"/>
      <c r="BL26" s="227"/>
      <c r="BM26" s="227"/>
      <c r="BN26" s="227"/>
      <c r="BO26" s="227"/>
      <c r="BP26" s="227"/>
      <c r="BQ26" s="233" t="s">
        <v>663</v>
      </c>
      <c r="BR26" s="234">
        <v>46042.462500000001</v>
      </c>
      <c r="BS26" s="227"/>
      <c r="BT26" s="227"/>
      <c r="BU26" s="233" t="s">
        <v>664</v>
      </c>
      <c r="BV26" s="234">
        <v>46043.456944444442</v>
      </c>
      <c r="BW26" s="227"/>
      <c r="BX26" s="227"/>
      <c r="BY26" s="227"/>
      <c r="BZ26" s="227"/>
      <c r="CA26" s="227"/>
      <c r="CB26" s="233" t="s">
        <v>666</v>
      </c>
      <c r="CC26" s="234">
        <v>46043.829861111109</v>
      </c>
      <c r="CD26" s="227"/>
      <c r="CE26" s="227"/>
      <c r="CF26" s="227"/>
      <c r="CG26" s="234">
        <v>46043.870138888888</v>
      </c>
      <c r="CH26" s="227"/>
      <c r="CI26" s="227"/>
      <c r="CJ26" s="227"/>
      <c r="CK26" s="227"/>
      <c r="CL26" s="227"/>
      <c r="CM26" s="228" t="s">
        <v>669</v>
      </c>
      <c r="CN26" s="239">
        <v>46044.853472222225</v>
      </c>
      <c r="CO26" s="232"/>
      <c r="CP26" s="227"/>
      <c r="CQ26" s="227"/>
      <c r="CR26" s="234">
        <v>46046.847222222219</v>
      </c>
      <c r="CS26" s="227"/>
      <c r="CT26" s="227"/>
      <c r="CU26" s="227"/>
      <c r="CV26" s="227"/>
      <c r="CW26" s="227"/>
      <c r="CX26" s="227"/>
      <c r="CY26" s="233" t="s">
        <v>688</v>
      </c>
      <c r="CZ26" s="234">
        <v>46049.470138888886</v>
      </c>
      <c r="DA26" s="238">
        <v>0.25</v>
      </c>
      <c r="DB26" s="227"/>
      <c r="DC26" s="233" t="s">
        <v>671</v>
      </c>
      <c r="DD26" s="234">
        <v>46043.46875</v>
      </c>
      <c r="DE26" s="227"/>
      <c r="DF26" s="233" t="s">
        <v>672</v>
      </c>
      <c r="DG26" s="234">
        <v>46043.459722222222</v>
      </c>
      <c r="DH26" s="227"/>
      <c r="DI26" s="227"/>
      <c r="DJ26" s="227"/>
      <c r="DK26" s="227"/>
      <c r="DL26" s="227"/>
      <c r="DM26" s="227"/>
      <c r="DN26" s="227"/>
      <c r="DO26" s="227"/>
      <c r="DP26" s="227"/>
      <c r="DQ26" s="227"/>
      <c r="DR26" s="227"/>
      <c r="DS26" s="227"/>
      <c r="DT26" s="227"/>
      <c r="DU26" s="227"/>
      <c r="DV26" s="227"/>
      <c r="DW26" s="227"/>
      <c r="DX26" s="227"/>
      <c r="DY26" s="227"/>
      <c r="DZ26" s="227"/>
      <c r="EA26" s="227"/>
      <c r="EB26" s="227"/>
      <c r="EC26" s="227"/>
      <c r="ED26" s="227"/>
      <c r="EE26" s="227"/>
      <c r="EF26" s="227"/>
    </row>
    <row r="27" spans="1:136">
      <c r="A27" s="227"/>
      <c r="B27" s="227"/>
      <c r="C27" s="234">
        <v>46048.553472222222</v>
      </c>
      <c r="D27" s="238">
        <v>1</v>
      </c>
      <c r="E27" s="227"/>
      <c r="F27" s="227"/>
      <c r="G27" s="227"/>
      <c r="H27" s="227"/>
      <c r="I27" s="227"/>
      <c r="J27" s="227"/>
      <c r="K27" s="234">
        <v>46048.86041666667</v>
      </c>
      <c r="L27" s="227"/>
      <c r="M27" s="233" t="s">
        <v>647</v>
      </c>
      <c r="N27" s="234">
        <v>46042.802777777775</v>
      </c>
      <c r="O27" s="227"/>
      <c r="P27" s="227"/>
      <c r="Q27" s="227"/>
      <c r="R27" s="227"/>
      <c r="S27" s="229"/>
      <c r="T27" s="227"/>
      <c r="U27" s="229"/>
      <c r="V27" s="237">
        <v>46042.912499999999</v>
      </c>
      <c r="W27" s="227"/>
      <c r="X27" s="227"/>
      <c r="Y27" s="227"/>
      <c r="Z27" s="234">
        <v>46046.847916666666</v>
      </c>
      <c r="AA27" s="227"/>
      <c r="AB27" s="227"/>
      <c r="AC27" s="234">
        <v>46043.87222222222</v>
      </c>
      <c r="AD27" s="227"/>
      <c r="AE27" s="233" t="s">
        <v>653</v>
      </c>
      <c r="AF27" s="234">
        <v>46042.856249999997</v>
      </c>
      <c r="AG27" s="229"/>
      <c r="AH27" s="233" t="s">
        <v>654</v>
      </c>
      <c r="AI27" s="234">
        <v>46046.836805555555</v>
      </c>
      <c r="AJ27" s="227"/>
      <c r="AK27" s="227"/>
      <c r="AL27" s="227"/>
      <c r="AM27" s="227"/>
      <c r="AN27" s="227"/>
      <c r="AO27" s="233" t="s">
        <v>655</v>
      </c>
      <c r="AP27" s="234">
        <v>46041.462500000001</v>
      </c>
      <c r="AQ27" s="227"/>
      <c r="AR27" s="227"/>
      <c r="AS27" s="227"/>
      <c r="AT27" s="227"/>
      <c r="AU27" s="233" t="s">
        <v>657</v>
      </c>
      <c r="AV27" s="234">
        <v>46042.462500000001</v>
      </c>
      <c r="AW27" s="227"/>
      <c r="AX27" s="233" t="s">
        <v>658</v>
      </c>
      <c r="AY27" s="234">
        <v>46039.676388888889</v>
      </c>
      <c r="AZ27" s="227"/>
      <c r="BA27" s="233" t="s">
        <v>659</v>
      </c>
      <c r="BB27" s="234">
        <v>46042.853472222225</v>
      </c>
      <c r="BC27" s="227"/>
      <c r="BD27" s="227"/>
      <c r="BE27" s="233" t="s">
        <v>660</v>
      </c>
      <c r="BF27" s="234">
        <v>46044.847222222219</v>
      </c>
      <c r="BG27" s="227"/>
      <c r="BH27" s="227"/>
      <c r="BI27" s="233" t="s">
        <v>661</v>
      </c>
      <c r="BJ27" s="234">
        <v>46042.793055555558</v>
      </c>
      <c r="BK27" s="227"/>
      <c r="BL27" s="227"/>
      <c r="BM27" s="227"/>
      <c r="BN27" s="227"/>
      <c r="BO27" s="227"/>
      <c r="BP27" s="227"/>
      <c r="BQ27" s="233" t="s">
        <v>663</v>
      </c>
      <c r="BR27" s="234">
        <v>46042.834027777775</v>
      </c>
      <c r="BS27" s="227"/>
      <c r="BT27" s="227"/>
      <c r="BU27" s="233" t="s">
        <v>664</v>
      </c>
      <c r="BV27" s="234">
        <v>46044.458333333336</v>
      </c>
      <c r="BW27" s="227"/>
      <c r="BX27" s="227"/>
      <c r="BY27" s="227"/>
      <c r="BZ27" s="227"/>
      <c r="CA27" s="227"/>
      <c r="CB27" s="233" t="s">
        <v>666</v>
      </c>
      <c r="CC27" s="234">
        <v>46043.829861111109</v>
      </c>
      <c r="CD27" s="227"/>
      <c r="CE27" s="227"/>
      <c r="CF27" s="227"/>
      <c r="CG27" s="234">
        <v>46044.459722222222</v>
      </c>
      <c r="CH27" s="227"/>
      <c r="CI27" s="227"/>
      <c r="CJ27" s="227"/>
      <c r="CK27" s="227"/>
      <c r="CL27" s="227"/>
      <c r="CM27" s="228" t="s">
        <v>669</v>
      </c>
      <c r="CN27" s="239">
        <v>46047.469444444447</v>
      </c>
      <c r="CO27" s="232"/>
      <c r="CP27" s="227"/>
      <c r="CQ27" s="227"/>
      <c r="CR27" s="234">
        <v>46047.504166666666</v>
      </c>
      <c r="CS27" s="238">
        <v>0.25</v>
      </c>
      <c r="CT27" s="227"/>
      <c r="CU27" s="227"/>
      <c r="CV27" s="227"/>
      <c r="CW27" s="227"/>
      <c r="CX27" s="227"/>
      <c r="CY27" s="233" t="s">
        <v>688</v>
      </c>
      <c r="CZ27" s="234">
        <v>46050.457638888889</v>
      </c>
      <c r="DA27" s="227"/>
      <c r="DB27" s="227"/>
      <c r="DC27" s="233" t="s">
        <v>671</v>
      </c>
      <c r="DD27" s="234">
        <v>46043.854166666664</v>
      </c>
      <c r="DE27" s="227"/>
      <c r="DF27" s="233" t="s">
        <v>672</v>
      </c>
      <c r="DG27" s="234">
        <v>46043.796527777777</v>
      </c>
      <c r="DH27" s="227"/>
      <c r="DI27" s="227"/>
      <c r="DJ27" s="227"/>
      <c r="DK27" s="227"/>
      <c r="DL27" s="227"/>
      <c r="DM27" s="227"/>
      <c r="DN27" s="227"/>
      <c r="DO27" s="227"/>
      <c r="DP27" s="227"/>
      <c r="DQ27" s="227"/>
      <c r="DR27" s="227"/>
      <c r="DS27" s="227"/>
      <c r="DT27" s="227"/>
      <c r="DU27" s="227"/>
      <c r="DV27" s="227"/>
      <c r="DW27" s="227"/>
      <c r="DX27" s="227"/>
      <c r="DY27" s="227"/>
      <c r="DZ27" s="227"/>
      <c r="EA27" s="227"/>
      <c r="EB27" s="227"/>
      <c r="EC27" s="227"/>
      <c r="ED27" s="227"/>
      <c r="EE27" s="227"/>
      <c r="EF27" s="227"/>
    </row>
    <row r="28" spans="1:136">
      <c r="A28" s="227"/>
      <c r="B28" s="227"/>
      <c r="C28" s="233" t="s">
        <v>717</v>
      </c>
      <c r="D28" s="238">
        <v>1</v>
      </c>
      <c r="E28" s="227"/>
      <c r="F28" s="227"/>
      <c r="G28" s="227"/>
      <c r="H28" s="227"/>
      <c r="I28" s="227"/>
      <c r="J28" s="227"/>
      <c r="K28" s="234">
        <v>46049.470138888886</v>
      </c>
      <c r="L28" s="238">
        <v>0.25</v>
      </c>
      <c r="M28" s="233" t="s">
        <v>647</v>
      </c>
      <c r="N28" s="234">
        <v>46043.462500000001</v>
      </c>
      <c r="O28" s="227"/>
      <c r="P28" s="227"/>
      <c r="Q28" s="227"/>
      <c r="R28" s="227"/>
      <c r="S28" s="229"/>
      <c r="T28" s="227"/>
      <c r="U28" s="229"/>
      <c r="V28" s="237">
        <v>46043.478472222225</v>
      </c>
      <c r="W28" s="238">
        <v>0.25</v>
      </c>
      <c r="X28" s="227"/>
      <c r="Y28" s="227"/>
      <c r="Z28" s="234">
        <v>46047.470138888886</v>
      </c>
      <c r="AA28" s="238">
        <v>0.25</v>
      </c>
      <c r="AB28" s="227"/>
      <c r="AC28" s="234">
        <v>46044.476388888892</v>
      </c>
      <c r="AD28" s="235"/>
      <c r="AE28" s="233" t="s">
        <v>653</v>
      </c>
      <c r="AF28" s="234">
        <v>46043.456944444442</v>
      </c>
      <c r="AG28" s="229"/>
      <c r="AH28" s="233" t="s">
        <v>654</v>
      </c>
      <c r="AI28" s="234">
        <v>46047.465277777781</v>
      </c>
      <c r="AJ28" s="227"/>
      <c r="AK28" s="227"/>
      <c r="AL28" s="227"/>
      <c r="AM28" s="227"/>
      <c r="AN28" s="227"/>
      <c r="AO28" s="233" t="s">
        <v>655</v>
      </c>
      <c r="AP28" s="234">
        <v>46041.870833333334</v>
      </c>
      <c r="AQ28" s="227"/>
      <c r="AR28" s="227"/>
      <c r="AS28" s="241"/>
      <c r="AT28" s="227"/>
      <c r="AU28" s="233" t="s">
        <v>657</v>
      </c>
      <c r="AV28" s="234">
        <v>46042.834027777775</v>
      </c>
      <c r="AW28" s="227"/>
      <c r="AX28" s="233" t="s">
        <v>658</v>
      </c>
      <c r="AY28" s="234">
        <v>46039.740277777775</v>
      </c>
      <c r="AZ28" s="227"/>
      <c r="BA28" s="233" t="s">
        <v>699</v>
      </c>
      <c r="BB28" s="234">
        <v>46043.563194444447</v>
      </c>
      <c r="BC28" s="227"/>
      <c r="BD28" s="227"/>
      <c r="BE28" s="233" t="s">
        <v>660</v>
      </c>
      <c r="BF28" s="234">
        <v>46046.877083333333</v>
      </c>
      <c r="BG28" s="227"/>
      <c r="BH28" s="227"/>
      <c r="BI28" s="233" t="s">
        <v>661</v>
      </c>
      <c r="BJ28" s="234">
        <v>46043.455555555556</v>
      </c>
      <c r="BK28" s="227"/>
      <c r="BL28" s="227"/>
      <c r="BM28" s="227"/>
      <c r="BN28" s="227"/>
      <c r="BO28" s="227"/>
      <c r="BP28" s="227"/>
      <c r="BQ28" s="233" t="s">
        <v>663</v>
      </c>
      <c r="BR28" s="234">
        <v>46043.462500000001</v>
      </c>
      <c r="BS28" s="227"/>
      <c r="BT28" s="227"/>
      <c r="BU28" s="233" t="s">
        <v>664</v>
      </c>
      <c r="BV28" s="234">
        <v>46044.800000000003</v>
      </c>
      <c r="BW28" s="227"/>
      <c r="BX28" s="227"/>
      <c r="BY28" s="227"/>
      <c r="BZ28" s="227"/>
      <c r="CA28" s="227"/>
      <c r="CB28" s="233" t="s">
        <v>666</v>
      </c>
      <c r="CC28" s="234">
        <v>46044.468055555553</v>
      </c>
      <c r="CD28" s="227"/>
      <c r="CE28" s="227"/>
      <c r="CF28" s="227"/>
      <c r="CG28" s="234">
        <v>46044.945833333331</v>
      </c>
      <c r="CH28" s="227"/>
      <c r="CI28" s="227"/>
      <c r="CJ28" s="227"/>
      <c r="CK28" s="227"/>
      <c r="CL28" s="227"/>
      <c r="CM28" s="233" t="s">
        <v>669</v>
      </c>
      <c r="CN28" s="234">
        <v>46048.469444444447</v>
      </c>
      <c r="CO28" s="238">
        <v>0.25</v>
      </c>
      <c r="CP28" s="227"/>
      <c r="CQ28" s="233" t="s">
        <v>687</v>
      </c>
      <c r="CR28" s="234">
        <v>46047.504166666666</v>
      </c>
      <c r="CS28" s="227"/>
      <c r="CT28" s="227"/>
      <c r="CU28" s="227"/>
      <c r="CV28" s="227"/>
      <c r="CW28" s="227"/>
      <c r="CX28" s="227"/>
      <c r="CY28" s="227"/>
      <c r="CZ28" s="227"/>
      <c r="DA28" s="227"/>
      <c r="DB28" s="227"/>
      <c r="DC28" s="233" t="s">
        <v>671</v>
      </c>
      <c r="DD28" s="234">
        <v>46044.454861111109</v>
      </c>
      <c r="DE28" s="227"/>
      <c r="DF28" s="233" t="s">
        <v>672</v>
      </c>
      <c r="DG28" s="234">
        <v>46044.463194444441</v>
      </c>
      <c r="DH28" s="227"/>
      <c r="DI28" s="227"/>
      <c r="DJ28" s="227"/>
      <c r="DK28" s="227"/>
      <c r="DL28" s="227"/>
      <c r="DM28" s="227"/>
      <c r="DN28" s="227"/>
      <c r="DO28" s="227"/>
      <c r="DP28" s="227"/>
      <c r="DQ28" s="227"/>
      <c r="DR28" s="227"/>
      <c r="DS28" s="227"/>
      <c r="DT28" s="227"/>
      <c r="DU28" s="227"/>
      <c r="DV28" s="227"/>
      <c r="DW28" s="227"/>
      <c r="DX28" s="227"/>
      <c r="DY28" s="227"/>
      <c r="DZ28" s="227"/>
      <c r="EA28" s="227"/>
      <c r="EB28" s="227"/>
      <c r="EC28" s="227"/>
      <c r="ED28" s="227"/>
      <c r="EE28" s="227"/>
      <c r="EF28" s="227"/>
    </row>
    <row r="29" spans="1:136">
      <c r="A29" s="227"/>
      <c r="B29" s="227"/>
      <c r="C29" s="234">
        <v>46050.525694444441</v>
      </c>
      <c r="D29" s="238">
        <v>1</v>
      </c>
      <c r="E29" s="227"/>
      <c r="F29" s="227"/>
      <c r="G29" s="227"/>
      <c r="H29" s="227"/>
      <c r="I29" s="227"/>
      <c r="J29" s="227"/>
      <c r="K29" s="234">
        <v>46050.479166666664</v>
      </c>
      <c r="L29" s="238">
        <v>0.25</v>
      </c>
      <c r="M29" s="233" t="s">
        <v>647</v>
      </c>
      <c r="N29" s="234">
        <v>46043.795138888891</v>
      </c>
      <c r="O29" s="227"/>
      <c r="P29" s="227"/>
      <c r="Q29" s="227"/>
      <c r="R29" s="227"/>
      <c r="S29" s="229"/>
      <c r="T29" s="227"/>
      <c r="U29" s="229"/>
      <c r="V29" s="237">
        <v>46043.874305555553</v>
      </c>
      <c r="W29" s="227"/>
      <c r="X29" s="227"/>
      <c r="Y29" s="227"/>
      <c r="Z29" s="233" t="s">
        <v>719</v>
      </c>
      <c r="AA29" s="238">
        <v>1</v>
      </c>
      <c r="AB29" s="227"/>
      <c r="AC29" s="234">
        <v>46044.907638888886</v>
      </c>
      <c r="AD29" s="227"/>
      <c r="AE29" s="233" t="s">
        <v>653</v>
      </c>
      <c r="AF29" s="234">
        <v>46043.854861111111</v>
      </c>
      <c r="AG29" s="229"/>
      <c r="AH29" s="233" t="s">
        <v>654</v>
      </c>
      <c r="AI29" s="234">
        <v>46047.884027777778</v>
      </c>
      <c r="AJ29" s="227"/>
      <c r="AK29" s="227"/>
      <c r="AL29" s="227"/>
      <c r="AM29" s="227"/>
      <c r="AN29" s="227"/>
      <c r="AO29" s="233" t="s">
        <v>655</v>
      </c>
      <c r="AP29" s="234">
        <v>46042.462500000001</v>
      </c>
      <c r="AQ29" s="227"/>
      <c r="AR29" s="227"/>
      <c r="AS29" s="227"/>
      <c r="AT29" s="227"/>
      <c r="AU29" s="233" t="s">
        <v>657</v>
      </c>
      <c r="AV29" s="234">
        <v>46043.461805555555</v>
      </c>
      <c r="AW29" s="227"/>
      <c r="AX29" s="233" t="s">
        <v>658</v>
      </c>
      <c r="AY29" s="234">
        <v>46040.520138888889</v>
      </c>
      <c r="AZ29" s="238">
        <v>1</v>
      </c>
      <c r="BA29" s="233" t="s">
        <v>659</v>
      </c>
      <c r="BB29" s="234">
        <v>46043.816666666666</v>
      </c>
      <c r="BC29" s="227"/>
      <c r="BD29" s="227"/>
      <c r="BE29" s="252" t="s">
        <v>526</v>
      </c>
      <c r="BF29" s="250">
        <v>46047.875694444447</v>
      </c>
      <c r="BG29" s="227"/>
      <c r="BH29" s="227"/>
      <c r="BI29" s="233" t="s">
        <v>661</v>
      </c>
      <c r="BJ29" s="234">
        <v>46044.454861111109</v>
      </c>
      <c r="BK29" s="227"/>
      <c r="BL29" s="227"/>
      <c r="BM29" s="227"/>
      <c r="BN29" s="227"/>
      <c r="BO29" s="227"/>
      <c r="BP29" s="227"/>
      <c r="BQ29" s="227"/>
      <c r="BR29" s="234">
        <v>46043.869444444441</v>
      </c>
      <c r="BS29" s="227"/>
      <c r="BT29" s="227"/>
      <c r="BU29" s="233" t="s">
        <v>664</v>
      </c>
      <c r="BV29" s="234">
        <v>46047.46597222222</v>
      </c>
      <c r="BW29" s="227"/>
      <c r="BX29" s="227"/>
      <c r="BY29" s="227"/>
      <c r="BZ29" s="227"/>
      <c r="CA29" s="227"/>
      <c r="CB29" s="233" t="s">
        <v>666</v>
      </c>
      <c r="CC29" s="234">
        <v>46044.468055555553</v>
      </c>
      <c r="CD29" s="227"/>
      <c r="CE29" s="227"/>
      <c r="CF29" s="235" t="s">
        <v>643</v>
      </c>
      <c r="CG29" s="234">
        <v>46046.529166666667</v>
      </c>
      <c r="CH29" s="227"/>
      <c r="CI29" s="227"/>
      <c r="CJ29" s="227"/>
      <c r="CK29" s="227"/>
      <c r="CL29" s="227"/>
      <c r="CM29" s="233" t="s">
        <v>669</v>
      </c>
      <c r="CN29" s="234">
        <v>46048.867361111108</v>
      </c>
      <c r="CO29" s="227"/>
      <c r="CP29" s="227"/>
      <c r="CQ29" s="233" t="s">
        <v>687</v>
      </c>
      <c r="CR29" s="234">
        <v>46048.473611111112</v>
      </c>
      <c r="CS29" s="227"/>
      <c r="CT29" s="227"/>
      <c r="CU29" s="227"/>
      <c r="CV29" s="227"/>
      <c r="CW29" s="227"/>
      <c r="CX29" s="227"/>
      <c r="CY29" s="227"/>
      <c r="CZ29" s="227"/>
      <c r="DA29" s="227"/>
      <c r="DB29" s="227"/>
      <c r="DC29" s="233" t="s">
        <v>671</v>
      </c>
      <c r="DD29" s="234">
        <v>46044.804861111108</v>
      </c>
      <c r="DE29" s="227"/>
      <c r="DF29" s="233" t="s">
        <v>672</v>
      </c>
      <c r="DG29" s="234">
        <v>46044.826388888891</v>
      </c>
      <c r="DH29" s="227"/>
      <c r="DI29" s="227"/>
      <c r="DJ29" s="227"/>
      <c r="DK29" s="227"/>
      <c r="DL29" s="227"/>
      <c r="DM29" s="227"/>
      <c r="DN29" s="227"/>
      <c r="DO29" s="227"/>
      <c r="DP29" s="227"/>
      <c r="DQ29" s="227"/>
      <c r="DR29" s="227"/>
      <c r="DS29" s="227"/>
      <c r="DT29" s="227"/>
      <c r="DU29" s="227"/>
      <c r="DV29" s="227"/>
      <c r="DW29" s="227"/>
      <c r="DX29" s="227"/>
      <c r="DY29" s="227"/>
      <c r="DZ29" s="227"/>
      <c r="EA29" s="227"/>
      <c r="EB29" s="227"/>
      <c r="EC29" s="227"/>
      <c r="ED29" s="227"/>
      <c r="EE29" s="227"/>
      <c r="EF29" s="227"/>
    </row>
    <row r="30" spans="1:136">
      <c r="A30" s="227"/>
      <c r="B30" s="227"/>
      <c r="C30" s="249">
        <v>46051.609722222223</v>
      </c>
      <c r="D30" s="238">
        <v>1</v>
      </c>
      <c r="E30" s="227"/>
      <c r="F30" s="227"/>
      <c r="G30" s="227"/>
      <c r="H30" s="227"/>
      <c r="I30" s="227"/>
      <c r="J30" s="235" t="s">
        <v>692</v>
      </c>
      <c r="K30" s="233" t="s">
        <v>727</v>
      </c>
      <c r="L30" s="227"/>
      <c r="M30" s="233" t="s">
        <v>647</v>
      </c>
      <c r="N30" s="234">
        <v>46044.475694444445</v>
      </c>
      <c r="O30" s="238">
        <v>0.25</v>
      </c>
      <c r="P30" s="227"/>
      <c r="Q30" s="227"/>
      <c r="R30" s="227"/>
      <c r="S30" s="229"/>
      <c r="T30" s="227"/>
      <c r="U30" s="229" t="s">
        <v>692</v>
      </c>
      <c r="V30" s="237">
        <v>46044.734027777777</v>
      </c>
      <c r="W30" s="227"/>
      <c r="X30" s="227"/>
      <c r="Y30" s="233" t="s">
        <v>651</v>
      </c>
      <c r="Z30" s="234">
        <v>46048.468055555553</v>
      </c>
      <c r="AA30" s="227"/>
      <c r="AB30" s="227"/>
      <c r="AC30" s="234">
        <v>46046.568749999999</v>
      </c>
      <c r="AD30" s="227"/>
      <c r="AE30" s="233" t="s">
        <v>653</v>
      </c>
      <c r="AF30" s="234">
        <v>46044.456250000003</v>
      </c>
      <c r="AG30" s="229"/>
      <c r="AH30" s="233" t="s">
        <v>654</v>
      </c>
      <c r="AI30" s="234">
        <v>46048.498611111114</v>
      </c>
      <c r="AJ30" s="238">
        <v>0.5</v>
      </c>
      <c r="AK30" s="227"/>
      <c r="AL30" s="227"/>
      <c r="AM30" s="227"/>
      <c r="AN30" s="227"/>
      <c r="AO30" s="233" t="s">
        <v>655</v>
      </c>
      <c r="AP30" s="234">
        <v>46042.834027777775</v>
      </c>
      <c r="AQ30" s="227"/>
      <c r="AR30" s="227"/>
      <c r="AS30" s="227"/>
      <c r="AT30" s="227"/>
      <c r="AU30" s="233" t="s">
        <v>657</v>
      </c>
      <c r="AV30" s="234">
        <v>46044.459722222222</v>
      </c>
      <c r="AW30" s="227"/>
      <c r="AX30" s="241"/>
      <c r="AY30" s="234">
        <v>46041.523611111108</v>
      </c>
      <c r="AZ30" s="238">
        <v>1</v>
      </c>
      <c r="BA30" s="233" t="s">
        <v>659</v>
      </c>
      <c r="BB30" s="234">
        <v>46044.540972222225</v>
      </c>
      <c r="BC30" s="238">
        <v>1</v>
      </c>
      <c r="BD30" s="227"/>
      <c r="BE30" s="233" t="s">
        <v>660</v>
      </c>
      <c r="BF30" s="234">
        <v>46048.464583333334</v>
      </c>
      <c r="BG30" s="227"/>
      <c r="BH30" s="227"/>
      <c r="BI30" s="233" t="s">
        <v>661</v>
      </c>
      <c r="BJ30" s="234">
        <v>46044.795138888891</v>
      </c>
      <c r="BK30" s="227"/>
      <c r="BL30" s="227"/>
      <c r="BM30" s="227"/>
      <c r="BN30" s="227"/>
      <c r="BO30" s="227"/>
      <c r="BP30" s="227"/>
      <c r="BQ30" s="227"/>
      <c r="BR30" s="234">
        <v>46044.457638888889</v>
      </c>
      <c r="BS30" s="227"/>
      <c r="BT30" s="227"/>
      <c r="BU30" s="233" t="s">
        <v>664</v>
      </c>
      <c r="BV30" s="234">
        <v>46048.459027777775</v>
      </c>
      <c r="BW30" s="227"/>
      <c r="BX30" s="227"/>
      <c r="BY30" s="227"/>
      <c r="BZ30" s="227"/>
      <c r="CA30" s="227"/>
      <c r="CB30" s="233" t="s">
        <v>666</v>
      </c>
      <c r="CC30" s="234">
        <v>46044.813194444447</v>
      </c>
      <c r="CD30" s="227"/>
      <c r="CE30" s="227"/>
      <c r="CF30" s="227"/>
      <c r="CG30" s="234">
        <v>46046.835416666669</v>
      </c>
      <c r="CH30" s="227"/>
      <c r="CI30" s="227"/>
      <c r="CJ30" s="227"/>
      <c r="CK30" s="227"/>
      <c r="CL30" s="227"/>
      <c r="CM30" s="233" t="s">
        <v>669</v>
      </c>
      <c r="CN30" s="234">
        <v>46049.470138888886</v>
      </c>
      <c r="CO30" s="238">
        <v>0.25</v>
      </c>
      <c r="CP30" s="227"/>
      <c r="CQ30" s="233" t="s">
        <v>687</v>
      </c>
      <c r="CR30" s="234">
        <v>46048.822222222225</v>
      </c>
      <c r="CS30" s="227"/>
      <c r="CT30" s="227"/>
      <c r="CU30" s="227"/>
      <c r="CV30" s="227"/>
      <c r="CW30" s="227"/>
      <c r="CX30" s="227"/>
      <c r="CY30" s="227"/>
      <c r="CZ30" s="227"/>
      <c r="DA30" s="227"/>
      <c r="DB30" s="227"/>
      <c r="DC30" s="233" t="s">
        <v>671</v>
      </c>
      <c r="DD30" s="234">
        <v>46046.511805555558</v>
      </c>
      <c r="DE30" s="227"/>
      <c r="DF30" s="233" t="s">
        <v>672</v>
      </c>
      <c r="DG30" s="234">
        <v>46047.461111111108</v>
      </c>
      <c r="DH30" s="227"/>
      <c r="DI30" s="227"/>
      <c r="DJ30" s="227"/>
      <c r="DK30" s="227"/>
      <c r="DL30" s="227"/>
      <c r="DM30" s="227"/>
      <c r="DN30" s="227"/>
      <c r="DO30" s="227"/>
      <c r="DP30" s="227"/>
      <c r="DQ30" s="227"/>
      <c r="DR30" s="227"/>
      <c r="DS30" s="227"/>
      <c r="DT30" s="227"/>
      <c r="DU30" s="227"/>
      <c r="DV30" s="227"/>
      <c r="DW30" s="227"/>
      <c r="DX30" s="227"/>
      <c r="DY30" s="227"/>
      <c r="DZ30" s="227"/>
      <c r="EA30" s="227"/>
      <c r="EB30" s="227"/>
      <c r="EC30" s="227"/>
      <c r="ED30" s="227"/>
      <c r="EE30" s="227"/>
      <c r="EF30" s="227"/>
    </row>
    <row r="31" spans="1:136">
      <c r="A31" s="227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33" t="s">
        <v>647</v>
      </c>
      <c r="N31" s="234">
        <v>46047.463194444441</v>
      </c>
      <c r="O31" s="227"/>
      <c r="P31" s="227"/>
      <c r="Q31" s="227"/>
      <c r="R31" s="227"/>
      <c r="S31" s="229"/>
      <c r="T31" s="227"/>
      <c r="U31" s="229"/>
      <c r="V31" s="237">
        <v>46044.900694444441</v>
      </c>
      <c r="W31" s="227"/>
      <c r="X31" s="227"/>
      <c r="Y31" s="233" t="s">
        <v>651</v>
      </c>
      <c r="Z31" s="234">
        <v>46048.859722222223</v>
      </c>
      <c r="AA31" s="227"/>
      <c r="AB31" s="227"/>
      <c r="AC31" s="234">
        <v>46046.823611111111</v>
      </c>
      <c r="AD31" s="227"/>
      <c r="AE31" s="233" t="s">
        <v>653</v>
      </c>
      <c r="AF31" s="234">
        <v>46044.853472222225</v>
      </c>
      <c r="AG31" s="229"/>
      <c r="AH31" s="233" t="s">
        <v>654</v>
      </c>
      <c r="AI31" s="234">
        <v>46048.938194444447</v>
      </c>
      <c r="AJ31" s="227"/>
      <c r="AK31" s="227"/>
      <c r="AL31" s="227"/>
      <c r="AM31" s="227"/>
      <c r="AN31" s="227"/>
      <c r="AO31" s="233" t="s">
        <v>655</v>
      </c>
      <c r="AP31" s="234">
        <v>46043.456250000003</v>
      </c>
      <c r="AQ31" s="227"/>
      <c r="AR31" s="227"/>
      <c r="AS31" s="227"/>
      <c r="AT31" s="227"/>
      <c r="AU31" s="233" t="s">
        <v>657</v>
      </c>
      <c r="AV31" s="234">
        <v>46044.847222222219</v>
      </c>
      <c r="AW31" s="227"/>
      <c r="AX31" s="233" t="s">
        <v>658</v>
      </c>
      <c r="AY31" s="234">
        <v>46042.509722222225</v>
      </c>
      <c r="AZ31" s="238">
        <v>1</v>
      </c>
      <c r="BA31" s="233" t="s">
        <v>659</v>
      </c>
      <c r="BB31" s="234">
        <v>46045.009027777778</v>
      </c>
      <c r="BC31" s="227"/>
      <c r="BD31" s="227"/>
      <c r="BE31" s="233" t="s">
        <v>660</v>
      </c>
      <c r="BF31" s="234">
        <v>46048.938888888886</v>
      </c>
      <c r="BG31" s="227"/>
      <c r="BH31" s="227"/>
      <c r="BI31" s="233" t="s">
        <v>661</v>
      </c>
      <c r="BJ31" s="234">
        <v>46047.461805555555</v>
      </c>
      <c r="BK31" s="227"/>
      <c r="BL31" s="227"/>
      <c r="BM31" s="227"/>
      <c r="BN31" s="227"/>
      <c r="BO31" s="227"/>
      <c r="BP31" s="227"/>
      <c r="BQ31" s="227"/>
      <c r="BR31" s="234">
        <v>46044.841666666667</v>
      </c>
      <c r="BS31" s="227"/>
      <c r="BT31" s="227"/>
      <c r="BU31" s="233" t="s">
        <v>664</v>
      </c>
      <c r="BV31" s="234">
        <v>46048.792361111111</v>
      </c>
      <c r="BW31" s="227"/>
      <c r="BX31" s="227"/>
      <c r="BY31" s="227"/>
      <c r="BZ31" s="227"/>
      <c r="CA31" s="227"/>
      <c r="CB31" s="233" t="s">
        <v>666</v>
      </c>
      <c r="CC31" s="234">
        <v>46046.551388888889</v>
      </c>
      <c r="CD31" s="227"/>
      <c r="CE31" s="227"/>
      <c r="CF31" s="227"/>
      <c r="CG31" s="234">
        <v>46047.465277777781</v>
      </c>
      <c r="CH31" s="227"/>
      <c r="CI31" s="227"/>
      <c r="CJ31" s="227"/>
      <c r="CK31" s="227"/>
      <c r="CL31" s="227"/>
      <c r="CM31" s="233" t="s">
        <v>669</v>
      </c>
      <c r="CN31" s="234">
        <v>46049.847222222219</v>
      </c>
      <c r="CO31" s="227"/>
      <c r="CP31" s="227"/>
      <c r="CQ31" s="233" t="s">
        <v>687</v>
      </c>
      <c r="CR31" s="234">
        <v>46049.60833333333</v>
      </c>
      <c r="CS31" s="238">
        <v>1</v>
      </c>
      <c r="CT31" s="227"/>
      <c r="CU31" s="227"/>
      <c r="CV31" s="227"/>
      <c r="CW31" s="227"/>
      <c r="CX31" s="227"/>
      <c r="CY31" s="227"/>
      <c r="CZ31" s="227"/>
      <c r="DA31" s="227"/>
      <c r="DB31" s="227"/>
      <c r="DC31" s="233" t="s">
        <v>671</v>
      </c>
      <c r="DD31" s="234">
        <v>46047.455555555556</v>
      </c>
      <c r="DE31" s="227"/>
      <c r="DF31" s="233" t="s">
        <v>672</v>
      </c>
      <c r="DG31" s="234">
        <v>46048.467361111114</v>
      </c>
      <c r="DH31" s="227"/>
      <c r="DI31" s="227"/>
      <c r="DJ31" s="227"/>
      <c r="DK31" s="227"/>
      <c r="DL31" s="227"/>
      <c r="DM31" s="227"/>
      <c r="DN31" s="227"/>
      <c r="DO31" s="227"/>
      <c r="DP31" s="227"/>
      <c r="DQ31" s="227"/>
      <c r="DR31" s="227"/>
      <c r="DS31" s="227"/>
      <c r="DT31" s="227"/>
      <c r="DU31" s="227"/>
      <c r="DV31" s="227"/>
      <c r="DW31" s="227"/>
      <c r="DX31" s="227"/>
      <c r="DY31" s="227"/>
      <c r="DZ31" s="227"/>
      <c r="EA31" s="227"/>
      <c r="EB31" s="227"/>
      <c r="EC31" s="227"/>
      <c r="ED31" s="227"/>
      <c r="EE31" s="227"/>
      <c r="EF31" s="227"/>
    </row>
    <row r="32" spans="1:136">
      <c r="A32" s="227"/>
      <c r="B32" s="227"/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33" t="s">
        <v>647</v>
      </c>
      <c r="N32" s="234">
        <v>46047.794444444444</v>
      </c>
      <c r="O32" s="227"/>
      <c r="P32" s="227"/>
      <c r="Q32" s="227"/>
      <c r="R32" s="227"/>
      <c r="S32" s="229"/>
      <c r="T32" s="227"/>
      <c r="U32" s="229"/>
      <c r="V32" s="237">
        <v>46047.476388888892</v>
      </c>
      <c r="W32" s="238">
        <v>0.25</v>
      </c>
      <c r="X32" s="227"/>
      <c r="Y32" s="233" t="s">
        <v>651</v>
      </c>
      <c r="Z32" s="234">
        <v>46049.479166666664</v>
      </c>
      <c r="AA32" s="238">
        <v>0.25</v>
      </c>
      <c r="AB32" s="235" t="s">
        <v>692</v>
      </c>
      <c r="AC32" s="234">
        <v>46047.539583333331</v>
      </c>
      <c r="AD32" s="227"/>
      <c r="AE32" s="233" t="s">
        <v>653</v>
      </c>
      <c r="AF32" s="234">
        <v>46047.459722222222</v>
      </c>
      <c r="AG32" s="229"/>
      <c r="AH32" s="233" t="s">
        <v>654</v>
      </c>
      <c r="AI32" s="234">
        <v>46049.476388888892</v>
      </c>
      <c r="AJ32" s="238">
        <v>0.25</v>
      </c>
      <c r="AK32" s="227"/>
      <c r="AL32" s="227"/>
      <c r="AM32" s="227"/>
      <c r="AN32" s="227"/>
      <c r="AO32" s="233" t="s">
        <v>655</v>
      </c>
      <c r="AP32" s="234">
        <v>46044.440972222219</v>
      </c>
      <c r="AQ32" s="227"/>
      <c r="AR32" s="227"/>
      <c r="AS32" s="227"/>
      <c r="AT32" s="227"/>
      <c r="AU32" s="233" t="s">
        <v>643</v>
      </c>
      <c r="AV32" s="234">
        <v>46046.575694444444</v>
      </c>
      <c r="AW32" s="227"/>
      <c r="AX32" s="241"/>
      <c r="AY32" s="234">
        <v>46043.453472222223</v>
      </c>
      <c r="AZ32" s="227"/>
      <c r="BA32" s="233" t="s">
        <v>699</v>
      </c>
      <c r="BB32" s="234">
        <v>46046.614583333336</v>
      </c>
      <c r="BC32" s="227"/>
      <c r="BD32" s="227"/>
      <c r="BE32" s="233" t="s">
        <v>692</v>
      </c>
      <c r="BF32" s="234">
        <v>46049.603472222225</v>
      </c>
      <c r="BG32" s="227"/>
      <c r="BH32" s="227"/>
      <c r="BI32" s="233" t="s">
        <v>661</v>
      </c>
      <c r="BJ32" s="234">
        <v>46047.791666666664</v>
      </c>
      <c r="BK32" s="227"/>
      <c r="BL32" s="227"/>
      <c r="BM32" s="227"/>
      <c r="BN32" s="227"/>
      <c r="BO32" s="227"/>
      <c r="BP32" s="227"/>
      <c r="BQ32" s="235" t="s">
        <v>643</v>
      </c>
      <c r="BR32" s="234">
        <v>46046.541666666664</v>
      </c>
      <c r="BS32" s="227"/>
      <c r="BT32" s="227"/>
      <c r="BU32" s="233" t="s">
        <v>664</v>
      </c>
      <c r="BV32" s="234">
        <v>46049.45416666667</v>
      </c>
      <c r="BW32" s="227"/>
      <c r="BX32" s="227"/>
      <c r="BY32" s="227"/>
      <c r="BZ32" s="227"/>
      <c r="CA32" s="227"/>
      <c r="CB32" s="233" t="s">
        <v>666</v>
      </c>
      <c r="CC32" s="234">
        <v>46046.819444444445</v>
      </c>
      <c r="CD32" s="227"/>
      <c r="CE32" s="227"/>
      <c r="CF32" s="227"/>
      <c r="CG32" s="234">
        <v>46048.488194444442</v>
      </c>
      <c r="CH32" s="238">
        <v>0.25</v>
      </c>
      <c r="CI32" s="227"/>
      <c r="CJ32" s="227"/>
      <c r="CK32" s="227"/>
      <c r="CL32" s="227"/>
      <c r="CM32" s="233" t="s">
        <v>669</v>
      </c>
      <c r="CN32" s="234">
        <v>46050.479166666664</v>
      </c>
      <c r="CO32" s="238">
        <v>0.25</v>
      </c>
      <c r="CP32" s="227"/>
      <c r="CQ32" s="233" t="s">
        <v>687</v>
      </c>
      <c r="CR32" s="234">
        <v>46049.918055555558</v>
      </c>
      <c r="CS32" s="227"/>
      <c r="CT32" s="227"/>
      <c r="CU32" s="227"/>
      <c r="CV32" s="227"/>
      <c r="CW32" s="227"/>
      <c r="CX32" s="227"/>
      <c r="CY32" s="227"/>
      <c r="CZ32" s="227"/>
      <c r="DA32" s="227"/>
      <c r="DB32" s="227"/>
      <c r="DC32" s="233" t="s">
        <v>671</v>
      </c>
      <c r="DD32" s="234">
        <v>46048.470138888886</v>
      </c>
      <c r="DE32" s="227"/>
      <c r="DF32" s="233" t="s">
        <v>672</v>
      </c>
      <c r="DG32" s="234">
        <v>46048.79791666667</v>
      </c>
      <c r="DH32" s="227"/>
      <c r="DI32" s="227"/>
      <c r="DJ32" s="227"/>
      <c r="DK32" s="227"/>
      <c r="DL32" s="227"/>
      <c r="DM32" s="227"/>
      <c r="DN32" s="227"/>
      <c r="DO32" s="227"/>
      <c r="DP32" s="227"/>
      <c r="DQ32" s="227"/>
      <c r="DR32" s="227"/>
      <c r="DS32" s="227"/>
      <c r="DT32" s="227"/>
      <c r="DU32" s="227"/>
      <c r="DV32" s="227"/>
      <c r="DW32" s="227"/>
      <c r="DX32" s="227"/>
      <c r="DY32" s="227"/>
      <c r="DZ32" s="227"/>
      <c r="EA32" s="227"/>
      <c r="EB32" s="227"/>
      <c r="EC32" s="227"/>
      <c r="ED32" s="227"/>
      <c r="EE32" s="227"/>
      <c r="EF32" s="227"/>
    </row>
    <row r="33" spans="1:136">
      <c r="A33" s="227"/>
      <c r="B33" s="227"/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33" t="s">
        <v>647</v>
      </c>
      <c r="N33" s="234">
        <v>46048.454861111109</v>
      </c>
      <c r="O33" s="227"/>
      <c r="P33" s="227"/>
      <c r="Q33" s="227"/>
      <c r="R33" s="227"/>
      <c r="S33" s="229"/>
      <c r="T33" s="227"/>
      <c r="U33" s="229"/>
      <c r="V33" s="237">
        <v>46048.495138888888</v>
      </c>
      <c r="W33" s="238">
        <v>0.5</v>
      </c>
      <c r="X33" s="227"/>
      <c r="Y33" s="233" t="s">
        <v>651</v>
      </c>
      <c r="Z33" s="234">
        <v>46049.831944444442</v>
      </c>
      <c r="AA33" s="227"/>
      <c r="AB33" s="233" t="s">
        <v>684</v>
      </c>
      <c r="AC33" s="234">
        <v>46048.493055555555</v>
      </c>
      <c r="AD33" s="238">
        <v>0.5</v>
      </c>
      <c r="AE33" s="233" t="s">
        <v>653</v>
      </c>
      <c r="AF33" s="234">
        <v>46048.464583333334</v>
      </c>
      <c r="AG33" s="229"/>
      <c r="AH33" s="233" t="s">
        <v>654</v>
      </c>
      <c r="AI33" s="234">
        <v>46049.877083333333</v>
      </c>
      <c r="AJ33" s="227"/>
      <c r="AK33" s="227"/>
      <c r="AL33" s="227"/>
      <c r="AM33" s="227"/>
      <c r="AN33" s="227"/>
      <c r="AO33" s="233" t="s">
        <v>655</v>
      </c>
      <c r="AP33" s="234">
        <v>46044.847222222219</v>
      </c>
      <c r="AQ33" s="227"/>
      <c r="AR33" s="227"/>
      <c r="AS33" s="227"/>
      <c r="AT33" s="227"/>
      <c r="AU33" s="233" t="s">
        <v>657</v>
      </c>
      <c r="AV33" s="234">
        <v>46046.840277777781</v>
      </c>
      <c r="AW33" s="227"/>
      <c r="AX33" s="233" t="s">
        <v>658</v>
      </c>
      <c r="AY33" s="234">
        <v>46044.488194444442</v>
      </c>
      <c r="AZ33" s="238">
        <v>0.5</v>
      </c>
      <c r="BA33" s="233" t="s">
        <v>659</v>
      </c>
      <c r="BB33" s="234">
        <v>46046.870833333334</v>
      </c>
      <c r="BC33" s="227"/>
      <c r="BD33" s="227"/>
      <c r="BE33" s="233" t="s">
        <v>660</v>
      </c>
      <c r="BF33" s="234">
        <v>46049.917361111111</v>
      </c>
      <c r="BG33" s="227"/>
      <c r="BH33" s="227"/>
      <c r="BI33" s="233" t="s">
        <v>661</v>
      </c>
      <c r="BJ33" s="234">
        <v>46048.459027777775</v>
      </c>
      <c r="BK33" s="227"/>
      <c r="BL33" s="227"/>
      <c r="BM33" s="227"/>
      <c r="BN33" s="227"/>
      <c r="BO33" s="227"/>
      <c r="BP33" s="227"/>
      <c r="BQ33" s="227"/>
      <c r="BR33" s="234">
        <v>46046.845138888886</v>
      </c>
      <c r="BS33" s="227"/>
      <c r="BT33" s="227"/>
      <c r="BU33" s="233" t="s">
        <v>664</v>
      </c>
      <c r="BV33" s="234">
        <v>46049.792361111111</v>
      </c>
      <c r="BW33" s="227"/>
      <c r="BX33" s="227"/>
      <c r="BY33" s="227"/>
      <c r="BZ33" s="227"/>
      <c r="CA33" s="227"/>
      <c r="CB33" s="233" t="s">
        <v>666</v>
      </c>
      <c r="CC33" s="234">
        <v>46047.475694444445</v>
      </c>
      <c r="CD33" s="238">
        <v>0.25</v>
      </c>
      <c r="CE33" s="227"/>
      <c r="CF33" s="227"/>
      <c r="CG33" s="234">
        <v>46048.938194444447</v>
      </c>
      <c r="CH33" s="227"/>
      <c r="CI33" s="227"/>
      <c r="CJ33" s="227"/>
      <c r="CK33" s="227"/>
      <c r="CL33" s="227"/>
      <c r="CM33" s="227"/>
      <c r="CN33" s="227"/>
      <c r="CO33" s="227"/>
      <c r="CP33" s="227"/>
      <c r="CQ33" s="227"/>
      <c r="CR33" s="227"/>
      <c r="CS33" s="227"/>
      <c r="CT33" s="227"/>
      <c r="CU33" s="227"/>
      <c r="CV33" s="227"/>
      <c r="CW33" s="227"/>
      <c r="CX33" s="227"/>
      <c r="CY33" s="227"/>
      <c r="CZ33" s="227"/>
      <c r="DA33" s="227"/>
      <c r="DB33" s="227"/>
      <c r="DC33" s="233" t="s">
        <v>671</v>
      </c>
      <c r="DD33" s="234">
        <v>46048.850694444445</v>
      </c>
      <c r="DE33" s="227"/>
      <c r="DF33" s="233" t="s">
        <v>683</v>
      </c>
      <c r="DG33" s="234">
        <v>46049.543055555558</v>
      </c>
      <c r="DH33" s="227"/>
      <c r="DI33" s="227"/>
      <c r="DJ33" s="227"/>
      <c r="DK33" s="227"/>
      <c r="DL33" s="227"/>
      <c r="DM33" s="227"/>
      <c r="DN33" s="227"/>
      <c r="DO33" s="227"/>
      <c r="DP33" s="227"/>
      <c r="DQ33" s="227"/>
      <c r="DR33" s="227"/>
      <c r="DS33" s="227"/>
      <c r="DT33" s="227"/>
      <c r="DU33" s="227"/>
      <c r="DV33" s="227"/>
      <c r="DW33" s="227"/>
      <c r="DX33" s="227"/>
      <c r="DY33" s="227"/>
      <c r="DZ33" s="227"/>
      <c r="EA33" s="227"/>
      <c r="EB33" s="227"/>
      <c r="EC33" s="227"/>
      <c r="ED33" s="227"/>
      <c r="EE33" s="227"/>
      <c r="EF33" s="227"/>
    </row>
    <row r="34" spans="1:136">
      <c r="A34" s="227"/>
      <c r="B34" s="227"/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233" t="s">
        <v>647</v>
      </c>
      <c r="N34" s="234">
        <v>46048.79791666667</v>
      </c>
      <c r="O34" s="227"/>
      <c r="P34" s="227"/>
      <c r="Q34" s="227"/>
      <c r="R34" s="227"/>
      <c r="S34" s="229"/>
      <c r="T34" s="227"/>
      <c r="U34" s="229"/>
      <c r="V34" s="237">
        <v>46048.86041666667</v>
      </c>
      <c r="W34" s="227"/>
      <c r="X34" s="227"/>
      <c r="Y34" s="233" t="s">
        <v>651</v>
      </c>
      <c r="Z34" s="234">
        <v>46050.465277777781</v>
      </c>
      <c r="AA34" s="227"/>
      <c r="AB34" s="233" t="s">
        <v>692</v>
      </c>
      <c r="AC34" s="234">
        <v>46049.603472222225</v>
      </c>
      <c r="AD34" s="227"/>
      <c r="AE34" s="233" t="s">
        <v>653</v>
      </c>
      <c r="AF34" s="234">
        <v>46048.848611111112</v>
      </c>
      <c r="AG34" s="229"/>
      <c r="AH34" s="233" t="s">
        <v>654</v>
      </c>
      <c r="AI34" s="234">
        <v>46050.472916666666</v>
      </c>
      <c r="AJ34" s="238">
        <v>0.25</v>
      </c>
      <c r="AK34" s="227"/>
      <c r="AL34" s="227"/>
      <c r="AM34" s="227"/>
      <c r="AN34" s="227"/>
      <c r="AO34" s="233" t="s">
        <v>643</v>
      </c>
      <c r="AP34" s="234">
        <v>46046.513194444444</v>
      </c>
      <c r="AQ34" s="227"/>
      <c r="AR34" s="227"/>
      <c r="AS34" s="227"/>
      <c r="AT34" s="227"/>
      <c r="AU34" s="233" t="s">
        <v>657</v>
      </c>
      <c r="AV34" s="234">
        <v>46047.457638888889</v>
      </c>
      <c r="AW34" s="227"/>
      <c r="AX34" s="233" t="s">
        <v>643</v>
      </c>
      <c r="AY34" s="234">
        <v>46046.494444444441</v>
      </c>
      <c r="AZ34" s="227"/>
      <c r="BA34" s="233" t="s">
        <v>659</v>
      </c>
      <c r="BB34" s="234">
        <v>46047.509027777778</v>
      </c>
      <c r="BC34" s="238">
        <v>1</v>
      </c>
      <c r="BD34" s="227"/>
      <c r="BE34" s="233" t="s">
        <v>660</v>
      </c>
      <c r="BF34" s="234">
        <v>46050.474305555559</v>
      </c>
      <c r="BG34" s="238">
        <v>0.25</v>
      </c>
      <c r="BH34" s="227"/>
      <c r="BI34" s="233" t="s">
        <v>661</v>
      </c>
      <c r="BJ34" s="234">
        <v>46048.791666666664</v>
      </c>
      <c r="BK34" s="227"/>
      <c r="BL34" s="227"/>
      <c r="BM34" s="227"/>
      <c r="BN34" s="227"/>
      <c r="BO34" s="227"/>
      <c r="BP34" s="227"/>
      <c r="BQ34" s="227"/>
      <c r="BR34" s="234">
        <v>46047.465277777781</v>
      </c>
      <c r="BS34" s="227"/>
      <c r="BT34" s="227"/>
      <c r="BU34" s="233" t="s">
        <v>664</v>
      </c>
      <c r="BV34" s="234">
        <v>46050.464583333334</v>
      </c>
      <c r="BW34" s="227"/>
      <c r="BX34" s="227"/>
      <c r="BY34" s="227"/>
      <c r="BZ34" s="227"/>
      <c r="CA34" s="227"/>
      <c r="CB34" s="233" t="s">
        <v>666</v>
      </c>
      <c r="CC34" s="234">
        <v>46048.472222222219</v>
      </c>
      <c r="CD34" s="238">
        <v>0.25</v>
      </c>
      <c r="CE34" s="227"/>
      <c r="CF34" s="227"/>
      <c r="CG34" s="234">
        <v>46049.476388888892</v>
      </c>
      <c r="CH34" s="227"/>
      <c r="CI34" s="227"/>
      <c r="CJ34" s="227"/>
      <c r="CK34" s="227"/>
      <c r="CL34" s="227"/>
      <c r="CM34" s="227"/>
      <c r="CN34" s="227"/>
      <c r="CO34" s="227"/>
      <c r="CP34" s="227"/>
      <c r="CQ34" s="227"/>
      <c r="CR34" s="227"/>
      <c r="CS34" s="227"/>
      <c r="CT34" s="227"/>
      <c r="CU34" s="227"/>
      <c r="CV34" s="227"/>
      <c r="CW34" s="227"/>
      <c r="CX34" s="227"/>
      <c r="CY34" s="227"/>
      <c r="CZ34" s="227"/>
      <c r="DA34" s="227"/>
      <c r="DB34" s="227"/>
      <c r="DC34" s="233" t="s">
        <v>671</v>
      </c>
      <c r="DD34" s="234">
        <v>46049.46597222222</v>
      </c>
      <c r="DE34" s="227"/>
      <c r="DF34" s="233" t="s">
        <v>672</v>
      </c>
      <c r="DG34" s="234">
        <v>46049.792361111111</v>
      </c>
      <c r="DH34" s="227"/>
      <c r="DI34" s="227"/>
      <c r="DJ34" s="227"/>
      <c r="DK34" s="227"/>
      <c r="DL34" s="227"/>
      <c r="DM34" s="227"/>
      <c r="DN34" s="227"/>
      <c r="DO34" s="227"/>
      <c r="DP34" s="227"/>
      <c r="DQ34" s="227"/>
      <c r="DR34" s="227"/>
      <c r="DS34" s="227"/>
      <c r="DT34" s="227"/>
      <c r="DU34" s="227"/>
      <c r="DV34" s="227"/>
      <c r="DW34" s="227"/>
      <c r="DX34" s="227"/>
      <c r="DY34" s="227"/>
      <c r="DZ34" s="227"/>
      <c r="EA34" s="227"/>
      <c r="EB34" s="227"/>
      <c r="EC34" s="227"/>
      <c r="ED34" s="227"/>
      <c r="EE34" s="227"/>
      <c r="EF34" s="227"/>
    </row>
    <row r="35" spans="1:136">
      <c r="A35" s="227"/>
      <c r="B35" s="227"/>
      <c r="C35" s="227"/>
      <c r="D35" s="227"/>
      <c r="E35" s="227"/>
      <c r="F35" s="227"/>
      <c r="G35" s="227"/>
      <c r="H35" s="227"/>
      <c r="I35" s="227"/>
      <c r="J35" s="227"/>
      <c r="K35" s="227"/>
      <c r="L35" s="227"/>
      <c r="M35" s="233" t="s">
        <v>647</v>
      </c>
      <c r="N35" s="234">
        <v>46049.459027777775</v>
      </c>
      <c r="O35" s="227"/>
      <c r="P35" s="227"/>
      <c r="Q35" s="227"/>
      <c r="R35" s="227"/>
      <c r="S35" s="229"/>
      <c r="T35" s="227"/>
      <c r="U35" s="229"/>
      <c r="V35" s="237">
        <v>46049.482638888891</v>
      </c>
      <c r="W35" s="238">
        <v>0.5</v>
      </c>
      <c r="X35" s="227"/>
      <c r="Y35" s="227"/>
      <c r="Z35" s="227"/>
      <c r="AA35" s="227"/>
      <c r="AB35" s="233" t="s">
        <v>684</v>
      </c>
      <c r="AC35" s="234">
        <v>46049.824999999997</v>
      </c>
      <c r="AD35" s="227"/>
      <c r="AE35" s="233" t="s">
        <v>653</v>
      </c>
      <c r="AF35" s="234">
        <v>46049.467361111114</v>
      </c>
      <c r="AG35" s="229"/>
      <c r="AH35" s="227"/>
      <c r="AI35" s="227"/>
      <c r="AJ35" s="227"/>
      <c r="AK35" s="227"/>
      <c r="AL35" s="227"/>
      <c r="AM35" s="227"/>
      <c r="AN35" s="227"/>
      <c r="AO35" s="233" t="s">
        <v>655</v>
      </c>
      <c r="AP35" s="234">
        <v>46046.845138888886</v>
      </c>
      <c r="AQ35" s="227"/>
      <c r="AR35" s="227"/>
      <c r="AS35" s="227"/>
      <c r="AT35" s="227"/>
      <c r="AU35" s="233" t="s">
        <v>657</v>
      </c>
      <c r="AV35" s="234">
        <v>46047.831944444442</v>
      </c>
      <c r="AW35" s="227"/>
      <c r="AX35" s="233" t="s">
        <v>658</v>
      </c>
      <c r="AY35" s="234">
        <v>46047.467361111114</v>
      </c>
      <c r="AZ35" s="227"/>
      <c r="BA35" s="233" t="s">
        <v>699</v>
      </c>
      <c r="BB35" s="234">
        <v>46048.539583333331</v>
      </c>
      <c r="BC35" s="227"/>
      <c r="BD35" s="227"/>
      <c r="BE35" s="227"/>
      <c r="BF35" s="227"/>
      <c r="BG35" s="227"/>
      <c r="BH35" s="227"/>
      <c r="BI35" s="233" t="s">
        <v>661</v>
      </c>
      <c r="BJ35" s="234">
        <v>46049.455555555556</v>
      </c>
      <c r="BK35" s="227"/>
      <c r="BL35" s="227"/>
      <c r="BM35" s="227"/>
      <c r="BN35" s="227"/>
      <c r="BO35" s="227"/>
      <c r="BP35" s="227"/>
      <c r="BQ35" s="233" t="s">
        <v>663</v>
      </c>
      <c r="BR35" s="234">
        <v>46048.466666666667</v>
      </c>
      <c r="BS35" s="227"/>
      <c r="BT35" s="227"/>
      <c r="BU35" s="227"/>
      <c r="BV35" s="227"/>
      <c r="BW35" s="227"/>
      <c r="BX35" s="227"/>
      <c r="BY35" s="227"/>
      <c r="BZ35" s="227"/>
      <c r="CA35" s="227"/>
      <c r="CB35" s="233" t="s">
        <v>666</v>
      </c>
      <c r="CC35" s="234">
        <v>46048.836111111108</v>
      </c>
      <c r="CD35" s="227"/>
      <c r="CE35" s="227"/>
      <c r="CF35" s="233" t="s">
        <v>695</v>
      </c>
      <c r="CG35" s="234">
        <v>46050.472916666666</v>
      </c>
      <c r="CH35" s="227"/>
      <c r="CI35" s="227"/>
      <c r="CJ35" s="227"/>
      <c r="CK35" s="227"/>
      <c r="CL35" s="227"/>
      <c r="CM35" s="227"/>
      <c r="CN35" s="227"/>
      <c r="CO35" s="227"/>
      <c r="CP35" s="227"/>
      <c r="CQ35" s="227"/>
      <c r="CR35" s="227"/>
      <c r="CS35" s="227"/>
      <c r="CT35" s="227"/>
      <c r="CU35" s="227"/>
      <c r="CV35" s="227"/>
      <c r="CW35" s="227"/>
      <c r="CX35" s="227"/>
      <c r="CY35" s="227"/>
      <c r="CZ35" s="227"/>
      <c r="DA35" s="227"/>
      <c r="DB35" s="227"/>
      <c r="DC35" s="233" t="s">
        <v>671</v>
      </c>
      <c r="DD35" s="234">
        <v>46049.865277777775</v>
      </c>
      <c r="DE35" s="227"/>
      <c r="DF35" s="233" t="s">
        <v>672</v>
      </c>
      <c r="DG35" s="234">
        <v>46050.459722222222</v>
      </c>
      <c r="DH35" s="227"/>
      <c r="DI35" s="227"/>
      <c r="DJ35" s="227"/>
      <c r="DK35" s="227"/>
      <c r="DL35" s="227"/>
      <c r="DM35" s="227"/>
      <c r="DN35" s="227"/>
      <c r="DO35" s="227"/>
      <c r="DP35" s="227"/>
      <c r="DQ35" s="227"/>
      <c r="DR35" s="227"/>
      <c r="DS35" s="227"/>
      <c r="DT35" s="227"/>
      <c r="DU35" s="227"/>
      <c r="DV35" s="227"/>
      <c r="DW35" s="227"/>
      <c r="DX35" s="227"/>
      <c r="DY35" s="227"/>
      <c r="DZ35" s="227"/>
      <c r="EA35" s="227"/>
      <c r="EB35" s="227"/>
      <c r="EC35" s="227"/>
      <c r="ED35" s="227"/>
      <c r="EE35" s="227"/>
      <c r="EF35" s="227"/>
    </row>
    <row r="36" spans="1:136">
      <c r="A36" s="227"/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33" t="s">
        <v>647</v>
      </c>
      <c r="N36" s="234">
        <v>46049.797222222223</v>
      </c>
      <c r="O36" s="227"/>
      <c r="P36" s="227"/>
      <c r="Q36" s="227"/>
      <c r="R36" s="227"/>
      <c r="S36" s="229"/>
      <c r="T36" s="227"/>
      <c r="U36" s="229"/>
      <c r="V36" s="237">
        <v>46049.854166666664</v>
      </c>
      <c r="W36" s="227"/>
      <c r="X36" s="227"/>
      <c r="Y36" s="227"/>
      <c r="Z36" s="227"/>
      <c r="AA36" s="227"/>
      <c r="AB36" s="233" t="s">
        <v>684</v>
      </c>
      <c r="AC36" s="234">
        <v>46050.489583333336</v>
      </c>
      <c r="AD36" s="238">
        <v>0.25</v>
      </c>
      <c r="AE36" s="233" t="s">
        <v>653</v>
      </c>
      <c r="AF36" s="234">
        <v>46049.850694444445</v>
      </c>
      <c r="AG36" s="229"/>
      <c r="AH36" s="227"/>
      <c r="AI36" s="227"/>
      <c r="AJ36" s="227"/>
      <c r="AK36" s="227"/>
      <c r="AL36" s="227"/>
      <c r="AM36" s="227"/>
      <c r="AN36" s="227"/>
      <c r="AO36" s="233" t="s">
        <v>655</v>
      </c>
      <c r="AP36" s="234">
        <v>46047.466666666667</v>
      </c>
      <c r="AQ36" s="227"/>
      <c r="AR36" s="227"/>
      <c r="AS36" s="227"/>
      <c r="AT36" s="227"/>
      <c r="AU36" s="233" t="s">
        <v>683</v>
      </c>
      <c r="AV36" s="234">
        <v>46048.557638888888</v>
      </c>
      <c r="AW36" s="238">
        <v>0.25</v>
      </c>
      <c r="AX36" s="276" t="s">
        <v>728</v>
      </c>
      <c r="AY36" s="272"/>
      <c r="AZ36" s="272"/>
      <c r="BA36" s="233" t="s">
        <v>659</v>
      </c>
      <c r="BB36" s="234">
        <v>46048.859722222223</v>
      </c>
      <c r="BC36" s="227"/>
      <c r="BD36" s="227"/>
      <c r="BE36" s="227"/>
      <c r="BF36" s="227"/>
      <c r="BG36" s="227"/>
      <c r="BH36" s="227"/>
      <c r="BI36" s="233" t="s">
        <v>661</v>
      </c>
      <c r="BJ36" s="234">
        <v>46049.791666666664</v>
      </c>
      <c r="BK36" s="227"/>
      <c r="BL36" s="227"/>
      <c r="BM36" s="227"/>
      <c r="BN36" s="227"/>
      <c r="BO36" s="227"/>
      <c r="BP36" s="227"/>
      <c r="BQ36" s="233" t="s">
        <v>663</v>
      </c>
      <c r="BR36" s="234">
        <v>46048.851388888892</v>
      </c>
      <c r="BS36" s="227"/>
      <c r="BT36" s="227"/>
      <c r="BU36" s="227"/>
      <c r="BV36" s="227"/>
      <c r="BW36" s="227"/>
      <c r="BX36" s="227"/>
      <c r="BY36" s="227"/>
      <c r="BZ36" s="227"/>
      <c r="CA36" s="227"/>
      <c r="CB36" s="233" t="s">
        <v>692</v>
      </c>
      <c r="CC36" s="234">
        <v>46049.581944444442</v>
      </c>
      <c r="CD36" s="227"/>
      <c r="CE36" s="227"/>
      <c r="CF36" s="227"/>
      <c r="CG36" s="227"/>
      <c r="CH36" s="227"/>
      <c r="CI36" s="227"/>
      <c r="CJ36" s="227"/>
      <c r="CK36" s="227"/>
      <c r="CL36" s="227"/>
      <c r="CM36" s="227"/>
      <c r="CN36" s="227"/>
      <c r="CO36" s="227"/>
      <c r="CP36" s="227"/>
      <c r="CQ36" s="227"/>
      <c r="CR36" s="227"/>
      <c r="CS36" s="227"/>
      <c r="CT36" s="227"/>
      <c r="CU36" s="227"/>
      <c r="CV36" s="227"/>
      <c r="CW36" s="227"/>
      <c r="CX36" s="227"/>
      <c r="CY36" s="227"/>
      <c r="CZ36" s="227"/>
      <c r="DA36" s="227"/>
      <c r="DB36" s="227"/>
      <c r="DC36" s="233" t="s">
        <v>667</v>
      </c>
      <c r="DD36" s="234">
        <v>46050.480555555558</v>
      </c>
      <c r="DE36" s="227"/>
      <c r="DF36" s="227"/>
      <c r="DG36" s="227"/>
      <c r="DH36" s="227"/>
      <c r="DI36" s="227"/>
      <c r="DJ36" s="227"/>
      <c r="DK36" s="227"/>
      <c r="DL36" s="227"/>
      <c r="DM36" s="227"/>
      <c r="DN36" s="227"/>
      <c r="DO36" s="227"/>
      <c r="DP36" s="227"/>
      <c r="DQ36" s="227"/>
      <c r="DR36" s="227"/>
      <c r="DS36" s="227"/>
      <c r="DT36" s="227"/>
      <c r="DU36" s="227"/>
      <c r="DV36" s="227"/>
      <c r="DW36" s="227"/>
      <c r="DX36" s="227"/>
      <c r="DY36" s="227"/>
      <c r="DZ36" s="227"/>
      <c r="EA36" s="227"/>
      <c r="EB36" s="227"/>
      <c r="EC36" s="227"/>
      <c r="ED36" s="227"/>
      <c r="EE36" s="227"/>
      <c r="EF36" s="227"/>
    </row>
    <row r="37" spans="1:136">
      <c r="A37" s="227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33" t="s">
        <v>647</v>
      </c>
      <c r="N37" s="234">
        <v>46050.466666666667</v>
      </c>
      <c r="O37" s="227"/>
      <c r="P37" s="227"/>
      <c r="Q37" s="227"/>
      <c r="R37" s="227"/>
      <c r="S37" s="229"/>
      <c r="T37" s="227"/>
      <c r="U37" s="229"/>
      <c r="V37" s="237">
        <v>46050.481944444444</v>
      </c>
      <c r="W37" s="238">
        <v>0.5</v>
      </c>
      <c r="X37" s="227"/>
      <c r="Y37" s="227"/>
      <c r="Z37" s="227"/>
      <c r="AA37" s="227"/>
      <c r="AB37" s="227"/>
      <c r="AC37" s="233" t="s">
        <v>729</v>
      </c>
      <c r="AD37" s="238">
        <v>0.25</v>
      </c>
      <c r="AE37" s="233" t="s">
        <v>653</v>
      </c>
      <c r="AF37" s="234">
        <v>46050.461805555555</v>
      </c>
      <c r="AG37" s="229"/>
      <c r="AH37" s="227"/>
      <c r="AI37" s="227"/>
      <c r="AJ37" s="227"/>
      <c r="AK37" s="227"/>
      <c r="AL37" s="227"/>
      <c r="AM37" s="227"/>
      <c r="AN37" s="227"/>
      <c r="AO37" s="233" t="s">
        <v>655</v>
      </c>
      <c r="AP37" s="234">
        <v>46047.862500000003</v>
      </c>
      <c r="AQ37" s="227"/>
      <c r="AR37" s="227"/>
      <c r="AS37" s="227"/>
      <c r="AT37" s="227"/>
      <c r="AU37" s="233" t="s">
        <v>657</v>
      </c>
      <c r="AV37" s="234">
        <v>46048.85</v>
      </c>
      <c r="AW37" s="227"/>
      <c r="AX37" s="272"/>
      <c r="AY37" s="272"/>
      <c r="AZ37" s="272"/>
      <c r="BA37" s="233" t="s">
        <v>659</v>
      </c>
      <c r="BB37" s="234">
        <v>46049.511805555558</v>
      </c>
      <c r="BC37" s="238">
        <v>1</v>
      </c>
      <c r="BD37" s="227"/>
      <c r="BE37" s="227"/>
      <c r="BF37" s="227"/>
      <c r="BG37" s="227"/>
      <c r="BH37" s="227"/>
      <c r="BI37" s="233" t="s">
        <v>661</v>
      </c>
      <c r="BJ37" s="234">
        <v>46050.461805555555</v>
      </c>
      <c r="BK37" s="227"/>
      <c r="BL37" s="227"/>
      <c r="BM37" s="227"/>
      <c r="BN37" s="227"/>
      <c r="BO37" s="227"/>
      <c r="BP37" s="227"/>
      <c r="BQ37" s="233" t="s">
        <v>663</v>
      </c>
      <c r="BR37" s="234">
        <v>46049.461111111108</v>
      </c>
      <c r="BS37" s="227"/>
      <c r="BT37" s="227"/>
      <c r="BU37" s="227"/>
      <c r="BV37" s="227"/>
      <c r="BW37" s="227"/>
      <c r="BX37" s="227"/>
      <c r="BY37" s="227"/>
      <c r="BZ37" s="227"/>
      <c r="CA37" s="227"/>
      <c r="CB37" s="233" t="s">
        <v>666</v>
      </c>
      <c r="CC37" s="234">
        <v>46049.831250000003</v>
      </c>
      <c r="CD37" s="227"/>
      <c r="CE37" s="227"/>
      <c r="CF37" s="227"/>
      <c r="CG37" s="227"/>
      <c r="CH37" s="227"/>
      <c r="CI37" s="227"/>
      <c r="CJ37" s="227"/>
      <c r="CK37" s="227"/>
      <c r="CL37" s="227"/>
      <c r="CM37" s="227"/>
      <c r="CN37" s="227"/>
      <c r="CO37" s="227"/>
      <c r="CP37" s="227"/>
      <c r="CQ37" s="227"/>
      <c r="CR37" s="227"/>
      <c r="CS37" s="227"/>
      <c r="CT37" s="227"/>
      <c r="CU37" s="227"/>
      <c r="CV37" s="227"/>
      <c r="CW37" s="227"/>
      <c r="CX37" s="227"/>
      <c r="CY37" s="227"/>
      <c r="CZ37" s="227"/>
      <c r="DA37" s="227"/>
      <c r="DB37" s="227"/>
      <c r="DC37" s="227"/>
      <c r="DD37" s="227"/>
      <c r="DE37" s="227"/>
      <c r="DF37" s="227"/>
      <c r="DG37" s="227"/>
      <c r="DH37" s="227"/>
      <c r="DI37" s="227"/>
      <c r="DJ37" s="227"/>
      <c r="DK37" s="227"/>
      <c r="DL37" s="227"/>
      <c r="DM37" s="227"/>
      <c r="DN37" s="227"/>
      <c r="DO37" s="227"/>
      <c r="DP37" s="227"/>
      <c r="DQ37" s="227"/>
      <c r="DR37" s="227"/>
      <c r="DS37" s="227"/>
      <c r="DT37" s="227"/>
      <c r="DU37" s="227"/>
      <c r="DV37" s="227"/>
      <c r="DW37" s="227"/>
      <c r="DX37" s="227"/>
      <c r="DY37" s="227"/>
      <c r="DZ37" s="227"/>
      <c r="EA37" s="227"/>
      <c r="EB37" s="227"/>
      <c r="EC37" s="227"/>
      <c r="ED37" s="227"/>
      <c r="EE37" s="227"/>
      <c r="EF37" s="227"/>
    </row>
    <row r="38" spans="1:136">
      <c r="A38" s="227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9"/>
      <c r="T38" s="227"/>
      <c r="U38" s="229"/>
      <c r="V38" s="237">
        <v>46051.477083333331</v>
      </c>
      <c r="W38" s="238">
        <v>0.25</v>
      </c>
      <c r="X38" s="227"/>
      <c r="Y38" s="227"/>
      <c r="Z38" s="227"/>
      <c r="AA38" s="227"/>
      <c r="AB38" s="227"/>
      <c r="AC38" s="227"/>
      <c r="AD38" s="227"/>
      <c r="AE38" s="227"/>
      <c r="AF38" s="227"/>
      <c r="AG38" s="229"/>
      <c r="AH38" s="227"/>
      <c r="AI38" s="227"/>
      <c r="AJ38" s="227"/>
      <c r="AK38" s="227"/>
      <c r="AL38" s="227"/>
      <c r="AM38" s="227"/>
      <c r="AN38" s="227"/>
      <c r="AO38" s="233" t="s">
        <v>655</v>
      </c>
      <c r="AP38" s="234">
        <v>46048.467361111114</v>
      </c>
      <c r="AQ38" s="227"/>
      <c r="AR38" s="227"/>
      <c r="AS38" s="227"/>
      <c r="AT38" s="227"/>
      <c r="AU38" s="233" t="s">
        <v>657</v>
      </c>
      <c r="AV38" s="234">
        <v>46049.464583333334</v>
      </c>
      <c r="AW38" s="227"/>
      <c r="AX38" s="233" t="s">
        <v>658</v>
      </c>
      <c r="AY38" s="234">
        <v>46048.54791666667</v>
      </c>
      <c r="AZ38" s="238">
        <v>1</v>
      </c>
      <c r="BA38" s="233" t="s">
        <v>659</v>
      </c>
      <c r="BB38" s="234">
        <v>46050.015972222223</v>
      </c>
      <c r="BC38" s="227"/>
      <c r="BD38" s="227"/>
      <c r="BE38" s="227"/>
      <c r="BF38" s="227"/>
      <c r="BG38" s="227"/>
      <c r="BH38" s="227"/>
      <c r="BI38" s="227"/>
      <c r="BJ38" s="227"/>
      <c r="BK38" s="227"/>
      <c r="BL38" s="227"/>
      <c r="BM38" s="227"/>
      <c r="BN38" s="227"/>
      <c r="BO38" s="227"/>
      <c r="BP38" s="227"/>
      <c r="BQ38" s="233" t="s">
        <v>663</v>
      </c>
      <c r="BR38" s="234">
        <v>46049.826388888891</v>
      </c>
      <c r="BS38" s="227"/>
      <c r="BT38" s="227"/>
      <c r="BU38" s="227"/>
      <c r="BV38" s="227"/>
      <c r="BW38" s="227"/>
      <c r="BX38" s="227"/>
      <c r="BY38" s="227"/>
      <c r="BZ38" s="227"/>
      <c r="CA38" s="227"/>
      <c r="CB38" s="233" t="s">
        <v>666</v>
      </c>
      <c r="CC38" s="234">
        <v>46050.465277777781</v>
      </c>
      <c r="CD38" s="227"/>
      <c r="CE38" s="227"/>
      <c r="CF38" s="227"/>
      <c r="CG38" s="227"/>
      <c r="CH38" s="227"/>
      <c r="CI38" s="227"/>
      <c r="CJ38" s="227"/>
      <c r="CK38" s="227"/>
      <c r="CL38" s="227"/>
      <c r="CM38" s="227"/>
      <c r="CN38" s="227"/>
      <c r="CO38" s="227"/>
      <c r="CP38" s="227"/>
      <c r="CQ38" s="227"/>
      <c r="CR38" s="227"/>
      <c r="CS38" s="227"/>
      <c r="CT38" s="227"/>
      <c r="CU38" s="227"/>
      <c r="CV38" s="227"/>
      <c r="CW38" s="227"/>
      <c r="CX38" s="227"/>
      <c r="CY38" s="227"/>
      <c r="CZ38" s="227"/>
      <c r="DA38" s="227"/>
      <c r="DB38" s="227"/>
      <c r="DC38" s="227"/>
      <c r="DD38" s="227"/>
      <c r="DE38" s="227"/>
      <c r="DF38" s="227"/>
      <c r="DG38" s="227"/>
      <c r="DH38" s="227"/>
      <c r="DI38" s="227"/>
      <c r="DJ38" s="227"/>
      <c r="DK38" s="227"/>
      <c r="DL38" s="227"/>
      <c r="DM38" s="227"/>
      <c r="DN38" s="227"/>
      <c r="DO38" s="227"/>
      <c r="DP38" s="227"/>
      <c r="DQ38" s="227"/>
      <c r="DR38" s="227"/>
      <c r="DS38" s="227"/>
      <c r="DT38" s="227"/>
      <c r="DU38" s="227"/>
      <c r="DV38" s="227"/>
      <c r="DW38" s="227"/>
      <c r="DX38" s="227"/>
      <c r="DY38" s="227"/>
      <c r="DZ38" s="227"/>
      <c r="EA38" s="227"/>
      <c r="EB38" s="227"/>
      <c r="EC38" s="227"/>
      <c r="ED38" s="227"/>
      <c r="EE38" s="227"/>
      <c r="EF38" s="227"/>
    </row>
    <row r="39" spans="1:136">
      <c r="A39" s="227"/>
      <c r="B39" s="227"/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9"/>
      <c r="T39" s="227"/>
      <c r="U39" s="229"/>
      <c r="V39" s="229"/>
      <c r="W39" s="227"/>
      <c r="X39" s="227"/>
      <c r="Y39" s="227"/>
      <c r="Z39" s="227"/>
      <c r="AA39" s="227"/>
      <c r="AB39" s="227"/>
      <c r="AC39" s="227"/>
      <c r="AD39" s="227"/>
      <c r="AE39" s="227"/>
      <c r="AF39" s="227"/>
      <c r="AG39" s="229"/>
      <c r="AH39" s="227"/>
      <c r="AI39" s="227"/>
      <c r="AJ39" s="227"/>
      <c r="AK39" s="227"/>
      <c r="AL39" s="227"/>
      <c r="AM39" s="227"/>
      <c r="AN39" s="227"/>
      <c r="AO39" s="233" t="s">
        <v>655</v>
      </c>
      <c r="AP39" s="234">
        <v>46048.850694444445</v>
      </c>
      <c r="AQ39" s="227"/>
      <c r="AR39" s="227"/>
      <c r="AS39" s="227"/>
      <c r="AT39" s="227"/>
      <c r="AU39" s="233" t="s">
        <v>657</v>
      </c>
      <c r="AV39" s="234">
        <v>46049.832638888889</v>
      </c>
      <c r="AW39" s="227"/>
      <c r="AX39" s="233" t="s">
        <v>658</v>
      </c>
      <c r="AY39" s="234">
        <v>46048.938194444447</v>
      </c>
      <c r="AZ39" s="227"/>
      <c r="BA39" s="233" t="s">
        <v>659</v>
      </c>
      <c r="BB39" s="234">
        <v>46050.525000000001</v>
      </c>
      <c r="BC39" s="238">
        <v>1</v>
      </c>
      <c r="BD39" s="227"/>
      <c r="BE39" s="227"/>
      <c r="BF39" s="227"/>
      <c r="BG39" s="227"/>
      <c r="BH39" s="227"/>
      <c r="BI39" s="227"/>
      <c r="BJ39" s="227"/>
      <c r="BK39" s="227"/>
      <c r="BL39" s="227"/>
      <c r="BM39" s="227"/>
      <c r="BN39" s="227"/>
      <c r="BO39" s="227"/>
      <c r="BP39" s="227"/>
      <c r="BQ39" s="233" t="s">
        <v>663</v>
      </c>
      <c r="BR39" s="234">
        <v>46050.457638888889</v>
      </c>
      <c r="BS39" s="227"/>
      <c r="BT39" s="227"/>
      <c r="BU39" s="227"/>
      <c r="BV39" s="227"/>
      <c r="BW39" s="227"/>
      <c r="BX39" s="227"/>
      <c r="BY39" s="227"/>
      <c r="BZ39" s="227"/>
      <c r="CA39" s="227"/>
      <c r="CB39" s="278" t="s">
        <v>730</v>
      </c>
      <c r="CC39" s="272"/>
      <c r="CD39" s="227"/>
      <c r="CE39" s="227"/>
      <c r="CF39" s="227"/>
      <c r="CG39" s="227"/>
      <c r="CH39" s="227"/>
      <c r="CI39" s="227"/>
      <c r="CJ39" s="227"/>
      <c r="CK39" s="227"/>
      <c r="CL39" s="227"/>
      <c r="CM39" s="227"/>
      <c r="CN39" s="227"/>
      <c r="CO39" s="227"/>
      <c r="CP39" s="227"/>
      <c r="CQ39" s="227"/>
      <c r="CR39" s="227"/>
      <c r="CS39" s="227"/>
      <c r="CT39" s="227"/>
      <c r="CU39" s="227"/>
      <c r="CV39" s="227"/>
      <c r="CW39" s="227"/>
      <c r="CX39" s="227"/>
      <c r="CY39" s="227"/>
      <c r="CZ39" s="227"/>
      <c r="DA39" s="227"/>
      <c r="DB39" s="227"/>
      <c r="DC39" s="227"/>
      <c r="DD39" s="227"/>
      <c r="DE39" s="227"/>
      <c r="DF39" s="227"/>
      <c r="DG39" s="227"/>
      <c r="DH39" s="227"/>
      <c r="DI39" s="227"/>
      <c r="DJ39" s="227"/>
      <c r="DK39" s="227"/>
      <c r="DL39" s="227"/>
      <c r="DM39" s="227"/>
      <c r="DN39" s="227"/>
      <c r="DO39" s="227"/>
      <c r="DP39" s="227"/>
      <c r="DQ39" s="227"/>
      <c r="DR39" s="227"/>
      <c r="DS39" s="227"/>
      <c r="DT39" s="227"/>
      <c r="DU39" s="227"/>
      <c r="DV39" s="227"/>
      <c r="DW39" s="227"/>
      <c r="DX39" s="227"/>
      <c r="DY39" s="227"/>
      <c r="DZ39" s="227"/>
      <c r="EA39" s="227"/>
      <c r="EB39" s="227"/>
      <c r="EC39" s="227"/>
      <c r="ED39" s="227"/>
      <c r="EE39" s="227"/>
      <c r="EF39" s="227"/>
    </row>
    <row r="40" spans="1:136">
      <c r="A40" s="227"/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9"/>
      <c r="T40" s="227"/>
      <c r="U40" s="229"/>
      <c r="V40" s="229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9"/>
      <c r="AH40" s="227"/>
      <c r="AI40" s="227"/>
      <c r="AJ40" s="227"/>
      <c r="AK40" s="227"/>
      <c r="AL40" s="227"/>
      <c r="AM40" s="227"/>
      <c r="AN40" s="227"/>
      <c r="AO40" s="233" t="s">
        <v>655</v>
      </c>
      <c r="AP40" s="234">
        <v>46049.434027777781</v>
      </c>
      <c r="AQ40" s="227"/>
      <c r="AR40" s="227"/>
      <c r="AS40" s="227"/>
      <c r="AT40" s="227"/>
      <c r="AU40" s="233" t="s">
        <v>657</v>
      </c>
      <c r="AV40" s="234">
        <v>46050.469444444447</v>
      </c>
      <c r="AW40" s="238">
        <v>0.25</v>
      </c>
      <c r="AX40" s="233" t="s">
        <v>658</v>
      </c>
      <c r="AY40" s="234">
        <v>46049.479861111111</v>
      </c>
      <c r="AZ40" s="238">
        <v>0.5</v>
      </c>
      <c r="BA40" s="276" t="s">
        <v>731</v>
      </c>
      <c r="BB40" s="272"/>
      <c r="BC40" s="272"/>
      <c r="BD40" s="227"/>
      <c r="BE40" s="227"/>
      <c r="BF40" s="227"/>
      <c r="BG40" s="227"/>
      <c r="BH40" s="227"/>
      <c r="BI40" s="227"/>
      <c r="BJ40" s="227"/>
      <c r="BK40" s="227"/>
      <c r="BL40" s="227"/>
      <c r="BM40" s="227"/>
      <c r="BN40" s="227"/>
      <c r="BO40" s="227"/>
      <c r="BP40" s="227"/>
      <c r="BQ40" s="227"/>
      <c r="BR40" s="227"/>
      <c r="BS40" s="227"/>
      <c r="BT40" s="227"/>
      <c r="BU40" s="227"/>
      <c r="BV40" s="227"/>
      <c r="BW40" s="227"/>
      <c r="BX40" s="227"/>
      <c r="BY40" s="227"/>
      <c r="BZ40" s="227"/>
      <c r="CA40" s="227"/>
      <c r="CB40" s="272"/>
      <c r="CC40" s="272"/>
      <c r="CD40" s="227"/>
      <c r="CE40" s="227"/>
      <c r="CF40" s="227"/>
      <c r="CG40" s="227"/>
      <c r="CH40" s="227"/>
      <c r="CI40" s="227"/>
      <c r="CJ40" s="227"/>
      <c r="CK40" s="227"/>
      <c r="CL40" s="227"/>
      <c r="CM40" s="227"/>
      <c r="CN40" s="227"/>
      <c r="CO40" s="227"/>
      <c r="CP40" s="227"/>
      <c r="CQ40" s="227"/>
      <c r="CR40" s="227"/>
      <c r="CS40" s="227"/>
      <c r="CT40" s="227"/>
      <c r="CU40" s="227"/>
      <c r="CV40" s="227"/>
      <c r="CW40" s="227"/>
      <c r="CX40" s="227"/>
      <c r="CY40" s="227"/>
      <c r="CZ40" s="227"/>
      <c r="DA40" s="227"/>
      <c r="DB40" s="227"/>
      <c r="DC40" s="227"/>
      <c r="DD40" s="227"/>
      <c r="DE40" s="227"/>
      <c r="DF40" s="227"/>
      <c r="DG40" s="227"/>
      <c r="DH40" s="227"/>
      <c r="DI40" s="227"/>
      <c r="DJ40" s="227"/>
      <c r="DK40" s="227"/>
      <c r="DL40" s="227"/>
      <c r="DM40" s="227"/>
      <c r="DN40" s="227"/>
      <c r="DO40" s="227"/>
      <c r="DP40" s="227"/>
      <c r="DQ40" s="227"/>
      <c r="DR40" s="227"/>
      <c r="DS40" s="227"/>
      <c r="DT40" s="227"/>
      <c r="DU40" s="227"/>
      <c r="DV40" s="227"/>
      <c r="DW40" s="227"/>
      <c r="DX40" s="227"/>
      <c r="DY40" s="227"/>
      <c r="DZ40" s="227"/>
      <c r="EA40" s="227"/>
      <c r="EB40" s="227"/>
      <c r="EC40" s="227"/>
      <c r="ED40" s="227"/>
      <c r="EE40" s="227"/>
      <c r="EF40" s="227"/>
    </row>
    <row r="41" spans="1:136">
      <c r="A41" s="227"/>
      <c r="B41" s="227"/>
      <c r="C41" s="227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9"/>
      <c r="T41" s="227"/>
      <c r="U41" s="229"/>
      <c r="V41" s="229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9"/>
      <c r="AH41" s="227"/>
      <c r="AI41" s="227"/>
      <c r="AJ41" s="227"/>
      <c r="AK41" s="227"/>
      <c r="AL41" s="227"/>
      <c r="AM41" s="227"/>
      <c r="AN41" s="227"/>
      <c r="AO41" s="233" t="s">
        <v>655</v>
      </c>
      <c r="AP41" s="234">
        <v>46049.843055555553</v>
      </c>
      <c r="AQ41" s="227"/>
      <c r="AR41" s="227"/>
      <c r="AS41" s="227"/>
      <c r="AT41" s="227"/>
      <c r="AU41" s="227"/>
      <c r="AV41" s="227"/>
      <c r="AW41" s="227"/>
      <c r="AX41" s="233" t="s">
        <v>658</v>
      </c>
      <c r="AY41" s="234">
        <v>46049.877083333333</v>
      </c>
      <c r="AZ41" s="227"/>
      <c r="BA41" s="272"/>
      <c r="BB41" s="272"/>
      <c r="BC41" s="272"/>
      <c r="BD41" s="227"/>
      <c r="BE41" s="227"/>
      <c r="BF41" s="227"/>
      <c r="BG41" s="227"/>
      <c r="BH41" s="227"/>
      <c r="BI41" s="227"/>
      <c r="BJ41" s="227"/>
      <c r="BK41" s="227"/>
      <c r="BL41" s="227"/>
      <c r="BM41" s="227"/>
      <c r="BN41" s="227"/>
      <c r="BO41" s="227"/>
      <c r="BP41" s="227"/>
      <c r="BQ41" s="227"/>
      <c r="BR41" s="227"/>
      <c r="BS41" s="227"/>
      <c r="BT41" s="227"/>
      <c r="BU41" s="227"/>
      <c r="BV41" s="227"/>
      <c r="BW41" s="227"/>
      <c r="BX41" s="227"/>
      <c r="BY41" s="227"/>
      <c r="BZ41" s="227"/>
      <c r="CA41" s="227"/>
      <c r="CB41" s="227"/>
      <c r="CC41" s="227"/>
      <c r="CD41" s="227"/>
      <c r="CE41" s="227"/>
      <c r="CF41" s="227"/>
      <c r="CG41" s="227"/>
      <c r="CH41" s="227"/>
      <c r="CI41" s="227"/>
      <c r="CJ41" s="227"/>
      <c r="CK41" s="227"/>
      <c r="CL41" s="227"/>
      <c r="CM41" s="227"/>
      <c r="CN41" s="227"/>
      <c r="CO41" s="227"/>
      <c r="CP41" s="227"/>
      <c r="CQ41" s="227"/>
      <c r="CR41" s="227"/>
      <c r="CS41" s="227"/>
      <c r="CT41" s="227"/>
      <c r="CU41" s="227"/>
      <c r="CV41" s="227"/>
      <c r="CW41" s="227"/>
      <c r="CX41" s="227"/>
      <c r="CY41" s="227"/>
      <c r="CZ41" s="227"/>
      <c r="DA41" s="227"/>
      <c r="DB41" s="227"/>
      <c r="DC41" s="227"/>
      <c r="DD41" s="227"/>
      <c r="DE41" s="227"/>
      <c r="DF41" s="227"/>
      <c r="DG41" s="227"/>
      <c r="DH41" s="227"/>
      <c r="DI41" s="227"/>
      <c r="DJ41" s="227"/>
      <c r="DK41" s="227"/>
      <c r="DL41" s="227"/>
      <c r="DM41" s="227"/>
      <c r="DN41" s="227"/>
      <c r="DO41" s="227"/>
      <c r="DP41" s="227"/>
      <c r="DQ41" s="227"/>
      <c r="DR41" s="227"/>
      <c r="DS41" s="227"/>
      <c r="DT41" s="227"/>
      <c r="DU41" s="227"/>
      <c r="DV41" s="227"/>
      <c r="DW41" s="227"/>
      <c r="DX41" s="227"/>
      <c r="DY41" s="227"/>
      <c r="DZ41" s="227"/>
      <c r="EA41" s="227"/>
      <c r="EB41" s="227"/>
      <c r="EC41" s="227"/>
      <c r="ED41" s="227"/>
      <c r="EE41" s="227"/>
      <c r="EF41" s="227"/>
    </row>
    <row r="42" spans="1:136">
      <c r="A42" s="253"/>
      <c r="B42" s="253"/>
      <c r="C42" s="253"/>
      <c r="D42" s="253">
        <v>13.25</v>
      </c>
      <c r="E42" s="253"/>
      <c r="F42" s="253"/>
      <c r="G42" s="253"/>
      <c r="H42" s="253">
        <v>1.5</v>
      </c>
      <c r="I42" s="253"/>
      <c r="J42" s="253"/>
      <c r="K42" s="253"/>
      <c r="L42" s="253">
        <v>3.25</v>
      </c>
      <c r="M42" s="253"/>
      <c r="N42" s="253"/>
      <c r="O42" s="253">
        <v>0.75</v>
      </c>
      <c r="P42" s="253"/>
      <c r="Q42" s="253"/>
      <c r="R42" s="253"/>
      <c r="S42" s="253">
        <v>7.25</v>
      </c>
      <c r="T42" s="253"/>
      <c r="U42" s="253"/>
      <c r="V42" s="253"/>
      <c r="W42" s="253">
        <v>6.25</v>
      </c>
      <c r="X42" s="253"/>
      <c r="Y42" s="253"/>
      <c r="Z42" s="253"/>
      <c r="AA42" s="253">
        <v>7.5</v>
      </c>
      <c r="AB42" s="253"/>
      <c r="AC42" s="253"/>
      <c r="AD42" s="253">
        <v>3</v>
      </c>
      <c r="AE42" s="253"/>
      <c r="AF42" s="253"/>
      <c r="AG42" s="253">
        <v>1</v>
      </c>
      <c r="AH42" s="253"/>
      <c r="AI42" s="253"/>
      <c r="AJ42" s="253">
        <v>9</v>
      </c>
      <c r="AK42" s="253"/>
      <c r="AL42" s="253"/>
      <c r="AM42" s="253"/>
      <c r="AN42" s="253"/>
      <c r="AO42" s="253"/>
      <c r="AP42" s="253"/>
      <c r="AQ42" s="253">
        <v>0.5</v>
      </c>
      <c r="AR42" s="253"/>
      <c r="AS42" s="253"/>
      <c r="AT42" s="253">
        <v>17.3</v>
      </c>
      <c r="AU42" s="253"/>
      <c r="AV42" s="253"/>
      <c r="AW42" s="253">
        <v>0.75</v>
      </c>
      <c r="AX42" s="253"/>
      <c r="AY42" s="253"/>
      <c r="AZ42" s="253">
        <v>11.5</v>
      </c>
      <c r="BA42" s="253"/>
      <c r="BB42" s="253"/>
      <c r="BC42" s="253">
        <v>6.25</v>
      </c>
      <c r="BD42" s="253"/>
      <c r="BE42" s="253"/>
      <c r="BF42" s="253"/>
      <c r="BG42" s="253">
        <v>2.5</v>
      </c>
      <c r="BH42" s="253"/>
      <c r="BI42" s="253"/>
      <c r="BJ42" s="253"/>
      <c r="BK42" s="253">
        <v>0</v>
      </c>
      <c r="BL42" s="253"/>
      <c r="BM42" s="253"/>
      <c r="BN42" s="253"/>
      <c r="BO42" s="253"/>
      <c r="BP42" s="253"/>
      <c r="BQ42" s="253"/>
      <c r="BR42" s="253"/>
      <c r="BS42" s="253">
        <v>1</v>
      </c>
      <c r="BT42" s="253"/>
      <c r="BU42" s="253"/>
      <c r="BV42" s="253"/>
      <c r="BW42" s="253">
        <v>0</v>
      </c>
      <c r="BX42" s="253"/>
      <c r="BY42" s="253"/>
      <c r="BZ42" s="253">
        <v>4.75</v>
      </c>
      <c r="CA42" s="253"/>
      <c r="CB42" s="253"/>
      <c r="CC42" s="253"/>
      <c r="CD42" s="253">
        <v>2</v>
      </c>
      <c r="CE42" s="253"/>
      <c r="CF42" s="253"/>
      <c r="CG42" s="253"/>
      <c r="CH42" s="253">
        <v>4.25</v>
      </c>
      <c r="CI42" s="253"/>
      <c r="CJ42" s="253"/>
      <c r="CK42" s="253"/>
      <c r="CL42" s="253">
        <v>0</v>
      </c>
      <c r="CM42" s="253"/>
      <c r="CN42" s="253"/>
      <c r="CO42" s="253">
        <v>9</v>
      </c>
      <c r="CP42" s="253"/>
      <c r="CQ42" s="253"/>
      <c r="CR42" s="253"/>
      <c r="CS42" s="253">
        <v>4.5</v>
      </c>
      <c r="CT42" s="253"/>
      <c r="CU42" s="253"/>
      <c r="CV42" s="253"/>
      <c r="CW42" s="253">
        <v>7.75</v>
      </c>
      <c r="CX42" s="253"/>
      <c r="CY42" s="253"/>
      <c r="CZ42" s="253"/>
      <c r="DA42" s="253">
        <v>1.25</v>
      </c>
      <c r="DB42" s="253"/>
      <c r="DC42" s="253"/>
      <c r="DD42" s="253"/>
      <c r="DE42" s="253"/>
      <c r="DF42" s="253"/>
      <c r="DG42" s="253"/>
      <c r="DH42" s="253"/>
      <c r="DI42" s="253"/>
      <c r="DJ42" s="253"/>
      <c r="DK42" s="253"/>
      <c r="DL42" s="253"/>
      <c r="DM42" s="253"/>
      <c r="DN42" s="253"/>
      <c r="DO42" s="253"/>
      <c r="DP42" s="253"/>
      <c r="DQ42" s="253"/>
      <c r="DR42" s="253"/>
      <c r="DS42" s="253"/>
      <c r="DT42" s="253"/>
      <c r="DU42" s="253"/>
      <c r="DV42" s="253"/>
      <c r="DW42" s="253"/>
      <c r="DX42" s="253"/>
      <c r="DY42" s="253"/>
      <c r="DZ42" s="253"/>
      <c r="EA42" s="253"/>
      <c r="EB42" s="253"/>
      <c r="EC42" s="253"/>
      <c r="ED42" s="253"/>
      <c r="EE42" s="253"/>
      <c r="EF42" s="253"/>
    </row>
    <row r="43" spans="1:136">
      <c r="A43" s="227"/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9"/>
      <c r="T43" s="227"/>
      <c r="U43" s="229"/>
      <c r="V43" s="229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9"/>
      <c r="AH43" s="227"/>
      <c r="AI43" s="227"/>
      <c r="AJ43" s="227"/>
      <c r="AK43" s="227"/>
      <c r="AL43" s="227"/>
      <c r="AM43" s="227"/>
      <c r="AN43" s="227"/>
      <c r="AO43" s="227"/>
      <c r="AP43" s="227"/>
      <c r="AQ43" s="227"/>
      <c r="AR43" s="227"/>
      <c r="AS43" s="227"/>
      <c r="AT43" s="227"/>
      <c r="AU43" s="227"/>
      <c r="AV43" s="227"/>
      <c r="AW43" s="227"/>
      <c r="AX43" s="227"/>
      <c r="AY43" s="233" t="s">
        <v>732</v>
      </c>
      <c r="AZ43" s="238">
        <v>0.5</v>
      </c>
      <c r="BA43" s="227"/>
      <c r="BB43" s="227"/>
      <c r="BC43" s="227"/>
      <c r="BD43" s="227"/>
      <c r="BE43" s="227"/>
      <c r="BF43" s="227"/>
      <c r="BG43" s="227"/>
      <c r="BH43" s="227"/>
      <c r="BI43" s="227"/>
      <c r="BJ43" s="227"/>
      <c r="BK43" s="227"/>
      <c r="BL43" s="227"/>
      <c r="BM43" s="227"/>
      <c r="BN43" s="227"/>
      <c r="BO43" s="227"/>
      <c r="BP43" s="227"/>
      <c r="BQ43" s="227"/>
      <c r="BR43" s="227"/>
      <c r="BS43" s="227"/>
      <c r="BT43" s="227"/>
      <c r="BU43" s="227"/>
      <c r="BV43" s="227"/>
      <c r="BW43" s="227"/>
      <c r="BX43" s="227"/>
      <c r="BY43" s="227"/>
      <c r="BZ43" s="227"/>
      <c r="CA43" s="227"/>
      <c r="CB43" s="227"/>
      <c r="CC43" s="227"/>
      <c r="CD43" s="227"/>
      <c r="CE43" s="227"/>
      <c r="CF43" s="227"/>
      <c r="CG43" s="227"/>
      <c r="CH43" s="227"/>
      <c r="CI43" s="227"/>
      <c r="CJ43" s="227"/>
      <c r="CK43" s="227"/>
      <c r="CL43" s="227"/>
      <c r="CM43" s="227"/>
      <c r="CN43" s="227"/>
      <c r="CO43" s="227"/>
      <c r="CP43" s="227"/>
      <c r="CQ43" s="227"/>
      <c r="CR43" s="227"/>
      <c r="CS43" s="227"/>
      <c r="CT43" s="227"/>
      <c r="CU43" s="227"/>
      <c r="CV43" s="227"/>
      <c r="CW43" s="227"/>
      <c r="CX43" s="227"/>
      <c r="CY43" s="227"/>
      <c r="CZ43" s="227"/>
      <c r="DA43" s="227"/>
      <c r="DB43" s="227"/>
      <c r="DC43" s="227"/>
      <c r="DD43" s="227"/>
      <c r="DE43" s="227"/>
      <c r="DF43" s="227"/>
      <c r="DG43" s="227"/>
      <c r="DH43" s="227"/>
      <c r="DI43" s="227"/>
      <c r="DJ43" s="227"/>
      <c r="DK43" s="227"/>
      <c r="DL43" s="227"/>
      <c r="DM43" s="227"/>
      <c r="DN43" s="227"/>
      <c r="DO43" s="227"/>
      <c r="DP43" s="227"/>
      <c r="DQ43" s="227"/>
      <c r="DR43" s="227"/>
      <c r="DS43" s="227"/>
      <c r="DT43" s="227"/>
      <c r="DU43" s="227"/>
      <c r="DV43" s="227"/>
      <c r="DW43" s="227"/>
      <c r="DX43" s="227"/>
      <c r="DY43" s="227"/>
      <c r="DZ43" s="227"/>
      <c r="EA43" s="227"/>
      <c r="EB43" s="227"/>
      <c r="EC43" s="227"/>
      <c r="ED43" s="227"/>
      <c r="EE43" s="227"/>
      <c r="EF43" s="227"/>
    </row>
    <row r="44" spans="1:136">
      <c r="A44" s="227"/>
      <c r="B44" s="227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9"/>
      <c r="T44" s="227"/>
      <c r="U44" s="229"/>
      <c r="V44" s="229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9"/>
      <c r="AH44" s="227"/>
      <c r="AI44" s="227"/>
      <c r="AJ44" s="227"/>
      <c r="AK44" s="227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7"/>
      <c r="AX44" s="227"/>
      <c r="AY44" s="227"/>
      <c r="AZ44" s="227"/>
      <c r="BA44" s="227"/>
      <c r="BB44" s="227"/>
      <c r="BC44" s="227"/>
      <c r="BD44" s="227"/>
      <c r="BE44" s="227"/>
      <c r="BF44" s="227"/>
      <c r="BG44" s="227"/>
      <c r="BH44" s="227"/>
      <c r="BI44" s="227"/>
      <c r="BJ44" s="227"/>
      <c r="BK44" s="227"/>
      <c r="BL44" s="227"/>
      <c r="BM44" s="227"/>
      <c r="BN44" s="227"/>
      <c r="BO44" s="227"/>
      <c r="BP44" s="227"/>
      <c r="BQ44" s="227"/>
      <c r="BR44" s="227"/>
      <c r="BS44" s="227"/>
      <c r="BT44" s="227"/>
      <c r="BU44" s="227"/>
      <c r="BV44" s="227"/>
      <c r="BW44" s="227"/>
      <c r="BX44" s="227"/>
      <c r="BY44" s="227"/>
      <c r="BZ44" s="227"/>
      <c r="CA44" s="227"/>
      <c r="CB44" s="227"/>
      <c r="CC44" s="227"/>
      <c r="CD44" s="227"/>
      <c r="CE44" s="227"/>
      <c r="CF44" s="227"/>
      <c r="CG44" s="227"/>
      <c r="CH44" s="227"/>
      <c r="CI44" s="227"/>
      <c r="CJ44" s="227"/>
      <c r="CK44" s="227"/>
      <c r="CL44" s="227"/>
      <c r="CM44" s="227"/>
      <c r="CN44" s="227"/>
      <c r="CO44" s="227"/>
      <c r="CP44" s="227"/>
      <c r="CQ44" s="227"/>
      <c r="CR44" s="227"/>
      <c r="CS44" s="227"/>
      <c r="CT44" s="227"/>
      <c r="CU44" s="227"/>
      <c r="CV44" s="227"/>
      <c r="CW44" s="227"/>
      <c r="CX44" s="227"/>
      <c r="CY44" s="227"/>
      <c r="CZ44" s="227"/>
      <c r="DA44" s="227"/>
      <c r="DB44" s="227"/>
      <c r="DC44" s="227"/>
      <c r="DD44" s="227"/>
      <c r="DE44" s="227"/>
      <c r="DF44" s="227"/>
      <c r="DG44" s="227"/>
      <c r="DH44" s="227"/>
      <c r="DI44" s="227"/>
      <c r="DJ44" s="227"/>
      <c r="DK44" s="227"/>
      <c r="DL44" s="227"/>
      <c r="DM44" s="227"/>
      <c r="DN44" s="227"/>
      <c r="DO44" s="227"/>
      <c r="DP44" s="227"/>
      <c r="DQ44" s="227"/>
      <c r="DR44" s="227"/>
      <c r="DS44" s="227"/>
      <c r="DT44" s="227"/>
      <c r="DU44" s="227"/>
      <c r="DV44" s="227"/>
      <c r="DW44" s="227"/>
      <c r="DX44" s="227"/>
      <c r="DY44" s="227"/>
      <c r="DZ44" s="227"/>
      <c r="EA44" s="227"/>
      <c r="EB44" s="227"/>
      <c r="EC44" s="227"/>
      <c r="ED44" s="227"/>
      <c r="EE44" s="227"/>
      <c r="EF44" s="227"/>
    </row>
    <row r="45" spans="1:136">
      <c r="A45" s="227"/>
      <c r="B45" s="227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9"/>
      <c r="T45" s="227"/>
      <c r="U45" s="229"/>
      <c r="V45" s="229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9"/>
      <c r="AH45" s="227"/>
      <c r="AI45" s="227"/>
      <c r="AJ45" s="227"/>
      <c r="AK45" s="227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 s="227"/>
      <c r="AX45" s="279" t="s">
        <v>733</v>
      </c>
      <c r="AY45" s="272"/>
      <c r="AZ45" s="272"/>
      <c r="BA45" s="227"/>
      <c r="BB45" s="227"/>
      <c r="BC45" s="227"/>
      <c r="BD45" s="227"/>
      <c r="BE45" s="227"/>
      <c r="BF45" s="227"/>
      <c r="BG45" s="227"/>
      <c r="BH45" s="227"/>
      <c r="BI45" s="227"/>
      <c r="BJ45" s="227"/>
      <c r="BK45" s="227"/>
      <c r="BL45" s="227"/>
      <c r="BM45" s="227"/>
      <c r="BN45" s="227"/>
      <c r="BO45" s="227"/>
      <c r="BP45" s="227"/>
      <c r="BQ45" s="227"/>
      <c r="BR45" s="227"/>
      <c r="BS45" s="227"/>
      <c r="BT45" s="227"/>
      <c r="BU45" s="227"/>
      <c r="BV45" s="227"/>
      <c r="BW45" s="227"/>
      <c r="BX45" s="227"/>
      <c r="BY45" s="227"/>
      <c r="BZ45" s="227"/>
      <c r="CA45" s="227"/>
      <c r="CB45" s="227"/>
      <c r="CC45" s="227"/>
      <c r="CD45" s="227"/>
      <c r="CE45" s="227"/>
      <c r="CF45" s="227"/>
      <c r="CG45" s="227"/>
      <c r="CH45" s="227"/>
      <c r="CI45" s="227"/>
      <c r="CJ45" s="227"/>
      <c r="CK45" s="227"/>
      <c r="CL45" s="227"/>
      <c r="CM45" s="227"/>
      <c r="CN45" s="227"/>
      <c r="CO45" s="227"/>
      <c r="CP45" s="227"/>
      <c r="CQ45" s="227"/>
      <c r="CR45" s="227"/>
      <c r="CS45" s="227"/>
      <c r="CT45" s="227"/>
      <c r="CU45" s="227"/>
      <c r="CV45" s="227"/>
      <c r="CW45" s="227"/>
      <c r="CX45" s="227"/>
      <c r="CY45" s="227"/>
      <c r="CZ45" s="227"/>
      <c r="DA45" s="227"/>
      <c r="DB45" s="227"/>
      <c r="DC45" s="227"/>
      <c r="DD45" s="227"/>
      <c r="DE45" s="227"/>
      <c r="DF45" s="227"/>
      <c r="DG45" s="227"/>
      <c r="DH45" s="227"/>
      <c r="DI45" s="227"/>
      <c r="DJ45" s="227"/>
      <c r="DK45" s="227"/>
      <c r="DL45" s="227"/>
      <c r="DM45" s="227"/>
      <c r="DN45" s="227"/>
      <c r="DO45" s="227"/>
      <c r="DP45" s="227"/>
      <c r="DQ45" s="227"/>
      <c r="DR45" s="227"/>
      <c r="DS45" s="227"/>
      <c r="DT45" s="227"/>
      <c r="DU45" s="227"/>
      <c r="DV45" s="227"/>
      <c r="DW45" s="227"/>
      <c r="DX45" s="227"/>
      <c r="DY45" s="227"/>
      <c r="DZ45" s="227"/>
      <c r="EA45" s="227"/>
      <c r="EB45" s="227"/>
      <c r="EC45" s="227"/>
      <c r="ED45" s="227"/>
      <c r="EE45" s="227"/>
      <c r="EF45" s="227"/>
    </row>
    <row r="46" spans="1:136">
      <c r="A46" s="227"/>
      <c r="B46" s="227"/>
      <c r="C46" s="227"/>
      <c r="D46" s="227"/>
      <c r="E46" s="227"/>
      <c r="F46" s="227"/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9"/>
      <c r="T46" s="227"/>
      <c r="U46" s="229"/>
      <c r="V46" s="229"/>
      <c r="W46" s="227"/>
      <c r="X46" s="227"/>
      <c r="Y46" s="227"/>
      <c r="Z46" s="227"/>
      <c r="AA46" s="227"/>
      <c r="AB46" s="227"/>
      <c r="AC46" s="227"/>
      <c r="AD46" s="227"/>
      <c r="AE46" s="227"/>
      <c r="AF46" s="227"/>
      <c r="AG46" s="229"/>
      <c r="AH46" s="227"/>
      <c r="AI46" s="227"/>
      <c r="AJ46" s="227"/>
      <c r="AK46" s="227"/>
      <c r="AL46" s="227"/>
      <c r="AM46" s="227"/>
      <c r="AN46" s="227"/>
      <c r="AO46" s="227"/>
      <c r="AP46" s="227"/>
      <c r="AQ46" s="227"/>
      <c r="AR46" s="227"/>
      <c r="AS46" s="227"/>
      <c r="AT46" s="227"/>
      <c r="AU46" s="227"/>
      <c r="AV46" s="227"/>
      <c r="AW46" s="227"/>
      <c r="AX46" s="272"/>
      <c r="AY46" s="272"/>
      <c r="AZ46" s="272"/>
      <c r="BA46" s="227"/>
      <c r="BB46" s="227"/>
      <c r="BC46" s="227"/>
      <c r="BD46" s="227"/>
      <c r="BE46" s="227"/>
      <c r="BF46" s="227"/>
      <c r="BG46" s="227"/>
      <c r="BH46" s="227"/>
      <c r="BI46" s="227"/>
      <c r="BJ46" s="227"/>
      <c r="BK46" s="227"/>
      <c r="BL46" s="227"/>
      <c r="BM46" s="227"/>
      <c r="BN46" s="227"/>
      <c r="BO46" s="227"/>
      <c r="BP46" s="227"/>
      <c r="BQ46" s="227"/>
      <c r="BR46" s="227"/>
      <c r="BS46" s="227"/>
      <c r="BT46" s="227"/>
      <c r="BU46" s="227"/>
      <c r="BV46" s="227"/>
      <c r="BW46" s="227"/>
      <c r="BX46" s="227"/>
      <c r="BY46" s="227"/>
      <c r="BZ46" s="227"/>
      <c r="CA46" s="227"/>
      <c r="CB46" s="227"/>
      <c r="CC46" s="227"/>
      <c r="CD46" s="227"/>
      <c r="CE46" s="227"/>
      <c r="CF46" s="227"/>
      <c r="CG46" s="227"/>
      <c r="CH46" s="227"/>
      <c r="CI46" s="227"/>
      <c r="CJ46" s="227"/>
      <c r="CK46" s="227"/>
      <c r="CL46" s="227"/>
      <c r="CM46" s="227"/>
      <c r="CN46" s="227"/>
      <c r="CO46" s="227"/>
      <c r="CP46" s="227"/>
      <c r="CQ46" s="227"/>
      <c r="CR46" s="227"/>
      <c r="CS46" s="227"/>
      <c r="CT46" s="227"/>
      <c r="CU46" s="227"/>
      <c r="CV46" s="227"/>
      <c r="CW46" s="227"/>
      <c r="CX46" s="227"/>
      <c r="CY46" s="227"/>
      <c r="CZ46" s="227"/>
      <c r="DA46" s="227"/>
      <c r="DB46" s="227"/>
      <c r="DC46" s="227"/>
      <c r="DD46" s="227"/>
      <c r="DE46" s="227"/>
      <c r="DF46" s="227"/>
      <c r="DG46" s="227"/>
      <c r="DH46" s="227"/>
      <c r="DI46" s="227"/>
      <c r="DJ46" s="227"/>
      <c r="DK46" s="227"/>
      <c r="DL46" s="227"/>
      <c r="DM46" s="227"/>
      <c r="DN46" s="227"/>
      <c r="DO46" s="227"/>
      <c r="DP46" s="227"/>
      <c r="DQ46" s="227"/>
      <c r="DR46" s="227"/>
      <c r="DS46" s="227"/>
      <c r="DT46" s="227"/>
      <c r="DU46" s="227"/>
      <c r="DV46" s="227"/>
      <c r="DW46" s="227"/>
      <c r="DX46" s="227"/>
      <c r="DY46" s="227"/>
      <c r="DZ46" s="227"/>
      <c r="EA46" s="227"/>
      <c r="EB46" s="227"/>
      <c r="EC46" s="227"/>
      <c r="ED46" s="227"/>
      <c r="EE46" s="227"/>
      <c r="EF46" s="227"/>
    </row>
  </sheetData>
  <mergeCells count="14">
    <mergeCell ref="DX2:DY2"/>
    <mergeCell ref="EB2:EC2"/>
    <mergeCell ref="BG8:BH8"/>
    <mergeCell ref="AX45:AZ46"/>
    <mergeCell ref="D2:E2"/>
    <mergeCell ref="H2:I2"/>
    <mergeCell ref="DA2:DB2"/>
    <mergeCell ref="DK2:DL2"/>
    <mergeCell ref="AH21:AJ23"/>
    <mergeCell ref="AQ21:AR21"/>
    <mergeCell ref="AS24:AT26"/>
    <mergeCell ref="AX36:AZ37"/>
    <mergeCell ref="CB39:CC40"/>
    <mergeCell ref="BA40:BC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06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0.5703125" customWidth="1"/>
    <col min="2" max="2" width="15.85546875" customWidth="1"/>
    <col min="3" max="3" width="13.42578125" customWidth="1"/>
    <col min="4" max="4" width="48.7109375" customWidth="1"/>
    <col min="5" max="5" width="14.28515625" customWidth="1"/>
    <col min="6" max="6" width="18.42578125" customWidth="1"/>
    <col min="7" max="7" width="19.5703125" customWidth="1"/>
    <col min="8" max="8" width="18.42578125" customWidth="1"/>
    <col min="9" max="9" width="17.140625" customWidth="1"/>
    <col min="10" max="10" width="13.28515625" customWidth="1"/>
    <col min="11" max="11" width="11.140625" customWidth="1"/>
    <col min="12" max="12" width="12.42578125" customWidth="1"/>
  </cols>
  <sheetData>
    <row r="1" spans="1:29" ht="15.75" customHeight="1">
      <c r="A1" s="6"/>
      <c r="B1" s="10"/>
      <c r="C1" s="254"/>
      <c r="D1" s="6" t="s">
        <v>10</v>
      </c>
      <c r="E1" s="8"/>
      <c r="F1" s="9"/>
      <c r="G1" s="9"/>
      <c r="H1" s="6">
        <f>SUM(B3:B1989)</f>
        <v>5230886.3499999996</v>
      </c>
      <c r="I1" s="10">
        <f>SUM(C3:C1989)</f>
        <v>5244803.25</v>
      </c>
      <c r="J1" s="10">
        <f>I1-H1</f>
        <v>13916.900000000373</v>
      </c>
      <c r="K1" s="11"/>
      <c r="L1" s="12">
        <f>32707+34629-3303-9102-5000-1000-10000-12000-1000+761-3645-1000-1500-1000-1000-18500+10000-10000-47</f>
        <v>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5.75" customHeight="1">
      <c r="A2" s="260" t="s">
        <v>734</v>
      </c>
      <c r="B2" s="258"/>
      <c r="C2" s="258"/>
      <c r="D2" s="259"/>
      <c r="E2" s="13">
        <v>123021</v>
      </c>
      <c r="F2" s="261" t="s">
        <v>11</v>
      </c>
      <c r="G2" s="262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15.75" customHeight="1">
      <c r="A3" s="15">
        <v>44562</v>
      </c>
      <c r="B3" s="16"/>
      <c r="C3" s="13">
        <v>0</v>
      </c>
      <c r="D3" s="6" t="s">
        <v>11</v>
      </c>
      <c r="E3" s="13">
        <v>123021</v>
      </c>
      <c r="F3" s="263"/>
      <c r="G3" s="259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5.75" customHeight="1">
      <c r="A4" s="17" t="s">
        <v>12</v>
      </c>
      <c r="B4" s="18"/>
      <c r="C4" s="19">
        <v>400000</v>
      </c>
      <c r="D4" s="18" t="s">
        <v>13</v>
      </c>
      <c r="E4" s="13">
        <f t="shared" ref="E4:E258" si="0">E3+C4-B4</f>
        <v>523021</v>
      </c>
      <c r="F4" s="20"/>
      <c r="G4" s="20"/>
      <c r="H4" s="14"/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5.75" customHeight="1">
      <c r="A5" s="22" t="s">
        <v>12</v>
      </c>
      <c r="B5" s="18"/>
      <c r="C5" s="19">
        <v>130000</v>
      </c>
      <c r="D5" s="18" t="s">
        <v>14</v>
      </c>
      <c r="E5" s="13">
        <f t="shared" si="0"/>
        <v>653021</v>
      </c>
      <c r="F5" s="20"/>
      <c r="G5" s="20"/>
      <c r="H5" s="14"/>
      <c r="I5" s="1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5.75" customHeight="1">
      <c r="A6" s="22" t="s">
        <v>12</v>
      </c>
      <c r="B6" s="23">
        <v>17000</v>
      </c>
      <c r="C6" s="24"/>
      <c r="D6" s="24" t="s">
        <v>15</v>
      </c>
      <c r="E6" s="8">
        <f t="shared" si="0"/>
        <v>636021</v>
      </c>
      <c r="F6" s="20"/>
      <c r="G6" s="26"/>
      <c r="H6" s="14"/>
      <c r="I6" s="1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5.75" customHeight="1">
      <c r="A7" s="22" t="s">
        <v>12</v>
      </c>
      <c r="B7" s="23">
        <v>119000</v>
      </c>
      <c r="C7" s="24"/>
      <c r="D7" s="24" t="s">
        <v>16</v>
      </c>
      <c r="E7" s="8">
        <f t="shared" si="0"/>
        <v>517021</v>
      </c>
      <c r="F7" s="20"/>
      <c r="G7" s="28"/>
      <c r="H7" s="14"/>
      <c r="I7" s="1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5.75" customHeight="1">
      <c r="A8" s="22" t="s">
        <v>12</v>
      </c>
      <c r="B8" s="23">
        <v>101600</v>
      </c>
      <c r="C8" s="24"/>
      <c r="D8" s="25" t="s">
        <v>17</v>
      </c>
      <c r="E8" s="8">
        <f t="shared" si="0"/>
        <v>415421</v>
      </c>
      <c r="F8" s="20"/>
      <c r="G8" s="26"/>
      <c r="H8" s="14"/>
      <c r="I8" s="1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5.75" customHeight="1">
      <c r="A9" s="22" t="s">
        <v>12</v>
      </c>
      <c r="B9" s="27">
        <v>178703</v>
      </c>
      <c r="C9" s="7"/>
      <c r="D9" s="25" t="s">
        <v>18</v>
      </c>
      <c r="E9" s="8">
        <f t="shared" si="0"/>
        <v>236718</v>
      </c>
      <c r="F9" s="20"/>
      <c r="G9" s="20"/>
      <c r="H9" s="14"/>
      <c r="I9" s="1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15.75" customHeight="1">
      <c r="A10" s="22" t="s">
        <v>12</v>
      </c>
      <c r="B10" s="23">
        <v>50000</v>
      </c>
      <c r="C10" s="24"/>
      <c r="D10" s="27" t="s">
        <v>19</v>
      </c>
      <c r="E10" s="8">
        <f t="shared" si="0"/>
        <v>186718</v>
      </c>
      <c r="F10" s="20"/>
      <c r="G10" s="20"/>
      <c r="H10" s="14"/>
      <c r="I10" s="1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15.75" customHeight="1">
      <c r="A11" s="22" t="s">
        <v>12</v>
      </c>
      <c r="B11" s="23">
        <v>130000</v>
      </c>
      <c r="C11" s="24"/>
      <c r="D11" s="25" t="s">
        <v>19</v>
      </c>
      <c r="E11" s="8">
        <f t="shared" si="0"/>
        <v>56718</v>
      </c>
      <c r="F11" s="26"/>
      <c r="G11" s="32"/>
      <c r="H11" s="14"/>
      <c r="I11" s="1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5.75" customHeight="1">
      <c r="A12" s="29" t="s">
        <v>20</v>
      </c>
      <c r="B12" s="30">
        <v>2420</v>
      </c>
      <c r="C12" s="24"/>
      <c r="D12" s="27" t="s">
        <v>21</v>
      </c>
      <c r="E12" s="8">
        <f t="shared" si="0"/>
        <v>54298</v>
      </c>
      <c r="F12" s="20"/>
      <c r="G12" s="28"/>
      <c r="H12" s="14"/>
      <c r="I12" s="1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5.75" customHeight="1">
      <c r="A13" s="22" t="s">
        <v>20</v>
      </c>
      <c r="B13" s="18"/>
      <c r="C13" s="31">
        <v>20000</v>
      </c>
      <c r="D13" s="31" t="s">
        <v>14</v>
      </c>
      <c r="E13" s="8">
        <f t="shared" si="0"/>
        <v>74298</v>
      </c>
      <c r="F13" s="20"/>
      <c r="G13" s="20"/>
      <c r="H13" s="14"/>
      <c r="I13" s="1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5.75" customHeight="1">
      <c r="A14" s="22" t="s">
        <v>22</v>
      </c>
      <c r="B14" s="23">
        <v>70</v>
      </c>
      <c r="C14" s="24"/>
      <c r="D14" s="27" t="s">
        <v>23</v>
      </c>
      <c r="E14" s="8">
        <f t="shared" si="0"/>
        <v>74228</v>
      </c>
      <c r="F14" s="20"/>
      <c r="G14" s="20"/>
      <c r="H14" s="14"/>
      <c r="I14" s="1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5.75" customHeight="1">
      <c r="A15" s="29" t="s">
        <v>24</v>
      </c>
      <c r="B15" s="33"/>
      <c r="C15" s="31">
        <v>178702</v>
      </c>
      <c r="D15" s="19" t="s">
        <v>25</v>
      </c>
      <c r="E15" s="8">
        <f t="shared" si="0"/>
        <v>252930</v>
      </c>
      <c r="F15" s="20"/>
      <c r="G15" s="20"/>
      <c r="H15" s="14"/>
      <c r="I15" s="1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5.75" customHeight="1">
      <c r="A16" s="29" t="s">
        <v>26</v>
      </c>
      <c r="B16" s="30">
        <v>100000</v>
      </c>
      <c r="C16" s="24"/>
      <c r="D16" s="34" t="s">
        <v>27</v>
      </c>
      <c r="E16" s="8">
        <f t="shared" si="0"/>
        <v>152930</v>
      </c>
      <c r="F16" s="20"/>
      <c r="G16" s="20"/>
      <c r="H16" s="14"/>
      <c r="I16" s="1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5.75" customHeight="1">
      <c r="A17" s="22" t="s">
        <v>28</v>
      </c>
      <c r="B17" s="23">
        <v>30000</v>
      </c>
      <c r="C17" s="24"/>
      <c r="D17" s="23" t="s">
        <v>29</v>
      </c>
      <c r="E17" s="8">
        <f t="shared" si="0"/>
        <v>122930</v>
      </c>
      <c r="F17" s="20"/>
      <c r="G17" s="20"/>
      <c r="H17" s="14"/>
      <c r="I17" s="1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5.75" customHeight="1">
      <c r="A18" s="22" t="s">
        <v>28</v>
      </c>
      <c r="B18" s="23">
        <v>2635</v>
      </c>
      <c r="C18" s="24"/>
      <c r="D18" s="23" t="s">
        <v>30</v>
      </c>
      <c r="E18" s="8">
        <f t="shared" si="0"/>
        <v>120295</v>
      </c>
      <c r="F18" s="36"/>
      <c r="G18" s="20"/>
      <c r="H18" s="14"/>
      <c r="I18" s="1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5.75" customHeight="1">
      <c r="A19" s="22" t="s">
        <v>31</v>
      </c>
      <c r="B19" s="22">
        <v>10000</v>
      </c>
      <c r="C19" s="35"/>
      <c r="D19" s="22" t="s">
        <v>32</v>
      </c>
      <c r="E19" s="8">
        <f t="shared" si="0"/>
        <v>110295</v>
      </c>
      <c r="F19" s="20"/>
      <c r="G19" s="20"/>
      <c r="H19" s="14"/>
      <c r="I19" s="1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5.75" customHeight="1">
      <c r="A20" s="22" t="s">
        <v>33</v>
      </c>
      <c r="B20" s="23">
        <v>3000</v>
      </c>
      <c r="C20" s="24"/>
      <c r="D20" s="23" t="s">
        <v>34</v>
      </c>
      <c r="E20" s="8">
        <f t="shared" si="0"/>
        <v>107295</v>
      </c>
      <c r="F20" s="39"/>
      <c r="G20" s="28"/>
      <c r="H20" s="14"/>
      <c r="I20" s="1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5.75" customHeight="1">
      <c r="A21" s="22" t="s">
        <v>33</v>
      </c>
      <c r="B21" s="23">
        <v>3000</v>
      </c>
      <c r="C21" s="24"/>
      <c r="D21" s="23" t="s">
        <v>35</v>
      </c>
      <c r="E21" s="8">
        <f t="shared" si="0"/>
        <v>104295</v>
      </c>
      <c r="F21" s="20"/>
      <c r="G21" s="20"/>
      <c r="H21" s="14"/>
      <c r="I21" s="1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5.75" customHeight="1">
      <c r="A22" s="37" t="s">
        <v>36</v>
      </c>
      <c r="B22" s="38">
        <v>9000</v>
      </c>
      <c r="C22" s="24"/>
      <c r="D22" s="38" t="s">
        <v>37</v>
      </c>
      <c r="E22" s="8">
        <f t="shared" si="0"/>
        <v>95295</v>
      </c>
      <c r="F22" s="20"/>
      <c r="G22" s="20"/>
      <c r="H22" s="14"/>
      <c r="I22" s="1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5.75" customHeight="1">
      <c r="A23" s="40" t="s">
        <v>38</v>
      </c>
      <c r="B23" s="38">
        <v>23450</v>
      </c>
      <c r="C23" s="24"/>
      <c r="D23" s="38" t="s">
        <v>39</v>
      </c>
      <c r="E23" s="8">
        <f t="shared" si="0"/>
        <v>71845</v>
      </c>
      <c r="F23" s="20"/>
      <c r="G23" s="20"/>
      <c r="H23" s="14"/>
      <c r="I23" s="1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5.75" customHeight="1">
      <c r="A24" s="41" t="s">
        <v>38</v>
      </c>
      <c r="B24" s="42">
        <v>5000</v>
      </c>
      <c r="C24" s="24"/>
      <c r="D24" s="38" t="s">
        <v>40</v>
      </c>
      <c r="E24" s="8">
        <f t="shared" si="0"/>
        <v>66845</v>
      </c>
      <c r="F24" s="20"/>
      <c r="G24" s="20"/>
      <c r="H24" s="14"/>
      <c r="I24" s="1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5.75" customHeight="1">
      <c r="A25" s="41" t="s">
        <v>41</v>
      </c>
      <c r="B25" s="42">
        <v>14400</v>
      </c>
      <c r="C25" s="24"/>
      <c r="D25" s="24" t="s">
        <v>42</v>
      </c>
      <c r="E25" s="8">
        <f t="shared" si="0"/>
        <v>52445</v>
      </c>
      <c r="F25" s="39"/>
      <c r="G25" s="28"/>
      <c r="H25" s="14"/>
      <c r="I25" s="1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.75" customHeight="1">
      <c r="A26" s="37" t="s">
        <v>43</v>
      </c>
      <c r="B26" s="38">
        <v>17000</v>
      </c>
      <c r="C26" s="24"/>
      <c r="D26" s="38" t="s">
        <v>15</v>
      </c>
      <c r="E26" s="8">
        <f t="shared" si="0"/>
        <v>35445</v>
      </c>
      <c r="F26" s="20"/>
      <c r="G26" s="20"/>
      <c r="H26" s="14"/>
      <c r="I26" s="1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.75" customHeight="1">
      <c r="A27" s="37" t="s">
        <v>43</v>
      </c>
      <c r="B27" s="38">
        <v>2500</v>
      </c>
      <c r="C27" s="43"/>
      <c r="D27" s="38" t="s">
        <v>44</v>
      </c>
      <c r="E27" s="8">
        <f t="shared" si="0"/>
        <v>32945</v>
      </c>
      <c r="F27" s="20"/>
      <c r="G27" s="20"/>
      <c r="H27" s="14"/>
      <c r="I27" s="1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.75" customHeight="1">
      <c r="A28" s="37" t="s">
        <v>43</v>
      </c>
      <c r="B28" s="38">
        <v>1500</v>
      </c>
      <c r="C28" s="24"/>
      <c r="D28" s="38" t="s">
        <v>45</v>
      </c>
      <c r="E28" s="8">
        <f t="shared" si="0"/>
        <v>31445</v>
      </c>
      <c r="F28" s="20"/>
      <c r="G28" s="20"/>
      <c r="H28" s="14"/>
      <c r="I28" s="1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.75" customHeight="1">
      <c r="A29" s="37" t="s">
        <v>43</v>
      </c>
      <c r="B29" s="38">
        <v>4000</v>
      </c>
      <c r="C29" s="24"/>
      <c r="D29" s="38" t="s">
        <v>46</v>
      </c>
      <c r="E29" s="8">
        <f t="shared" si="0"/>
        <v>27445</v>
      </c>
      <c r="F29" s="39"/>
      <c r="G29" s="28"/>
      <c r="H29" s="14"/>
      <c r="I29" s="1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.75" customHeight="1">
      <c r="A30" s="37" t="s">
        <v>43</v>
      </c>
      <c r="B30" s="44"/>
      <c r="C30" s="31">
        <v>150000</v>
      </c>
      <c r="D30" s="44" t="s">
        <v>47</v>
      </c>
      <c r="E30" s="8">
        <f t="shared" si="0"/>
        <v>177445</v>
      </c>
      <c r="F30" s="20"/>
      <c r="G30" s="20"/>
      <c r="H30" s="14"/>
      <c r="I30" s="1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>
      <c r="A31" s="37" t="s">
        <v>43</v>
      </c>
      <c r="B31" s="38">
        <v>150000</v>
      </c>
      <c r="C31" s="24"/>
      <c r="D31" s="38" t="s">
        <v>48</v>
      </c>
      <c r="E31" s="8">
        <f t="shared" si="0"/>
        <v>27445</v>
      </c>
      <c r="F31" s="20"/>
      <c r="G31" s="20"/>
      <c r="H31" s="14"/>
      <c r="I31" s="1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>
      <c r="A32" s="37" t="s">
        <v>43</v>
      </c>
      <c r="B32" s="38">
        <v>20000</v>
      </c>
      <c r="C32" s="24"/>
      <c r="D32" s="38" t="s">
        <v>49</v>
      </c>
      <c r="E32" s="8">
        <f t="shared" si="0"/>
        <v>7445</v>
      </c>
      <c r="F32" s="20"/>
      <c r="G32" s="20"/>
      <c r="H32" s="14"/>
      <c r="I32" s="1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>
      <c r="A33" s="41" t="s">
        <v>50</v>
      </c>
      <c r="B33" s="18"/>
      <c r="C33" s="19">
        <v>20000</v>
      </c>
      <c r="D33" s="18" t="s">
        <v>47</v>
      </c>
      <c r="E33" s="8">
        <f t="shared" si="0"/>
        <v>27445</v>
      </c>
      <c r="F33" s="20"/>
      <c r="G33" s="20"/>
      <c r="H33" s="14"/>
      <c r="I33" s="1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>
      <c r="A34" s="22" t="s">
        <v>50</v>
      </c>
      <c r="B34" s="23">
        <v>5000</v>
      </c>
      <c r="C34" s="24"/>
      <c r="D34" s="23" t="s">
        <v>51</v>
      </c>
      <c r="E34" s="8">
        <f t="shared" si="0"/>
        <v>22445</v>
      </c>
      <c r="F34" s="20"/>
      <c r="G34" s="20"/>
      <c r="H34" s="14"/>
      <c r="I34" s="1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>
      <c r="A35" s="37" t="s">
        <v>50</v>
      </c>
      <c r="B35" s="38">
        <v>5000</v>
      </c>
      <c r="C35" s="24"/>
      <c r="D35" s="38" t="s">
        <v>52</v>
      </c>
      <c r="E35" s="8">
        <f t="shared" si="0"/>
        <v>17445</v>
      </c>
      <c r="F35" s="20"/>
      <c r="G35" s="20"/>
      <c r="H35" s="14"/>
      <c r="I35" s="1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>
      <c r="A36" s="29" t="s">
        <v>50</v>
      </c>
      <c r="B36" s="30">
        <v>2000</v>
      </c>
      <c r="C36" s="24"/>
      <c r="D36" s="7" t="s">
        <v>53</v>
      </c>
      <c r="E36" s="8">
        <f t="shared" si="0"/>
        <v>15445</v>
      </c>
      <c r="F36" s="20"/>
      <c r="G36" s="26"/>
      <c r="H36" s="14"/>
      <c r="I36" s="1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>
      <c r="A37" s="29" t="s">
        <v>50</v>
      </c>
      <c r="B37" s="30">
        <v>3117</v>
      </c>
      <c r="C37" s="24"/>
      <c r="D37" s="7" t="s">
        <v>54</v>
      </c>
      <c r="E37" s="8">
        <f t="shared" si="0"/>
        <v>12328</v>
      </c>
      <c r="F37" s="20"/>
      <c r="G37" s="20"/>
      <c r="H37" s="14"/>
      <c r="I37" s="1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>
      <c r="A38" s="37" t="s">
        <v>50</v>
      </c>
      <c r="B38" s="38">
        <v>8300</v>
      </c>
      <c r="C38" s="7"/>
      <c r="D38" s="38" t="s">
        <v>55</v>
      </c>
      <c r="E38" s="8">
        <f t="shared" si="0"/>
        <v>4028</v>
      </c>
      <c r="F38" s="20"/>
      <c r="G38" s="20"/>
      <c r="H38" s="14"/>
      <c r="I38" s="1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>
      <c r="A39" s="41" t="s">
        <v>56</v>
      </c>
      <c r="B39" s="41">
        <v>3300</v>
      </c>
      <c r="C39" s="35"/>
      <c r="D39" s="35" t="s">
        <v>57</v>
      </c>
      <c r="E39" s="8">
        <f t="shared" si="0"/>
        <v>728</v>
      </c>
      <c r="F39" s="20"/>
      <c r="G39" s="20"/>
      <c r="H39" s="14"/>
      <c r="I39" s="1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>
      <c r="A40" s="45">
        <v>45693</v>
      </c>
      <c r="B40" s="46"/>
      <c r="C40" s="31">
        <v>5000</v>
      </c>
      <c r="D40" s="31" t="s">
        <v>58</v>
      </c>
      <c r="E40" s="8">
        <f t="shared" si="0"/>
        <v>5728</v>
      </c>
      <c r="F40" s="20"/>
      <c r="G40" s="20"/>
      <c r="H40" s="14"/>
      <c r="I40" s="1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customHeight="1">
      <c r="A41" s="47">
        <v>45693</v>
      </c>
      <c r="B41" s="38">
        <v>3000</v>
      </c>
      <c r="C41" s="24"/>
      <c r="D41" s="48" t="s">
        <v>53</v>
      </c>
      <c r="E41" s="8">
        <f t="shared" si="0"/>
        <v>2728</v>
      </c>
      <c r="F41" s="20"/>
      <c r="G41" s="20"/>
      <c r="H41" s="14"/>
      <c r="I41" s="1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.75" customHeight="1">
      <c r="A42" s="47">
        <v>45693</v>
      </c>
      <c r="B42" s="38">
        <v>2700</v>
      </c>
      <c r="C42" s="24"/>
      <c r="D42" s="38" t="s">
        <v>59</v>
      </c>
      <c r="E42" s="8">
        <f t="shared" si="0"/>
        <v>28</v>
      </c>
      <c r="F42" s="20"/>
      <c r="G42" s="20"/>
      <c r="H42" s="14"/>
      <c r="I42" s="1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.75" customHeight="1">
      <c r="A43" s="45">
        <v>45693</v>
      </c>
      <c r="B43" s="46"/>
      <c r="C43" s="31">
        <v>20000</v>
      </c>
      <c r="D43" s="31" t="s">
        <v>60</v>
      </c>
      <c r="E43" s="8">
        <f t="shared" si="0"/>
        <v>20028</v>
      </c>
      <c r="F43" s="20"/>
      <c r="G43" s="49"/>
      <c r="H43" s="14"/>
      <c r="I43" s="1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customHeight="1">
      <c r="A44" s="47">
        <v>45693</v>
      </c>
      <c r="B44" s="38">
        <v>1000</v>
      </c>
      <c r="C44" s="24"/>
      <c r="D44" s="38" t="s">
        <v>61</v>
      </c>
      <c r="E44" s="8">
        <f t="shared" si="0"/>
        <v>19028</v>
      </c>
      <c r="F44" s="20"/>
      <c r="G44" s="20"/>
      <c r="H44" s="14"/>
      <c r="I44" s="1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customHeight="1">
      <c r="A45" s="47">
        <v>45696</v>
      </c>
      <c r="B45" s="38">
        <v>1000</v>
      </c>
      <c r="C45" s="24"/>
      <c r="D45" s="38" t="s">
        <v>62</v>
      </c>
      <c r="E45" s="8">
        <f t="shared" si="0"/>
        <v>18028</v>
      </c>
      <c r="F45" s="20"/>
      <c r="G45" s="20"/>
      <c r="H45" s="14"/>
      <c r="I45" s="1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customHeight="1">
      <c r="A46" s="47">
        <v>45696</v>
      </c>
      <c r="B46" s="38">
        <v>5000</v>
      </c>
      <c r="C46" s="24"/>
      <c r="D46" s="38" t="s">
        <v>63</v>
      </c>
      <c r="E46" s="8">
        <f t="shared" si="0"/>
        <v>13028</v>
      </c>
      <c r="F46" s="20"/>
      <c r="G46" s="20"/>
      <c r="H46" s="14"/>
      <c r="I46" s="1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8.75" customHeight="1">
      <c r="A47" s="47">
        <v>45696</v>
      </c>
      <c r="B47" s="38">
        <v>1000</v>
      </c>
      <c r="C47" s="24"/>
      <c r="D47" s="38" t="s">
        <v>64</v>
      </c>
      <c r="E47" s="8">
        <f t="shared" si="0"/>
        <v>12028</v>
      </c>
      <c r="F47" s="20"/>
      <c r="G47" s="49"/>
      <c r="H47" s="14"/>
      <c r="I47" s="1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customHeight="1">
      <c r="A48" s="37" t="s">
        <v>65</v>
      </c>
      <c r="B48" s="37">
        <v>1000</v>
      </c>
      <c r="C48" s="35"/>
      <c r="D48" s="37" t="s">
        <v>52</v>
      </c>
      <c r="E48" s="8">
        <f t="shared" si="0"/>
        <v>11028</v>
      </c>
      <c r="F48" s="20"/>
      <c r="G48" s="20"/>
      <c r="H48" s="14"/>
      <c r="I48" s="1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customHeight="1">
      <c r="A49" s="37" t="s">
        <v>66</v>
      </c>
      <c r="B49" s="38">
        <v>1000</v>
      </c>
      <c r="C49" s="50"/>
      <c r="D49" s="38" t="s">
        <v>52</v>
      </c>
      <c r="E49" s="8">
        <f t="shared" si="0"/>
        <v>10028</v>
      </c>
      <c r="F49" s="20"/>
      <c r="G49" s="20"/>
      <c r="H49" s="14"/>
      <c r="I49" s="1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customHeight="1">
      <c r="A50" s="41" t="s">
        <v>66</v>
      </c>
      <c r="B50" s="41">
        <v>400</v>
      </c>
      <c r="C50" s="35"/>
      <c r="D50" s="35" t="s">
        <v>67</v>
      </c>
      <c r="E50" s="8">
        <f t="shared" si="0"/>
        <v>9628</v>
      </c>
      <c r="F50" s="20"/>
      <c r="G50" s="20"/>
      <c r="H50" s="14"/>
      <c r="I50" s="1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customHeight="1">
      <c r="A51" s="37" t="s">
        <v>66</v>
      </c>
      <c r="B51" s="38">
        <v>5860</v>
      </c>
      <c r="C51" s="24"/>
      <c r="D51" s="38" t="s">
        <v>68</v>
      </c>
      <c r="E51" s="8">
        <f t="shared" si="0"/>
        <v>3768</v>
      </c>
      <c r="F51" s="20"/>
      <c r="G51" s="20"/>
      <c r="H51" s="14"/>
      <c r="I51" s="1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customHeight="1">
      <c r="A52" s="37" t="s">
        <v>69</v>
      </c>
      <c r="B52" s="44"/>
      <c r="C52" s="31">
        <v>10000</v>
      </c>
      <c r="D52" s="44" t="s">
        <v>70</v>
      </c>
      <c r="E52" s="8">
        <f t="shared" si="0"/>
        <v>13768</v>
      </c>
      <c r="F52" s="20"/>
      <c r="G52" s="20"/>
      <c r="H52" s="14"/>
      <c r="I52" s="1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customHeight="1">
      <c r="A53" s="37" t="s">
        <v>71</v>
      </c>
      <c r="B53" s="38">
        <v>1000</v>
      </c>
      <c r="C53" s="24"/>
      <c r="D53" s="38" t="s">
        <v>72</v>
      </c>
      <c r="E53" s="8">
        <f t="shared" si="0"/>
        <v>12768</v>
      </c>
      <c r="F53" s="20"/>
      <c r="G53" s="26"/>
      <c r="H53" s="14"/>
      <c r="I53" s="1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.75" customHeight="1">
      <c r="A54" s="41" t="s">
        <v>71</v>
      </c>
      <c r="B54" s="42">
        <v>250</v>
      </c>
      <c r="C54" s="24"/>
      <c r="D54" s="24" t="s">
        <v>73</v>
      </c>
      <c r="E54" s="8">
        <f t="shared" si="0"/>
        <v>12518</v>
      </c>
      <c r="F54" s="20"/>
      <c r="G54" s="20"/>
      <c r="H54" s="14"/>
      <c r="I54" s="1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.75" customHeight="1">
      <c r="A55" s="41" t="s">
        <v>74</v>
      </c>
      <c r="B55" s="46"/>
      <c r="C55" s="31">
        <v>50000</v>
      </c>
      <c r="D55" s="31" t="s">
        <v>75</v>
      </c>
      <c r="E55" s="8">
        <f t="shared" si="0"/>
        <v>62518</v>
      </c>
      <c r="F55" s="20"/>
      <c r="G55" s="20"/>
      <c r="H55" s="14"/>
      <c r="I55" s="1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.75" customHeight="1">
      <c r="A56" s="37" t="s">
        <v>74</v>
      </c>
      <c r="B56" s="38">
        <v>50000</v>
      </c>
      <c r="C56" s="24"/>
      <c r="D56" s="38" t="s">
        <v>76</v>
      </c>
      <c r="E56" s="8">
        <f t="shared" si="0"/>
        <v>12518</v>
      </c>
      <c r="F56" s="20"/>
      <c r="G56" s="20"/>
      <c r="H56" s="14"/>
      <c r="I56" s="1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.75" customHeight="1">
      <c r="A57" s="41" t="s">
        <v>77</v>
      </c>
      <c r="B57" s="42">
        <v>6000</v>
      </c>
      <c r="C57" s="24"/>
      <c r="D57" s="24" t="s">
        <v>78</v>
      </c>
      <c r="E57" s="8">
        <f t="shared" si="0"/>
        <v>6518</v>
      </c>
      <c r="F57" s="20"/>
      <c r="G57" s="26"/>
      <c r="H57" s="14"/>
      <c r="I57" s="1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.75" customHeight="1">
      <c r="A58" s="37" t="s">
        <v>77</v>
      </c>
      <c r="B58" s="38">
        <v>1000</v>
      </c>
      <c r="C58" s="24"/>
      <c r="D58" s="38" t="s">
        <v>79</v>
      </c>
      <c r="E58" s="8">
        <f t="shared" si="0"/>
        <v>5518</v>
      </c>
      <c r="F58" s="20"/>
      <c r="G58" s="26"/>
      <c r="H58" s="14"/>
      <c r="I58" s="1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.75" customHeight="1">
      <c r="A59" s="37" t="s">
        <v>77</v>
      </c>
      <c r="B59" s="38">
        <v>5000</v>
      </c>
      <c r="C59" s="24"/>
      <c r="D59" s="38" t="s">
        <v>80</v>
      </c>
      <c r="E59" s="8">
        <f t="shared" si="0"/>
        <v>518</v>
      </c>
      <c r="F59" s="20"/>
      <c r="G59" s="20"/>
      <c r="H59" s="14"/>
      <c r="I59" s="1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.75" customHeight="1">
      <c r="A60" s="37" t="s">
        <v>81</v>
      </c>
      <c r="B60" s="44"/>
      <c r="C60" s="31">
        <v>10000</v>
      </c>
      <c r="D60" s="44" t="s">
        <v>60</v>
      </c>
      <c r="E60" s="8">
        <f t="shared" si="0"/>
        <v>10518</v>
      </c>
      <c r="F60" s="20"/>
      <c r="G60" s="20"/>
      <c r="H60" s="51"/>
      <c r="I60" s="1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.75" customHeight="1">
      <c r="A61" s="37" t="s">
        <v>81</v>
      </c>
      <c r="B61" s="38">
        <v>3000</v>
      </c>
      <c r="C61" s="7"/>
      <c r="D61" s="38" t="s">
        <v>82</v>
      </c>
      <c r="E61" s="8">
        <f t="shared" si="0"/>
        <v>7518</v>
      </c>
      <c r="F61" s="20"/>
      <c r="G61" s="20"/>
      <c r="H61" s="51"/>
      <c r="I61" s="1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.75" customHeight="1">
      <c r="A62" s="37" t="s">
        <v>83</v>
      </c>
      <c r="B62" s="38">
        <v>2000</v>
      </c>
      <c r="C62" s="24"/>
      <c r="D62" s="38" t="s">
        <v>84</v>
      </c>
      <c r="E62" s="8">
        <f t="shared" si="0"/>
        <v>5518</v>
      </c>
      <c r="F62" s="20"/>
      <c r="G62" s="20"/>
      <c r="H62" s="51"/>
      <c r="I62" s="14"/>
      <c r="J62" s="5"/>
      <c r="K62" s="5"/>
      <c r="L62" s="25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.75" customHeight="1">
      <c r="A63" s="37" t="s">
        <v>83</v>
      </c>
      <c r="B63" s="24">
        <v>1000</v>
      </c>
      <c r="C63" s="24"/>
      <c r="D63" s="24" t="s">
        <v>52</v>
      </c>
      <c r="E63" s="8">
        <f t="shared" si="0"/>
        <v>4518</v>
      </c>
      <c r="F63" s="20"/>
      <c r="G63" s="20"/>
      <c r="H63" s="14"/>
      <c r="I63" s="1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.75" customHeight="1">
      <c r="A64" s="37" t="s">
        <v>85</v>
      </c>
      <c r="B64" s="44"/>
      <c r="C64" s="31">
        <v>100000</v>
      </c>
      <c r="D64" s="19" t="s">
        <v>75</v>
      </c>
      <c r="E64" s="8">
        <f t="shared" si="0"/>
        <v>104518</v>
      </c>
      <c r="F64" s="20"/>
      <c r="G64" s="20"/>
      <c r="H64" s="14"/>
      <c r="I64" s="1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.75" customHeight="1">
      <c r="A65" s="37" t="s">
        <v>85</v>
      </c>
      <c r="B65" s="38">
        <v>26263</v>
      </c>
      <c r="C65" s="24"/>
      <c r="D65" s="38" t="s">
        <v>86</v>
      </c>
      <c r="E65" s="8">
        <f t="shared" si="0"/>
        <v>78255</v>
      </c>
      <c r="F65" s="20"/>
      <c r="G65" s="20"/>
      <c r="H65" s="14"/>
      <c r="I65" s="1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.75" customHeight="1">
      <c r="A66" s="37" t="s">
        <v>87</v>
      </c>
      <c r="B66" s="44"/>
      <c r="C66" s="31">
        <v>70600</v>
      </c>
      <c r="D66" s="44" t="s">
        <v>75</v>
      </c>
      <c r="E66" s="8">
        <f t="shared" si="0"/>
        <v>148855</v>
      </c>
      <c r="F66" s="20"/>
      <c r="G66" s="20"/>
      <c r="H66" s="14"/>
      <c r="I66" s="1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.75" customHeight="1">
      <c r="A67" s="37" t="s">
        <v>87</v>
      </c>
      <c r="B67" s="38">
        <v>2000</v>
      </c>
      <c r="C67" s="38"/>
      <c r="D67" s="38" t="s">
        <v>80</v>
      </c>
      <c r="E67" s="8">
        <f t="shared" si="0"/>
        <v>146855</v>
      </c>
      <c r="F67" s="20"/>
      <c r="G67" s="20"/>
      <c r="H67" s="14"/>
      <c r="I67" s="1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.75" customHeight="1">
      <c r="A68" s="41" t="s">
        <v>87</v>
      </c>
      <c r="B68" s="24">
        <v>100000</v>
      </c>
      <c r="C68" s="24"/>
      <c r="D68" s="24" t="s">
        <v>76</v>
      </c>
      <c r="E68" s="8">
        <f t="shared" si="0"/>
        <v>46855</v>
      </c>
      <c r="F68" s="20"/>
      <c r="G68" s="20"/>
      <c r="H68" s="14"/>
      <c r="I68" s="1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.75" customHeight="1">
      <c r="A69" s="37" t="s">
        <v>87</v>
      </c>
      <c r="B69" s="38">
        <v>1500</v>
      </c>
      <c r="C69" s="24"/>
      <c r="D69" s="38" t="s">
        <v>45</v>
      </c>
      <c r="E69" s="8">
        <f t="shared" si="0"/>
        <v>45355</v>
      </c>
      <c r="F69" s="20"/>
      <c r="G69" s="20"/>
      <c r="H69" s="14"/>
      <c r="I69" s="1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.75" customHeight="1">
      <c r="A70" s="22" t="s">
        <v>88</v>
      </c>
      <c r="B70" s="23">
        <v>4000</v>
      </c>
      <c r="C70" s="24"/>
      <c r="D70" s="7" t="s">
        <v>46</v>
      </c>
      <c r="E70" s="8">
        <f t="shared" si="0"/>
        <v>41355</v>
      </c>
      <c r="F70" s="52"/>
      <c r="G70" s="26"/>
      <c r="H70" s="14"/>
      <c r="I70" s="1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.75" customHeight="1">
      <c r="A71" s="15">
        <v>45721</v>
      </c>
      <c r="B71" s="23">
        <v>1000</v>
      </c>
      <c r="C71" s="24"/>
      <c r="D71" s="7" t="s">
        <v>89</v>
      </c>
      <c r="E71" s="8">
        <f t="shared" si="0"/>
        <v>40355</v>
      </c>
      <c r="F71" s="20"/>
      <c r="G71" s="20"/>
      <c r="H71" s="14"/>
      <c r="I71" s="1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.75" customHeight="1">
      <c r="A72" s="47">
        <v>45726</v>
      </c>
      <c r="B72" s="38">
        <v>2000</v>
      </c>
      <c r="C72" s="24"/>
      <c r="D72" s="38" t="s">
        <v>90</v>
      </c>
      <c r="E72" s="8">
        <f t="shared" si="0"/>
        <v>38355</v>
      </c>
      <c r="F72" s="20"/>
      <c r="G72" s="26"/>
      <c r="H72" s="14"/>
      <c r="I72" s="1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.75" customHeight="1">
      <c r="A73" s="47">
        <v>45726</v>
      </c>
      <c r="B73" s="37">
        <v>500</v>
      </c>
      <c r="C73" s="35"/>
      <c r="D73" s="37" t="s">
        <v>91</v>
      </c>
      <c r="E73" s="8">
        <f t="shared" si="0"/>
        <v>37855</v>
      </c>
      <c r="F73" s="20"/>
      <c r="G73" s="20"/>
      <c r="H73" s="14"/>
      <c r="I73" s="1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.75" customHeight="1">
      <c r="A74" s="53">
        <v>45726</v>
      </c>
      <c r="B74" s="23">
        <v>1000</v>
      </c>
      <c r="C74" s="24"/>
      <c r="D74" s="7" t="s">
        <v>92</v>
      </c>
      <c r="E74" s="8">
        <f t="shared" si="0"/>
        <v>36855</v>
      </c>
      <c r="F74" s="20"/>
      <c r="G74" s="20"/>
      <c r="H74" s="14"/>
      <c r="I74" s="1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.75" customHeight="1">
      <c r="A75" s="53">
        <v>45727</v>
      </c>
      <c r="B75" s="23">
        <v>300</v>
      </c>
      <c r="C75" s="24"/>
      <c r="D75" s="24" t="s">
        <v>89</v>
      </c>
      <c r="E75" s="8">
        <f t="shared" si="0"/>
        <v>36555</v>
      </c>
      <c r="F75" s="20"/>
      <c r="G75" s="20"/>
      <c r="H75" s="14"/>
      <c r="I75" s="1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.75" customHeight="1">
      <c r="A76" s="53">
        <v>45727</v>
      </c>
      <c r="B76" s="23">
        <v>8000</v>
      </c>
      <c r="C76" s="24"/>
      <c r="D76" s="7" t="s">
        <v>93</v>
      </c>
      <c r="E76" s="8">
        <f t="shared" si="0"/>
        <v>28555</v>
      </c>
      <c r="F76" s="20"/>
      <c r="G76" s="20"/>
      <c r="H76" s="14"/>
      <c r="I76" s="1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.75" customHeight="1">
      <c r="A77" s="47">
        <v>45727</v>
      </c>
      <c r="B77" s="38">
        <v>1500</v>
      </c>
      <c r="C77" s="24"/>
      <c r="D77" s="7" t="s">
        <v>89</v>
      </c>
      <c r="E77" s="8">
        <f t="shared" si="0"/>
        <v>27055</v>
      </c>
      <c r="F77" s="20"/>
      <c r="G77" s="20"/>
      <c r="H77" s="14"/>
      <c r="I77" s="1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.75" customHeight="1">
      <c r="A78" s="47">
        <v>45727</v>
      </c>
      <c r="B78" s="40"/>
      <c r="C78" s="11">
        <v>19000</v>
      </c>
      <c r="D78" s="40" t="s">
        <v>94</v>
      </c>
      <c r="E78" s="8">
        <f t="shared" si="0"/>
        <v>46055</v>
      </c>
      <c r="F78" s="20"/>
      <c r="G78" s="20"/>
      <c r="H78" s="14"/>
      <c r="I78" s="1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.75" customHeight="1">
      <c r="A79" s="47">
        <v>45729</v>
      </c>
      <c r="B79" s="37">
        <v>300</v>
      </c>
      <c r="C79" s="35"/>
      <c r="D79" s="37" t="s">
        <v>95</v>
      </c>
      <c r="E79" s="8">
        <f t="shared" si="0"/>
        <v>45755</v>
      </c>
      <c r="F79" s="20"/>
      <c r="G79" s="20"/>
      <c r="H79" s="14"/>
      <c r="I79" s="1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.75" customHeight="1">
      <c r="A80" s="47">
        <v>45730</v>
      </c>
      <c r="B80" s="38">
        <v>1000</v>
      </c>
      <c r="C80" s="24"/>
      <c r="D80" s="38" t="s">
        <v>89</v>
      </c>
      <c r="E80" s="8">
        <f t="shared" si="0"/>
        <v>44755</v>
      </c>
      <c r="F80" s="20"/>
      <c r="G80" s="20"/>
      <c r="H80" s="14"/>
      <c r="I80" s="1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.75" customHeight="1">
      <c r="A81" s="37" t="s">
        <v>96</v>
      </c>
      <c r="B81" s="38">
        <v>1914</v>
      </c>
      <c r="C81" s="24"/>
      <c r="D81" s="38" t="s">
        <v>97</v>
      </c>
      <c r="E81" s="8">
        <f t="shared" si="0"/>
        <v>42841</v>
      </c>
      <c r="F81" s="20"/>
      <c r="G81" s="20"/>
      <c r="H81" s="14"/>
      <c r="I81" s="1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.75" customHeight="1">
      <c r="A82" s="47">
        <v>45736</v>
      </c>
      <c r="B82" s="38">
        <v>1000</v>
      </c>
      <c r="C82" s="24"/>
      <c r="D82" s="38" t="s">
        <v>98</v>
      </c>
      <c r="E82" s="8">
        <f t="shared" si="0"/>
        <v>41841</v>
      </c>
      <c r="F82" s="20"/>
      <c r="G82" s="28"/>
      <c r="H82" s="14"/>
      <c r="I82" s="1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.75" customHeight="1">
      <c r="A83" s="47">
        <v>45738</v>
      </c>
      <c r="B83" s="38">
        <v>870</v>
      </c>
      <c r="C83" s="24"/>
      <c r="D83" s="38" t="s">
        <v>99</v>
      </c>
      <c r="E83" s="8">
        <f t="shared" si="0"/>
        <v>40971</v>
      </c>
      <c r="F83" s="20"/>
      <c r="G83" s="20"/>
      <c r="H83" s="14"/>
      <c r="I83" s="1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.75" customHeight="1">
      <c r="A84" s="37" t="s">
        <v>100</v>
      </c>
      <c r="B84" s="38">
        <v>200</v>
      </c>
      <c r="C84" s="24"/>
      <c r="D84" s="38" t="s">
        <v>89</v>
      </c>
      <c r="E84" s="8">
        <f t="shared" si="0"/>
        <v>40771</v>
      </c>
      <c r="F84" s="20"/>
      <c r="G84" s="20"/>
      <c r="H84" s="14"/>
      <c r="I84" s="1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.75" customHeight="1">
      <c r="A85" s="41" t="s">
        <v>100</v>
      </c>
      <c r="B85" s="24">
        <v>500</v>
      </c>
      <c r="C85" s="35"/>
      <c r="D85" s="24" t="s">
        <v>101</v>
      </c>
      <c r="E85" s="8">
        <f t="shared" si="0"/>
        <v>40271</v>
      </c>
      <c r="F85" s="20"/>
      <c r="G85" s="20"/>
      <c r="H85" s="14"/>
      <c r="I85" s="1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.75" customHeight="1">
      <c r="A86" s="41" t="s">
        <v>100</v>
      </c>
      <c r="B86" s="24">
        <v>960</v>
      </c>
      <c r="C86" s="24"/>
      <c r="D86" s="24" t="s">
        <v>102</v>
      </c>
      <c r="E86" s="8">
        <f t="shared" si="0"/>
        <v>39311</v>
      </c>
      <c r="F86" s="20"/>
      <c r="G86" s="20"/>
      <c r="H86" s="14"/>
      <c r="I86" s="1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.75" customHeight="1">
      <c r="A87" s="45">
        <v>45740</v>
      </c>
      <c r="B87" s="24">
        <v>200</v>
      </c>
      <c r="C87" s="24"/>
      <c r="D87" s="24" t="s">
        <v>89</v>
      </c>
      <c r="E87" s="8">
        <f t="shared" si="0"/>
        <v>39111</v>
      </c>
      <c r="F87" s="20"/>
      <c r="G87" s="20"/>
      <c r="H87" s="14"/>
      <c r="I87" s="1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.75" customHeight="1">
      <c r="A88" s="45">
        <v>45740</v>
      </c>
      <c r="B88" s="24">
        <v>200</v>
      </c>
      <c r="C88" s="35"/>
      <c r="D88" s="24" t="s">
        <v>103</v>
      </c>
      <c r="E88" s="8">
        <f t="shared" si="0"/>
        <v>38911</v>
      </c>
      <c r="F88" s="20"/>
      <c r="G88" s="20"/>
      <c r="H88" s="14"/>
      <c r="I88" s="1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.75" customHeight="1">
      <c r="A89" s="45">
        <v>45740</v>
      </c>
      <c r="B89" s="24">
        <v>2260</v>
      </c>
      <c r="C89" s="24"/>
      <c r="D89" s="24" t="s">
        <v>104</v>
      </c>
      <c r="E89" s="8">
        <f t="shared" si="0"/>
        <v>36651</v>
      </c>
      <c r="F89" s="20"/>
      <c r="G89" s="20"/>
      <c r="H89" s="14"/>
      <c r="I89" s="1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.75" customHeight="1">
      <c r="A90" s="45">
        <v>45740</v>
      </c>
      <c r="B90" s="46"/>
      <c r="C90" s="55">
        <v>3000</v>
      </c>
      <c r="D90" s="46" t="s">
        <v>94</v>
      </c>
      <c r="E90" s="8">
        <f t="shared" si="0"/>
        <v>39651</v>
      </c>
      <c r="F90" s="20"/>
      <c r="G90" s="26"/>
      <c r="H90" s="14"/>
      <c r="I90" s="1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.75" customHeight="1">
      <c r="A91" s="45">
        <v>45740</v>
      </c>
      <c r="B91" s="24">
        <v>3117</v>
      </c>
      <c r="C91" s="24"/>
      <c r="D91" s="24" t="s">
        <v>105</v>
      </c>
      <c r="E91" s="8">
        <f t="shared" si="0"/>
        <v>36534</v>
      </c>
      <c r="F91" s="20"/>
      <c r="G91" s="20"/>
      <c r="H91" s="14"/>
      <c r="I91" s="1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.75" customHeight="1">
      <c r="A92" s="45">
        <v>45740</v>
      </c>
      <c r="B92" s="35">
        <v>2700</v>
      </c>
      <c r="C92" s="35"/>
      <c r="D92" s="35" t="s">
        <v>106</v>
      </c>
      <c r="E92" s="8">
        <f t="shared" si="0"/>
        <v>33834</v>
      </c>
      <c r="F92" s="264"/>
      <c r="G92" s="259"/>
      <c r="H92" s="14"/>
      <c r="I92" s="1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.75" customHeight="1">
      <c r="A93" s="41" t="s">
        <v>107</v>
      </c>
      <c r="B93" s="11"/>
      <c r="C93" s="56">
        <v>5000</v>
      </c>
      <c r="D93" s="11" t="s">
        <v>94</v>
      </c>
      <c r="E93" s="8">
        <f t="shared" si="0"/>
        <v>38834</v>
      </c>
      <c r="F93" s="20"/>
      <c r="G93" s="20"/>
      <c r="H93" s="14"/>
      <c r="I93" s="1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.75" customHeight="1">
      <c r="A94" s="57" t="s">
        <v>108</v>
      </c>
      <c r="B94" s="58"/>
      <c r="C94" s="56">
        <f>500000+5600</f>
        <v>505600</v>
      </c>
      <c r="D94" s="56" t="s">
        <v>60</v>
      </c>
      <c r="E94" s="8">
        <f t="shared" si="0"/>
        <v>544434</v>
      </c>
      <c r="F94" s="20"/>
      <c r="G94" s="20"/>
      <c r="H94" s="14"/>
      <c r="I94" s="1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.75" customHeight="1">
      <c r="A95" s="29" t="s">
        <v>108</v>
      </c>
      <c r="B95" s="24">
        <v>463564</v>
      </c>
      <c r="C95" s="59"/>
      <c r="D95" s="7" t="s">
        <v>109</v>
      </c>
      <c r="E95" s="8">
        <f t="shared" si="0"/>
        <v>80870</v>
      </c>
      <c r="F95" s="20"/>
      <c r="G95" s="20"/>
      <c r="H95" s="14"/>
      <c r="I95" s="1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.75" customHeight="1">
      <c r="A96" s="29" t="s">
        <v>110</v>
      </c>
      <c r="B96" s="24">
        <v>500</v>
      </c>
      <c r="C96" s="59"/>
      <c r="D96" s="35" t="s">
        <v>111</v>
      </c>
      <c r="E96" s="8">
        <f t="shared" si="0"/>
        <v>80370</v>
      </c>
      <c r="F96" s="20"/>
      <c r="G96" s="20"/>
      <c r="H96" s="14"/>
      <c r="I96" s="1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.75" customHeight="1">
      <c r="A97" s="29" t="s">
        <v>112</v>
      </c>
      <c r="B97" s="24">
        <v>540</v>
      </c>
      <c r="C97" s="59"/>
      <c r="D97" s="24" t="s">
        <v>113</v>
      </c>
      <c r="E97" s="8">
        <f t="shared" si="0"/>
        <v>79830</v>
      </c>
      <c r="F97" s="20"/>
      <c r="G97" s="20"/>
      <c r="H97" s="14"/>
      <c r="I97" s="1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.75" customHeight="1">
      <c r="A98" s="29" t="s">
        <v>114</v>
      </c>
      <c r="B98" s="24">
        <v>4000</v>
      </c>
      <c r="C98" s="59"/>
      <c r="D98" s="24" t="s">
        <v>115</v>
      </c>
      <c r="E98" s="8">
        <f t="shared" si="0"/>
        <v>75830</v>
      </c>
      <c r="F98" s="20"/>
      <c r="G98" s="20"/>
      <c r="H98" s="14"/>
      <c r="I98" s="1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.75" customHeight="1">
      <c r="A99" s="29" t="s">
        <v>114</v>
      </c>
      <c r="B99" s="24">
        <v>1000</v>
      </c>
      <c r="C99" s="59"/>
      <c r="D99" s="35" t="s">
        <v>111</v>
      </c>
      <c r="E99" s="8">
        <f t="shared" si="0"/>
        <v>74830</v>
      </c>
      <c r="F99" s="20"/>
      <c r="G99" s="20"/>
      <c r="H99" s="14"/>
      <c r="I99" s="1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.75" customHeight="1">
      <c r="A100" s="41" t="s">
        <v>116</v>
      </c>
      <c r="B100" s="24">
        <v>295</v>
      </c>
      <c r="C100" s="59"/>
      <c r="D100" s="24" t="s">
        <v>113</v>
      </c>
      <c r="E100" s="8">
        <f t="shared" si="0"/>
        <v>74535</v>
      </c>
      <c r="F100" s="20"/>
      <c r="G100" s="20"/>
      <c r="H100" s="14"/>
      <c r="I100" s="1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>
      <c r="A101" s="41" t="s">
        <v>116</v>
      </c>
      <c r="B101" s="58"/>
      <c r="C101" s="58"/>
      <c r="D101" s="58"/>
      <c r="E101" s="8">
        <f t="shared" si="0"/>
        <v>74535</v>
      </c>
      <c r="F101" s="20"/>
      <c r="G101" s="20"/>
      <c r="H101" s="14"/>
      <c r="I101" s="1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>
      <c r="A102" s="29" t="s">
        <v>116</v>
      </c>
      <c r="B102" s="58"/>
      <c r="C102" s="60">
        <v>15000</v>
      </c>
      <c r="D102" s="11" t="s">
        <v>94</v>
      </c>
      <c r="E102" s="8">
        <f t="shared" si="0"/>
        <v>89535</v>
      </c>
      <c r="F102" s="20"/>
      <c r="G102" s="20"/>
      <c r="H102" s="14"/>
      <c r="I102" s="1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.75" customHeight="1">
      <c r="A103" s="29" t="s">
        <v>116</v>
      </c>
      <c r="B103" s="24">
        <v>89890</v>
      </c>
      <c r="C103" s="35"/>
      <c r="D103" s="35" t="s">
        <v>117</v>
      </c>
      <c r="E103" s="8">
        <f t="shared" si="0"/>
        <v>-355</v>
      </c>
      <c r="F103" s="20"/>
      <c r="G103" s="28"/>
      <c r="H103" s="14"/>
      <c r="I103" s="1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.75" customHeight="1">
      <c r="A104" s="29" t="s">
        <v>116</v>
      </c>
      <c r="B104" s="59"/>
      <c r="C104" s="24">
        <v>5586</v>
      </c>
      <c r="D104" s="55" t="s">
        <v>60</v>
      </c>
      <c r="E104" s="8">
        <f t="shared" si="0"/>
        <v>5231</v>
      </c>
      <c r="F104" s="20"/>
      <c r="G104" s="26"/>
      <c r="H104" s="14"/>
      <c r="I104" s="1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.75" customHeight="1">
      <c r="A105" s="29" t="s">
        <v>116</v>
      </c>
      <c r="B105" s="24">
        <v>5586</v>
      </c>
      <c r="C105" s="59"/>
      <c r="D105" s="24" t="s">
        <v>118</v>
      </c>
      <c r="E105" s="8">
        <f t="shared" si="0"/>
        <v>-355</v>
      </c>
      <c r="F105" s="20"/>
      <c r="G105" s="20"/>
      <c r="H105" s="14"/>
      <c r="I105" s="1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.75" customHeight="1">
      <c r="A106" s="29" t="s">
        <v>119</v>
      </c>
      <c r="B106" s="59"/>
      <c r="C106" s="24">
        <v>1000</v>
      </c>
      <c r="D106" s="55" t="s">
        <v>60</v>
      </c>
      <c r="E106" s="8">
        <f t="shared" si="0"/>
        <v>645</v>
      </c>
      <c r="F106" s="39"/>
      <c r="G106" s="28"/>
      <c r="H106" s="14"/>
      <c r="I106" s="1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.75" customHeight="1">
      <c r="A107" s="41" t="s">
        <v>119</v>
      </c>
      <c r="B107" s="24">
        <v>150</v>
      </c>
      <c r="C107" s="59"/>
      <c r="D107" s="24" t="s">
        <v>120</v>
      </c>
      <c r="E107" s="8">
        <f t="shared" si="0"/>
        <v>495</v>
      </c>
      <c r="F107" s="20"/>
      <c r="G107" s="20"/>
      <c r="H107" s="14"/>
      <c r="I107" s="1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.75" customHeight="1">
      <c r="A108" s="41" t="s">
        <v>119</v>
      </c>
      <c r="B108" s="24">
        <v>100</v>
      </c>
      <c r="C108" s="59"/>
      <c r="D108" s="24" t="s">
        <v>121</v>
      </c>
      <c r="E108" s="8">
        <f t="shared" si="0"/>
        <v>395</v>
      </c>
      <c r="F108" s="20"/>
      <c r="G108" s="20"/>
      <c r="H108" s="14"/>
      <c r="I108" s="1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.75" customHeight="1">
      <c r="A109" s="41" t="s">
        <v>119</v>
      </c>
      <c r="B109" s="24">
        <v>296</v>
      </c>
      <c r="C109" s="59"/>
      <c r="D109" s="24" t="s">
        <v>122</v>
      </c>
      <c r="E109" s="8">
        <f t="shared" si="0"/>
        <v>99</v>
      </c>
      <c r="F109" s="20"/>
      <c r="G109" s="26"/>
      <c r="H109" s="14"/>
      <c r="I109" s="1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.75" customHeight="1">
      <c r="A110" s="41" t="s">
        <v>119</v>
      </c>
      <c r="B110" s="24">
        <v>95</v>
      </c>
      <c r="C110" s="59"/>
      <c r="D110" s="24" t="s">
        <v>123</v>
      </c>
      <c r="E110" s="8">
        <f t="shared" si="0"/>
        <v>4</v>
      </c>
      <c r="F110" s="20"/>
      <c r="G110" s="20"/>
      <c r="H110" s="14"/>
      <c r="I110" s="1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.75" customHeight="1">
      <c r="A111" s="41" t="s">
        <v>119</v>
      </c>
      <c r="B111" s="24">
        <v>200</v>
      </c>
      <c r="C111" s="59"/>
      <c r="D111" s="35" t="s">
        <v>124</v>
      </c>
      <c r="E111" s="8">
        <f t="shared" si="0"/>
        <v>-196</v>
      </c>
      <c r="F111" s="20"/>
      <c r="G111" s="20"/>
      <c r="H111" s="14"/>
      <c r="I111" s="1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.75" customHeight="1">
      <c r="A112" s="41" t="s">
        <v>119</v>
      </c>
      <c r="B112" s="24">
        <f>80+85</f>
        <v>165</v>
      </c>
      <c r="C112" s="59"/>
      <c r="D112" s="24" t="s">
        <v>122</v>
      </c>
      <c r="E112" s="8">
        <f t="shared" si="0"/>
        <v>-361</v>
      </c>
      <c r="F112" s="20"/>
      <c r="G112" s="20"/>
      <c r="H112" s="14"/>
      <c r="I112" s="1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.75" customHeight="1">
      <c r="A113" s="41" t="s">
        <v>125</v>
      </c>
      <c r="B113" s="59"/>
      <c r="C113" s="35">
        <v>6160</v>
      </c>
      <c r="D113" s="55" t="s">
        <v>60</v>
      </c>
      <c r="E113" s="8">
        <f t="shared" si="0"/>
        <v>5799</v>
      </c>
      <c r="F113" s="20"/>
      <c r="G113" s="20"/>
      <c r="H113" s="14"/>
      <c r="I113" s="1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.75" customHeight="1">
      <c r="A114" s="41" t="s">
        <v>125</v>
      </c>
      <c r="B114" s="24">
        <v>160</v>
      </c>
      <c r="C114" s="59"/>
      <c r="D114" s="24" t="s">
        <v>126</v>
      </c>
      <c r="E114" s="8">
        <f t="shared" si="0"/>
        <v>5639</v>
      </c>
      <c r="F114" s="20"/>
      <c r="G114" s="20"/>
      <c r="H114" s="14"/>
      <c r="I114" s="1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.75" customHeight="1">
      <c r="A115" s="41" t="s">
        <v>125</v>
      </c>
      <c r="B115" s="24">
        <f>90+428</f>
        <v>518</v>
      </c>
      <c r="C115" s="59"/>
      <c r="D115" s="24" t="s">
        <v>127</v>
      </c>
      <c r="E115" s="8">
        <f t="shared" si="0"/>
        <v>5121</v>
      </c>
      <c r="F115" s="52"/>
      <c r="G115" s="26"/>
      <c r="H115" s="14"/>
      <c r="I115" s="1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.75" customHeight="1">
      <c r="A116" s="41" t="s">
        <v>128</v>
      </c>
      <c r="B116" s="24">
        <v>3285</v>
      </c>
      <c r="C116" s="59"/>
      <c r="D116" s="35" t="s">
        <v>129</v>
      </c>
      <c r="E116" s="8">
        <f t="shared" si="0"/>
        <v>1836</v>
      </c>
      <c r="F116" s="20"/>
      <c r="G116" s="20"/>
      <c r="H116" s="14"/>
      <c r="I116" s="1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.75" customHeight="1">
      <c r="A117" s="41" t="s">
        <v>128</v>
      </c>
      <c r="B117" s="24">
        <v>1000</v>
      </c>
      <c r="C117" s="59"/>
      <c r="D117" s="24" t="s">
        <v>130</v>
      </c>
      <c r="E117" s="8">
        <f t="shared" si="0"/>
        <v>836</v>
      </c>
      <c r="F117" s="20"/>
      <c r="G117" s="20"/>
      <c r="H117" s="14"/>
      <c r="I117" s="1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.75" customHeight="1">
      <c r="A118" s="41" t="s">
        <v>128</v>
      </c>
      <c r="B118" s="24">
        <f>460+27.5</f>
        <v>487.5</v>
      </c>
      <c r="C118" s="59"/>
      <c r="D118" s="24" t="s">
        <v>122</v>
      </c>
      <c r="E118" s="8">
        <f t="shared" si="0"/>
        <v>348.5</v>
      </c>
      <c r="F118" s="20"/>
      <c r="G118" s="20"/>
      <c r="H118" s="14"/>
      <c r="I118" s="1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.75" customHeight="1">
      <c r="A119" s="45">
        <v>45770</v>
      </c>
      <c r="B119" s="24">
        <v>60</v>
      </c>
      <c r="C119" s="24"/>
      <c r="D119" s="24" t="s">
        <v>131</v>
      </c>
      <c r="E119" s="8">
        <f t="shared" si="0"/>
        <v>288.5</v>
      </c>
      <c r="F119" s="20"/>
      <c r="G119" s="26"/>
      <c r="H119" s="14"/>
      <c r="I119" s="1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.75" customHeight="1">
      <c r="A120" s="45">
        <v>45775</v>
      </c>
      <c r="B120" s="24">
        <v>370</v>
      </c>
      <c r="C120" s="24"/>
      <c r="D120" s="24" t="s">
        <v>132</v>
      </c>
      <c r="E120" s="8">
        <f t="shared" si="0"/>
        <v>-81.5</v>
      </c>
      <c r="F120" s="20"/>
      <c r="G120" s="20"/>
      <c r="H120" s="14"/>
      <c r="I120" s="1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.75" customHeight="1">
      <c r="A121" s="45">
        <v>45775</v>
      </c>
      <c r="B121" s="24"/>
      <c r="C121" s="35">
        <v>5000</v>
      </c>
      <c r="D121" s="11" t="s">
        <v>60</v>
      </c>
      <c r="E121" s="8">
        <f t="shared" si="0"/>
        <v>4918.5</v>
      </c>
      <c r="F121" s="20"/>
      <c r="G121" s="20"/>
      <c r="H121" s="14"/>
      <c r="I121" s="1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.75" customHeight="1">
      <c r="A122" s="45">
        <v>45775</v>
      </c>
      <c r="B122" s="24">
        <v>1000</v>
      </c>
      <c r="C122" s="24"/>
      <c r="D122" s="24" t="s">
        <v>133</v>
      </c>
      <c r="E122" s="8">
        <f t="shared" si="0"/>
        <v>3918.5</v>
      </c>
      <c r="F122" s="20"/>
      <c r="G122" s="20"/>
      <c r="H122" s="14"/>
      <c r="I122" s="1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.75" customHeight="1">
      <c r="A123" s="41" t="s">
        <v>134</v>
      </c>
      <c r="B123" s="24">
        <v>130</v>
      </c>
      <c r="C123" s="24"/>
      <c r="D123" s="24" t="s">
        <v>122</v>
      </c>
      <c r="E123" s="8">
        <f t="shared" si="0"/>
        <v>3788.5</v>
      </c>
      <c r="F123" s="20"/>
      <c r="G123" s="20"/>
      <c r="H123" s="14"/>
      <c r="I123" s="1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.75" customHeight="1">
      <c r="A124" s="41" t="s">
        <v>134</v>
      </c>
      <c r="B124" s="24">
        <v>800</v>
      </c>
      <c r="C124" s="24"/>
      <c r="D124" s="24" t="s">
        <v>135</v>
      </c>
      <c r="E124" s="8">
        <f t="shared" si="0"/>
        <v>2988.5</v>
      </c>
      <c r="F124" s="20"/>
      <c r="G124" s="20"/>
      <c r="H124" s="14"/>
      <c r="I124" s="1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.75" customHeight="1">
      <c r="A125" s="61" t="s">
        <v>136</v>
      </c>
      <c r="B125" s="62">
        <v>150</v>
      </c>
      <c r="C125" s="24"/>
      <c r="D125" s="63" t="s">
        <v>137</v>
      </c>
      <c r="E125" s="8">
        <f t="shared" si="0"/>
        <v>2838.5</v>
      </c>
      <c r="F125" s="20"/>
      <c r="G125" s="26"/>
      <c r="H125" s="14"/>
      <c r="I125" s="1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.75" customHeight="1">
      <c r="A126" s="41" t="s">
        <v>138</v>
      </c>
      <c r="B126" s="24">
        <v>700</v>
      </c>
      <c r="C126" s="59"/>
      <c r="D126" s="24" t="s">
        <v>139</v>
      </c>
      <c r="E126" s="8">
        <f t="shared" si="0"/>
        <v>2138.5</v>
      </c>
      <c r="F126" s="20"/>
      <c r="G126" s="20"/>
      <c r="H126" s="14"/>
      <c r="I126" s="1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.75" customHeight="1">
      <c r="A127" s="41" t="s">
        <v>138</v>
      </c>
      <c r="B127" s="24">
        <v>25</v>
      </c>
      <c r="C127" s="59"/>
      <c r="D127" s="24" t="s">
        <v>140</v>
      </c>
      <c r="E127" s="8">
        <f t="shared" si="0"/>
        <v>2113.5</v>
      </c>
      <c r="F127" s="20"/>
      <c r="G127" s="20"/>
      <c r="H127" s="14"/>
      <c r="I127" s="1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.75" customHeight="1">
      <c r="A128" s="41" t="s">
        <v>138</v>
      </c>
      <c r="B128" s="24">
        <v>500</v>
      </c>
      <c r="C128" s="35"/>
      <c r="D128" s="35" t="s">
        <v>141</v>
      </c>
      <c r="E128" s="8">
        <f t="shared" si="0"/>
        <v>1613.5</v>
      </c>
      <c r="F128" s="20"/>
      <c r="G128" s="26"/>
      <c r="H128" s="14"/>
      <c r="I128" s="1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.75" customHeight="1">
      <c r="A129" s="265"/>
      <c r="B129" s="258"/>
      <c r="C129" s="258"/>
      <c r="D129" s="259"/>
      <c r="E129" s="8">
        <f t="shared" si="0"/>
        <v>1613.5</v>
      </c>
      <c r="F129" s="39"/>
      <c r="G129" s="20"/>
      <c r="H129" s="14"/>
      <c r="I129" s="1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>
      <c r="A130" s="41" t="s">
        <v>138</v>
      </c>
      <c r="B130" s="59"/>
      <c r="C130" s="35">
        <v>300</v>
      </c>
      <c r="D130" s="11" t="s">
        <v>60</v>
      </c>
      <c r="E130" s="8">
        <f t="shared" si="0"/>
        <v>1913.5</v>
      </c>
      <c r="F130" s="20"/>
      <c r="G130" s="20"/>
      <c r="H130" s="14"/>
      <c r="I130" s="1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>
      <c r="A131" s="41" t="s">
        <v>138</v>
      </c>
      <c r="B131" s="24">
        <v>300</v>
      </c>
      <c r="C131" s="35"/>
      <c r="D131" s="24" t="s">
        <v>113</v>
      </c>
      <c r="E131" s="8">
        <f t="shared" si="0"/>
        <v>1613.5</v>
      </c>
      <c r="F131" s="20"/>
      <c r="G131" s="20"/>
      <c r="H131" s="14"/>
      <c r="I131" s="1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>
      <c r="A132" s="41" t="s">
        <v>138</v>
      </c>
      <c r="B132" s="59"/>
      <c r="C132" s="35">
        <v>5000</v>
      </c>
      <c r="D132" s="11" t="s">
        <v>60</v>
      </c>
      <c r="E132" s="8">
        <f t="shared" si="0"/>
        <v>6613.5</v>
      </c>
      <c r="F132" s="20"/>
      <c r="G132" s="20"/>
      <c r="H132" s="14"/>
      <c r="I132" s="1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>
      <c r="A133" s="41" t="s">
        <v>138</v>
      </c>
      <c r="B133" s="24">
        <v>5000</v>
      </c>
      <c r="C133" s="24"/>
      <c r="D133" s="24" t="s">
        <v>142</v>
      </c>
      <c r="E133" s="8">
        <f t="shared" si="0"/>
        <v>1613.5</v>
      </c>
      <c r="F133" s="20"/>
      <c r="G133" s="20"/>
      <c r="H133" s="14"/>
      <c r="I133" s="1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>
      <c r="A134" s="41" t="s">
        <v>138</v>
      </c>
      <c r="B134" s="59"/>
      <c r="C134" s="35">
        <v>20000</v>
      </c>
      <c r="D134" s="11" t="s">
        <v>60</v>
      </c>
      <c r="E134" s="8">
        <f t="shared" si="0"/>
        <v>21613.5</v>
      </c>
      <c r="F134" s="20"/>
      <c r="G134" s="20"/>
      <c r="H134" s="14"/>
      <c r="I134" s="1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>
      <c r="A135" s="41" t="s">
        <v>138</v>
      </c>
      <c r="B135" s="24">
        <v>200</v>
      </c>
      <c r="C135" s="24"/>
      <c r="D135" s="24" t="s">
        <v>143</v>
      </c>
      <c r="E135" s="8">
        <f t="shared" si="0"/>
        <v>21413.5</v>
      </c>
      <c r="F135" s="20"/>
      <c r="G135" s="20"/>
      <c r="H135" s="14"/>
      <c r="I135" s="1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>
      <c r="A136" s="57" t="s">
        <v>144</v>
      </c>
      <c r="B136" s="24">
        <v>459</v>
      </c>
      <c r="C136" s="24"/>
      <c r="D136" s="24" t="s">
        <v>122</v>
      </c>
      <c r="E136" s="8">
        <f t="shared" si="0"/>
        <v>20954.5</v>
      </c>
      <c r="F136" s="20"/>
      <c r="G136" s="20"/>
      <c r="H136" s="14"/>
      <c r="I136" s="1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>
      <c r="A137" s="41" t="s">
        <v>144</v>
      </c>
      <c r="B137" s="24">
        <v>300</v>
      </c>
      <c r="C137" s="24"/>
      <c r="D137" s="24" t="s">
        <v>130</v>
      </c>
      <c r="E137" s="8">
        <f t="shared" si="0"/>
        <v>20654.5</v>
      </c>
      <c r="F137" s="20"/>
      <c r="G137" s="20"/>
      <c r="H137" s="14"/>
      <c r="I137" s="1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>
      <c r="A138" s="41" t="s">
        <v>144</v>
      </c>
      <c r="B138" s="24">
        <v>150</v>
      </c>
      <c r="C138" s="24"/>
      <c r="D138" s="24" t="s">
        <v>145</v>
      </c>
      <c r="E138" s="8">
        <f t="shared" si="0"/>
        <v>20504.5</v>
      </c>
      <c r="F138" s="20"/>
      <c r="G138" s="20"/>
      <c r="H138" s="14"/>
      <c r="I138" s="1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>
      <c r="A139" s="41" t="s">
        <v>144</v>
      </c>
      <c r="B139" s="24">
        <v>95</v>
      </c>
      <c r="C139" s="24"/>
      <c r="D139" s="24" t="s">
        <v>146</v>
      </c>
      <c r="E139" s="8">
        <f t="shared" si="0"/>
        <v>20409.5</v>
      </c>
      <c r="F139" s="20"/>
      <c r="G139" s="20"/>
      <c r="H139" s="14"/>
      <c r="I139" s="1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>
      <c r="A140" s="41" t="s">
        <v>144</v>
      </c>
      <c r="B140" s="24">
        <v>1170</v>
      </c>
      <c r="C140" s="24"/>
      <c r="D140" s="24" t="s">
        <v>147</v>
      </c>
      <c r="E140" s="8">
        <f t="shared" si="0"/>
        <v>19239.5</v>
      </c>
      <c r="F140" s="20"/>
      <c r="G140" s="20"/>
      <c r="H140" s="14"/>
      <c r="I140" s="1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>
      <c r="A141" s="41" t="s">
        <v>144</v>
      </c>
      <c r="B141" s="24"/>
      <c r="C141" s="35">
        <v>10900</v>
      </c>
      <c r="D141" s="11" t="s">
        <v>60</v>
      </c>
      <c r="E141" s="8">
        <f t="shared" si="0"/>
        <v>30139.5</v>
      </c>
      <c r="F141" s="20"/>
      <c r="G141" s="20"/>
      <c r="H141" s="14"/>
      <c r="I141" s="1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>
      <c r="A142" s="41" t="s">
        <v>144</v>
      </c>
      <c r="B142" s="24">
        <v>3500</v>
      </c>
      <c r="C142" s="24"/>
      <c r="D142" s="24" t="s">
        <v>148</v>
      </c>
      <c r="E142" s="8">
        <f t="shared" si="0"/>
        <v>26639.5</v>
      </c>
      <c r="F142" s="20"/>
      <c r="G142" s="20"/>
      <c r="H142" s="14"/>
      <c r="I142" s="1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>
      <c r="A143" s="41" t="s">
        <v>144</v>
      </c>
      <c r="B143" s="24">
        <v>125</v>
      </c>
      <c r="C143" s="24"/>
      <c r="D143" s="24" t="s">
        <v>149</v>
      </c>
      <c r="E143" s="8">
        <f t="shared" si="0"/>
        <v>26514.5</v>
      </c>
      <c r="F143" s="20"/>
      <c r="G143" s="20"/>
      <c r="H143" s="14"/>
      <c r="I143" s="1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>
      <c r="A144" s="41" t="s">
        <v>144</v>
      </c>
      <c r="B144" s="24">
        <v>5000</v>
      </c>
      <c r="C144" s="24"/>
      <c r="D144" s="24" t="s">
        <v>150</v>
      </c>
      <c r="E144" s="8">
        <f t="shared" si="0"/>
        <v>21514.5</v>
      </c>
      <c r="F144" s="20"/>
      <c r="G144" s="20"/>
      <c r="H144" s="14"/>
      <c r="I144" s="1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>
      <c r="A145" s="41" t="s">
        <v>144</v>
      </c>
      <c r="B145" s="24">
        <v>2000</v>
      </c>
      <c r="C145" s="24"/>
      <c r="D145" s="24" t="s">
        <v>151</v>
      </c>
      <c r="E145" s="8">
        <f t="shared" si="0"/>
        <v>19514.5</v>
      </c>
      <c r="F145" s="20"/>
      <c r="G145" s="20"/>
      <c r="H145" s="14"/>
      <c r="I145" s="1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>
      <c r="A146" s="41" t="s">
        <v>144</v>
      </c>
      <c r="B146" s="24">
        <v>2835</v>
      </c>
      <c r="C146" s="24"/>
      <c r="D146" s="24" t="s">
        <v>152</v>
      </c>
      <c r="E146" s="8">
        <f t="shared" si="0"/>
        <v>16679.5</v>
      </c>
      <c r="F146" s="20"/>
      <c r="G146" s="20"/>
      <c r="H146" s="14"/>
      <c r="I146" s="1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>
      <c r="A147" s="41" t="s">
        <v>144</v>
      </c>
      <c r="B147" s="42">
        <v>4000</v>
      </c>
      <c r="C147" s="64"/>
      <c r="D147" s="42" t="s">
        <v>153</v>
      </c>
      <c r="E147" s="8">
        <f t="shared" si="0"/>
        <v>12679.5</v>
      </c>
      <c r="F147" s="20"/>
      <c r="G147" s="20"/>
      <c r="H147" s="14"/>
      <c r="I147" s="1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>
      <c r="A148" s="41" t="s">
        <v>144</v>
      </c>
      <c r="B148" s="24">
        <v>5000</v>
      </c>
      <c r="C148" s="35"/>
      <c r="D148" s="24" t="s">
        <v>154</v>
      </c>
      <c r="E148" s="8">
        <f t="shared" si="0"/>
        <v>7679.5</v>
      </c>
      <c r="F148" s="20"/>
      <c r="G148" s="20"/>
      <c r="H148" s="14"/>
      <c r="I148" s="1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>
      <c r="A149" s="41" t="s">
        <v>144</v>
      </c>
      <c r="B149" s="24">
        <v>1000</v>
      </c>
      <c r="C149" s="24"/>
      <c r="D149" s="24" t="s">
        <v>155</v>
      </c>
      <c r="E149" s="8">
        <f t="shared" si="0"/>
        <v>6679.5</v>
      </c>
      <c r="F149" s="20"/>
      <c r="G149" s="26"/>
      <c r="H149" s="14"/>
      <c r="I149" s="1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>
      <c r="A150" s="41" t="s">
        <v>144</v>
      </c>
      <c r="B150" s="24">
        <v>1000</v>
      </c>
      <c r="C150" s="24"/>
      <c r="D150" s="24" t="s">
        <v>156</v>
      </c>
      <c r="E150" s="8">
        <f t="shared" si="0"/>
        <v>5679.5</v>
      </c>
      <c r="F150" s="20"/>
      <c r="G150" s="28"/>
      <c r="H150" s="14"/>
      <c r="I150" s="1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>
      <c r="A151" s="41" t="s">
        <v>144</v>
      </c>
      <c r="B151" s="24">
        <v>30</v>
      </c>
      <c r="C151" s="24"/>
      <c r="D151" s="24" t="s">
        <v>157</v>
      </c>
      <c r="E151" s="8">
        <f t="shared" si="0"/>
        <v>5649.5</v>
      </c>
      <c r="F151" s="20"/>
      <c r="G151" s="20"/>
      <c r="H151" s="14"/>
      <c r="I151" s="1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>
      <c r="A152" s="41" t="s">
        <v>144</v>
      </c>
      <c r="B152" s="24">
        <v>845</v>
      </c>
      <c r="C152" s="24"/>
      <c r="D152" s="24" t="s">
        <v>158</v>
      </c>
      <c r="E152" s="8">
        <f t="shared" si="0"/>
        <v>4804.5</v>
      </c>
      <c r="F152" s="20"/>
      <c r="G152" s="20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 spans="1:29" ht="15.75" customHeight="1">
      <c r="A153" s="45">
        <v>45780</v>
      </c>
      <c r="B153" s="24">
        <v>300</v>
      </c>
      <c r="C153" s="24"/>
      <c r="D153" s="24" t="s">
        <v>132</v>
      </c>
      <c r="E153" s="8">
        <f t="shared" si="0"/>
        <v>4504.5</v>
      </c>
      <c r="F153" s="20"/>
      <c r="G153" s="20"/>
      <c r="H153" s="14"/>
      <c r="I153" s="1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>
      <c r="A154" s="41" t="s">
        <v>159</v>
      </c>
      <c r="B154" s="24">
        <v>156.5</v>
      </c>
      <c r="C154" s="24"/>
      <c r="D154" s="24" t="s">
        <v>160</v>
      </c>
      <c r="E154" s="8">
        <f t="shared" si="0"/>
        <v>4348</v>
      </c>
      <c r="F154" s="20"/>
      <c r="G154" s="20"/>
      <c r="H154" s="14"/>
      <c r="I154" s="1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>
      <c r="A155" s="41" t="s">
        <v>159</v>
      </c>
      <c r="B155" s="24">
        <v>24</v>
      </c>
      <c r="C155" s="24"/>
      <c r="D155" s="24" t="s">
        <v>161</v>
      </c>
      <c r="E155" s="8">
        <f t="shared" si="0"/>
        <v>4324</v>
      </c>
      <c r="F155" s="20"/>
      <c r="G155" s="28"/>
      <c r="H155" s="14"/>
      <c r="I155" s="1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>
      <c r="A156" s="41" t="s">
        <v>162</v>
      </c>
      <c r="B156" s="24">
        <v>1612</v>
      </c>
      <c r="C156" s="24"/>
      <c r="D156" s="24" t="s">
        <v>122</v>
      </c>
      <c r="E156" s="8">
        <f t="shared" si="0"/>
        <v>2712</v>
      </c>
      <c r="F156" s="20"/>
      <c r="G156" s="20"/>
      <c r="H156" s="14"/>
      <c r="I156" s="1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>
      <c r="A157" s="41" t="s">
        <v>162</v>
      </c>
      <c r="B157" s="24">
        <v>189</v>
      </c>
      <c r="C157" s="24"/>
      <c r="D157" s="24" t="s">
        <v>163</v>
      </c>
      <c r="E157" s="8">
        <f t="shared" si="0"/>
        <v>2523</v>
      </c>
      <c r="F157" s="20"/>
      <c r="G157" s="20"/>
      <c r="H157" s="14"/>
      <c r="I157" s="1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>
      <c r="A158" s="41" t="s">
        <v>162</v>
      </c>
      <c r="B158" s="24">
        <v>80</v>
      </c>
      <c r="C158" s="24"/>
      <c r="D158" s="24" t="s">
        <v>164</v>
      </c>
      <c r="E158" s="8">
        <f t="shared" si="0"/>
        <v>2443</v>
      </c>
      <c r="F158" s="20"/>
      <c r="G158" s="20"/>
      <c r="H158" s="14"/>
      <c r="I158" s="1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>
      <c r="A159" s="41" t="s">
        <v>162</v>
      </c>
      <c r="B159" s="24">
        <f>900+260</f>
        <v>1160</v>
      </c>
      <c r="C159" s="24"/>
      <c r="D159" s="24" t="s">
        <v>165</v>
      </c>
      <c r="E159" s="8">
        <f t="shared" si="0"/>
        <v>1283</v>
      </c>
      <c r="F159" s="20"/>
      <c r="G159" s="20"/>
      <c r="H159" s="14"/>
      <c r="I159" s="1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>
      <c r="A160" s="41" t="s">
        <v>162</v>
      </c>
      <c r="B160" s="24">
        <v>200</v>
      </c>
      <c r="C160" s="24"/>
      <c r="D160" s="24" t="s">
        <v>160</v>
      </c>
      <c r="E160" s="8">
        <f t="shared" si="0"/>
        <v>1083</v>
      </c>
      <c r="F160" s="20"/>
      <c r="G160" s="20"/>
      <c r="H160" s="14"/>
      <c r="I160" s="1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>
      <c r="A161" s="41" t="s">
        <v>166</v>
      </c>
      <c r="B161" s="24">
        <f>140+95+24</f>
        <v>259</v>
      </c>
      <c r="C161" s="24"/>
      <c r="D161" s="24" t="s">
        <v>122</v>
      </c>
      <c r="E161" s="8">
        <f t="shared" si="0"/>
        <v>824</v>
      </c>
      <c r="F161" s="20"/>
      <c r="G161" s="2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 spans="1:29" ht="15.75" customHeight="1">
      <c r="A162" s="41" t="s">
        <v>167</v>
      </c>
      <c r="B162" s="65">
        <v>390</v>
      </c>
      <c r="C162" s="65"/>
      <c r="D162" s="24" t="s">
        <v>122</v>
      </c>
      <c r="E162" s="8">
        <f t="shared" si="0"/>
        <v>434</v>
      </c>
      <c r="F162" s="20"/>
      <c r="G162" s="20"/>
      <c r="H162" s="14"/>
      <c r="I162" s="1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>
      <c r="A163" s="41" t="s">
        <v>167</v>
      </c>
      <c r="B163" s="65">
        <v>90</v>
      </c>
      <c r="C163" s="65"/>
      <c r="D163" s="65" t="s">
        <v>168</v>
      </c>
      <c r="E163" s="8">
        <f t="shared" si="0"/>
        <v>344</v>
      </c>
      <c r="F163" s="20"/>
      <c r="G163" s="26"/>
      <c r="H163" s="14"/>
      <c r="I163" s="1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>
      <c r="A164" s="41" t="s">
        <v>167</v>
      </c>
      <c r="B164" s="62">
        <v>500</v>
      </c>
      <c r="C164" s="62"/>
      <c r="D164" s="62" t="s">
        <v>169</v>
      </c>
      <c r="E164" s="8">
        <f t="shared" si="0"/>
        <v>-156</v>
      </c>
      <c r="F164" s="20"/>
      <c r="G164" s="20"/>
      <c r="H164" s="14"/>
      <c r="I164" s="1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>
      <c r="A165" s="41" t="s">
        <v>167</v>
      </c>
      <c r="B165" s="24">
        <v>180</v>
      </c>
      <c r="C165" s="24"/>
      <c r="D165" s="66" t="s">
        <v>170</v>
      </c>
      <c r="E165" s="8">
        <f t="shared" si="0"/>
        <v>-336</v>
      </c>
      <c r="F165" s="20"/>
      <c r="G165" s="20"/>
      <c r="H165" s="14"/>
      <c r="I165" s="1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>
      <c r="A166" s="41" t="s">
        <v>167</v>
      </c>
      <c r="B166" s="24">
        <v>110</v>
      </c>
      <c r="C166" s="24"/>
      <c r="D166" s="67" t="s">
        <v>171</v>
      </c>
      <c r="E166" s="8">
        <f t="shared" si="0"/>
        <v>-446</v>
      </c>
      <c r="F166" s="20"/>
      <c r="G166" s="20"/>
      <c r="H166" s="14"/>
      <c r="I166" s="1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>
      <c r="A167" s="41" t="s">
        <v>172</v>
      </c>
      <c r="B167" s="65">
        <v>156</v>
      </c>
      <c r="C167" s="65"/>
      <c r="D167" s="66" t="s">
        <v>132</v>
      </c>
      <c r="E167" s="8">
        <f t="shared" si="0"/>
        <v>-602</v>
      </c>
      <c r="F167" s="20"/>
      <c r="G167" s="20"/>
      <c r="H167" s="14"/>
      <c r="I167" s="1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>
      <c r="A168" s="41" t="s">
        <v>172</v>
      </c>
      <c r="B168" s="65">
        <v>45</v>
      </c>
      <c r="C168" s="65"/>
      <c r="D168" s="68" t="s">
        <v>173</v>
      </c>
      <c r="E168" s="8">
        <f t="shared" si="0"/>
        <v>-647</v>
      </c>
      <c r="F168" s="20"/>
      <c r="G168" s="20"/>
      <c r="H168" s="14"/>
      <c r="I168" s="1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>
      <c r="A169" s="41" t="s">
        <v>172</v>
      </c>
      <c r="B169" s="62">
        <v>35</v>
      </c>
      <c r="C169" s="62"/>
      <c r="D169" s="69" t="s">
        <v>174</v>
      </c>
      <c r="E169" s="8">
        <f t="shared" si="0"/>
        <v>-682</v>
      </c>
      <c r="F169" s="20"/>
      <c r="G169" s="20"/>
      <c r="H169" s="14"/>
      <c r="I169" s="1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>
      <c r="A170" s="35" t="s">
        <v>172</v>
      </c>
      <c r="B170" s="24">
        <v>95</v>
      </c>
      <c r="C170" s="24"/>
      <c r="D170" s="66" t="s">
        <v>146</v>
      </c>
      <c r="E170" s="8">
        <f t="shared" si="0"/>
        <v>-777</v>
      </c>
      <c r="F170" s="20"/>
      <c r="G170" s="26"/>
      <c r="H170" s="14"/>
      <c r="I170" s="1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>
      <c r="A171" s="41" t="s">
        <v>172</v>
      </c>
      <c r="B171" s="65">
        <v>203</v>
      </c>
      <c r="C171" s="65"/>
      <c r="D171" s="68" t="s">
        <v>175</v>
      </c>
      <c r="E171" s="8">
        <f t="shared" si="0"/>
        <v>-980</v>
      </c>
      <c r="F171" s="20"/>
      <c r="G171" s="20"/>
      <c r="H171" s="14"/>
      <c r="I171" s="1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>
      <c r="A172" s="41" t="s">
        <v>172</v>
      </c>
      <c r="B172" s="62">
        <v>25</v>
      </c>
      <c r="C172" s="62"/>
      <c r="D172" s="62" t="s">
        <v>176</v>
      </c>
      <c r="E172" s="8">
        <f t="shared" si="0"/>
        <v>-1005</v>
      </c>
      <c r="F172" s="20"/>
      <c r="G172" s="26"/>
      <c r="H172" s="14"/>
      <c r="I172" s="1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>
      <c r="A173" s="41" t="s">
        <v>172</v>
      </c>
      <c r="B173" s="65"/>
      <c r="C173" s="65">
        <v>5228</v>
      </c>
      <c r="D173" s="11" t="s">
        <v>60</v>
      </c>
      <c r="E173" s="8">
        <f t="shared" si="0"/>
        <v>4223</v>
      </c>
      <c r="F173" s="20"/>
      <c r="G173" s="20"/>
      <c r="H173" s="14"/>
      <c r="I173" s="1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>
      <c r="A174" s="24" t="s">
        <v>177</v>
      </c>
      <c r="B174" s="24">
        <f>180+45</f>
        <v>225</v>
      </c>
      <c r="C174" s="24"/>
      <c r="D174" s="24" t="s">
        <v>160</v>
      </c>
      <c r="E174" s="8">
        <f t="shared" si="0"/>
        <v>3998</v>
      </c>
      <c r="F174" s="52"/>
      <c r="G174" s="26"/>
      <c r="H174" s="14"/>
      <c r="I174" s="1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>
      <c r="A175" s="70">
        <v>45785</v>
      </c>
      <c r="B175" s="24"/>
      <c r="C175" s="24">
        <v>16000</v>
      </c>
      <c r="D175" s="11" t="s">
        <v>60</v>
      </c>
      <c r="E175" s="8">
        <f t="shared" si="0"/>
        <v>19998</v>
      </c>
      <c r="F175" s="20"/>
      <c r="G175" s="20"/>
      <c r="H175" s="14"/>
      <c r="I175" s="1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>
      <c r="A176" s="71">
        <v>45785</v>
      </c>
      <c r="B176" s="24">
        <v>15000</v>
      </c>
      <c r="C176" s="24"/>
      <c r="D176" s="24" t="s">
        <v>178</v>
      </c>
      <c r="E176" s="8">
        <f t="shared" si="0"/>
        <v>4998</v>
      </c>
      <c r="F176" s="20"/>
      <c r="G176" s="20"/>
      <c r="H176" s="14"/>
      <c r="I176" s="1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>
      <c r="A177" s="41" t="s">
        <v>177</v>
      </c>
      <c r="B177" s="65">
        <v>2047</v>
      </c>
      <c r="C177" s="65"/>
      <c r="D177" s="35" t="s">
        <v>179</v>
      </c>
      <c r="E177" s="8">
        <f t="shared" si="0"/>
        <v>2951</v>
      </c>
      <c r="F177" s="20"/>
      <c r="G177" s="20"/>
      <c r="H177" s="14"/>
      <c r="I177" s="1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>
      <c r="A178" s="41" t="s">
        <v>177</v>
      </c>
      <c r="B178" s="65">
        <v>2325</v>
      </c>
      <c r="C178" s="65"/>
      <c r="D178" s="65" t="s">
        <v>180</v>
      </c>
      <c r="E178" s="8">
        <f t="shared" si="0"/>
        <v>626</v>
      </c>
      <c r="F178" s="20"/>
      <c r="G178" s="20"/>
      <c r="H178" s="14"/>
      <c r="I178" s="1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>
      <c r="A179" s="41" t="s">
        <v>177</v>
      </c>
      <c r="B179" s="62">
        <v>222</v>
      </c>
      <c r="C179" s="62"/>
      <c r="D179" s="62" t="s">
        <v>181</v>
      </c>
      <c r="E179" s="8">
        <f t="shared" si="0"/>
        <v>404</v>
      </c>
      <c r="F179" s="20"/>
      <c r="G179" s="20"/>
      <c r="H179" s="14"/>
      <c r="I179" s="1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>
      <c r="A180" s="41" t="s">
        <v>177</v>
      </c>
      <c r="B180" s="24"/>
      <c r="C180" s="24">
        <f>2746.5+1000</f>
        <v>3746.5</v>
      </c>
      <c r="D180" s="11" t="s">
        <v>60</v>
      </c>
      <c r="E180" s="8">
        <f t="shared" si="0"/>
        <v>4150.5</v>
      </c>
      <c r="F180" s="20"/>
      <c r="G180" s="20"/>
      <c r="H180" s="14"/>
      <c r="I180" s="1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>
      <c r="A181" s="41" t="s">
        <v>177</v>
      </c>
      <c r="B181" s="24">
        <v>2746.5</v>
      </c>
      <c r="C181" s="24"/>
      <c r="D181" s="24" t="s">
        <v>182</v>
      </c>
      <c r="E181" s="8">
        <f t="shared" si="0"/>
        <v>1404</v>
      </c>
      <c r="F181" s="20"/>
      <c r="G181" s="20"/>
      <c r="H181" s="14"/>
      <c r="I181" s="1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>
      <c r="A182" s="24" t="s">
        <v>183</v>
      </c>
      <c r="B182" s="24">
        <f>156+50+60+45</f>
        <v>311</v>
      </c>
      <c r="C182" s="24"/>
      <c r="D182" s="24" t="s">
        <v>122</v>
      </c>
      <c r="E182" s="8">
        <f t="shared" si="0"/>
        <v>1093</v>
      </c>
      <c r="F182" s="20"/>
      <c r="G182" s="20"/>
      <c r="H182" s="14"/>
      <c r="I182" s="1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>
      <c r="A183" s="24" t="s">
        <v>183</v>
      </c>
      <c r="B183" s="24">
        <v>20</v>
      </c>
      <c r="C183" s="35"/>
      <c r="D183" s="24" t="s">
        <v>184</v>
      </c>
      <c r="E183" s="8">
        <f t="shared" si="0"/>
        <v>1073</v>
      </c>
      <c r="F183" s="20"/>
      <c r="G183" s="20"/>
      <c r="H183" s="14"/>
      <c r="I183" s="1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>
      <c r="A184" s="24" t="s">
        <v>185</v>
      </c>
      <c r="B184" s="24">
        <v>395</v>
      </c>
      <c r="C184" s="24"/>
      <c r="D184" s="24" t="s">
        <v>122</v>
      </c>
      <c r="E184" s="8">
        <f t="shared" si="0"/>
        <v>678</v>
      </c>
      <c r="F184" s="20"/>
      <c r="G184" s="20"/>
      <c r="H184" s="14"/>
      <c r="I184" s="1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>
      <c r="A185" s="24" t="s">
        <v>185</v>
      </c>
      <c r="B185" s="24">
        <v>600</v>
      </c>
      <c r="C185" s="24"/>
      <c r="D185" s="24" t="s">
        <v>169</v>
      </c>
      <c r="E185" s="8">
        <f t="shared" si="0"/>
        <v>78</v>
      </c>
      <c r="F185" s="20"/>
      <c r="G185" s="20"/>
      <c r="H185" s="14"/>
      <c r="I185" s="1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>
      <c r="A186" s="24" t="s">
        <v>185</v>
      </c>
      <c r="B186" s="24">
        <f>30+95+155+45+40</f>
        <v>365</v>
      </c>
      <c r="C186" s="24"/>
      <c r="D186" s="24" t="s">
        <v>122</v>
      </c>
      <c r="E186" s="8">
        <f t="shared" si="0"/>
        <v>-287</v>
      </c>
      <c r="F186" s="20"/>
      <c r="G186" s="20"/>
      <c r="H186" s="14"/>
      <c r="I186" s="1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>
      <c r="A187" s="24" t="s">
        <v>186</v>
      </c>
      <c r="B187" s="24">
        <v>20</v>
      </c>
      <c r="C187" s="24"/>
      <c r="D187" s="24" t="s">
        <v>184</v>
      </c>
      <c r="E187" s="8">
        <f t="shared" si="0"/>
        <v>-307</v>
      </c>
      <c r="F187" s="20"/>
      <c r="G187" s="28"/>
      <c r="H187" s="14"/>
      <c r="I187" s="1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>
      <c r="A188" s="24" t="s">
        <v>186</v>
      </c>
      <c r="B188" s="35">
        <f>90+95+80</f>
        <v>265</v>
      </c>
      <c r="C188" s="35"/>
      <c r="D188" s="35" t="s">
        <v>113</v>
      </c>
      <c r="E188" s="8">
        <f t="shared" si="0"/>
        <v>-572</v>
      </c>
      <c r="F188" s="20"/>
      <c r="G188" s="20"/>
      <c r="H188" s="14"/>
      <c r="I188" s="1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>
      <c r="A189" s="24" t="s">
        <v>187</v>
      </c>
      <c r="B189" s="24">
        <f>180+280+156+90</f>
        <v>706</v>
      </c>
      <c r="C189" s="24"/>
      <c r="D189" s="35" t="s">
        <v>113</v>
      </c>
      <c r="E189" s="8">
        <f t="shared" si="0"/>
        <v>-1278</v>
      </c>
      <c r="F189" s="20"/>
      <c r="G189" s="20"/>
      <c r="H189" s="14"/>
      <c r="I189" s="1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>
      <c r="A190" s="24" t="s">
        <v>187</v>
      </c>
      <c r="B190" s="24"/>
      <c r="C190" s="24">
        <v>1600</v>
      </c>
      <c r="D190" s="11" t="s">
        <v>60</v>
      </c>
      <c r="E190" s="8">
        <f t="shared" si="0"/>
        <v>322</v>
      </c>
      <c r="F190" s="20"/>
      <c r="G190" s="20"/>
      <c r="H190" s="14"/>
      <c r="I190" s="1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>
      <c r="A191" s="35" t="s">
        <v>187</v>
      </c>
      <c r="B191" s="35">
        <v>1600</v>
      </c>
      <c r="C191" s="35"/>
      <c r="D191" s="24" t="s">
        <v>188</v>
      </c>
      <c r="E191" s="8">
        <f t="shared" si="0"/>
        <v>-1278</v>
      </c>
      <c r="F191" s="20"/>
      <c r="G191" s="20"/>
      <c r="H191" s="14"/>
      <c r="I191" s="1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>
      <c r="A192" s="35" t="s">
        <v>189</v>
      </c>
      <c r="B192" s="35"/>
      <c r="C192" s="35">
        <v>1000</v>
      </c>
      <c r="D192" s="11" t="s">
        <v>60</v>
      </c>
      <c r="E192" s="8">
        <f t="shared" si="0"/>
        <v>-278</v>
      </c>
      <c r="F192" s="20"/>
      <c r="G192" s="26"/>
      <c r="H192" s="14"/>
      <c r="I192" s="1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>
      <c r="A193" s="35" t="s">
        <v>189</v>
      </c>
      <c r="B193" s="24"/>
      <c r="C193" s="24"/>
      <c r="D193" s="24" t="s">
        <v>190</v>
      </c>
      <c r="E193" s="8">
        <f t="shared" si="0"/>
        <v>-278</v>
      </c>
      <c r="F193" s="20"/>
      <c r="G193" s="26"/>
      <c r="H193" s="14"/>
      <c r="I193" s="1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>
      <c r="A194" s="24" t="s">
        <v>189</v>
      </c>
      <c r="B194" s="24">
        <v>85</v>
      </c>
      <c r="C194" s="24"/>
      <c r="D194" s="24" t="s">
        <v>122</v>
      </c>
      <c r="E194" s="8">
        <f t="shared" si="0"/>
        <v>-363</v>
      </c>
      <c r="F194" s="20"/>
      <c r="G194" s="20"/>
      <c r="H194" s="14"/>
      <c r="I194" s="1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>
      <c r="A195" s="24" t="s">
        <v>189</v>
      </c>
      <c r="B195" s="24"/>
      <c r="C195" s="24">
        <v>2000</v>
      </c>
      <c r="D195" s="11" t="s">
        <v>60</v>
      </c>
      <c r="E195" s="8">
        <f t="shared" si="0"/>
        <v>1637</v>
      </c>
      <c r="F195" s="20"/>
      <c r="G195" s="20"/>
      <c r="H195" s="14"/>
      <c r="I195" s="1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>
      <c r="A196" s="24" t="s">
        <v>191</v>
      </c>
      <c r="B196" s="24">
        <f>45+98</f>
        <v>143</v>
      </c>
      <c r="C196" s="24"/>
      <c r="D196" s="24" t="s">
        <v>122</v>
      </c>
      <c r="E196" s="8">
        <f t="shared" si="0"/>
        <v>1494</v>
      </c>
      <c r="F196" s="52"/>
      <c r="G196" s="26"/>
      <c r="H196" s="14"/>
      <c r="I196" s="1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>
      <c r="A197" s="24" t="s">
        <v>191</v>
      </c>
      <c r="B197" s="24"/>
      <c r="C197" s="24">
        <v>2000</v>
      </c>
      <c r="D197" s="11" t="s">
        <v>60</v>
      </c>
      <c r="E197" s="8">
        <f t="shared" si="0"/>
        <v>3494</v>
      </c>
      <c r="F197" s="20"/>
      <c r="G197" s="20"/>
      <c r="H197" s="14"/>
      <c r="I197" s="1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>
      <c r="A198" s="35" t="s">
        <v>192</v>
      </c>
      <c r="B198" s="35">
        <v>2000</v>
      </c>
      <c r="C198" s="35"/>
      <c r="D198" s="35" t="s">
        <v>193</v>
      </c>
      <c r="E198" s="8">
        <f t="shared" si="0"/>
        <v>1494</v>
      </c>
      <c r="F198" s="20"/>
      <c r="G198" s="20"/>
      <c r="H198" s="14"/>
      <c r="I198" s="1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>
      <c r="A199" s="35" t="s">
        <v>192</v>
      </c>
      <c r="B199" s="24">
        <f>420+225+156+105</f>
        <v>906</v>
      </c>
      <c r="C199" s="35"/>
      <c r="D199" s="24" t="s">
        <v>122</v>
      </c>
      <c r="E199" s="8">
        <f t="shared" si="0"/>
        <v>588</v>
      </c>
      <c r="F199" s="20"/>
      <c r="G199" s="26"/>
      <c r="H199" s="14"/>
      <c r="I199" s="1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>
      <c r="A200" s="35" t="s">
        <v>192</v>
      </c>
      <c r="B200" s="35"/>
      <c r="C200" s="35">
        <v>800</v>
      </c>
      <c r="D200" s="11" t="s">
        <v>60</v>
      </c>
      <c r="E200" s="8">
        <f t="shared" si="0"/>
        <v>1388</v>
      </c>
      <c r="F200" s="20"/>
      <c r="G200" s="26"/>
      <c r="H200" s="14"/>
      <c r="I200" s="1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>
      <c r="A201" s="35" t="s">
        <v>192</v>
      </c>
      <c r="B201" s="24">
        <v>800</v>
      </c>
      <c r="C201" s="24"/>
      <c r="D201" s="24" t="s">
        <v>194</v>
      </c>
      <c r="E201" s="8">
        <f t="shared" si="0"/>
        <v>588</v>
      </c>
      <c r="F201" s="20"/>
      <c r="G201" s="20"/>
      <c r="H201" s="14"/>
      <c r="I201" s="1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>
      <c r="A202" s="24" t="s">
        <v>192</v>
      </c>
      <c r="B202" s="24">
        <f>45+155+51</f>
        <v>251</v>
      </c>
      <c r="C202" s="24"/>
      <c r="D202" s="24" t="s">
        <v>122</v>
      </c>
      <c r="E202" s="8">
        <f t="shared" si="0"/>
        <v>337</v>
      </c>
      <c r="F202" s="20"/>
      <c r="G202" s="20"/>
      <c r="H202" s="14"/>
      <c r="I202" s="1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>
      <c r="A203" s="24" t="s">
        <v>195</v>
      </c>
      <c r="B203" s="24">
        <v>95</v>
      </c>
      <c r="C203" s="64"/>
      <c r="D203" s="24" t="s">
        <v>196</v>
      </c>
      <c r="E203" s="8">
        <f t="shared" si="0"/>
        <v>242</v>
      </c>
      <c r="F203" s="20"/>
      <c r="G203" s="20"/>
      <c r="H203" s="14"/>
      <c r="I203" s="1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>
      <c r="A204" s="71">
        <v>45796</v>
      </c>
      <c r="B204" s="24">
        <v>145</v>
      </c>
      <c r="C204" s="24"/>
      <c r="D204" s="24" t="s">
        <v>132</v>
      </c>
      <c r="E204" s="8">
        <f t="shared" si="0"/>
        <v>97</v>
      </c>
      <c r="F204" s="20"/>
      <c r="G204" s="20"/>
      <c r="H204" s="14"/>
      <c r="I204" s="1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>
      <c r="A205" s="71">
        <v>45796</v>
      </c>
      <c r="B205" s="24">
        <v>500</v>
      </c>
      <c r="C205" s="24"/>
      <c r="D205" s="24" t="s">
        <v>169</v>
      </c>
      <c r="E205" s="8">
        <f t="shared" si="0"/>
        <v>-403</v>
      </c>
      <c r="F205" s="20"/>
      <c r="G205" s="20"/>
      <c r="H205" s="14"/>
      <c r="I205" s="1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>
      <c r="A206" s="71">
        <v>45796</v>
      </c>
      <c r="B206" s="24"/>
      <c r="C206" s="24">
        <v>1000</v>
      </c>
      <c r="D206" s="11" t="s">
        <v>60</v>
      </c>
      <c r="E206" s="8">
        <f t="shared" si="0"/>
        <v>597</v>
      </c>
      <c r="F206" s="20"/>
      <c r="G206" s="20"/>
      <c r="H206" s="14"/>
      <c r="I206" s="1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>
      <c r="A207" s="71">
        <v>45796</v>
      </c>
      <c r="B207" s="24">
        <v>265</v>
      </c>
      <c r="C207" s="24"/>
      <c r="D207" s="24" t="s">
        <v>132</v>
      </c>
      <c r="E207" s="8">
        <f t="shared" si="0"/>
        <v>332</v>
      </c>
      <c r="F207" s="20"/>
      <c r="G207" s="20"/>
      <c r="H207" s="14"/>
      <c r="I207" s="1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>
      <c r="A208" s="71">
        <v>45797</v>
      </c>
      <c r="B208" s="24">
        <v>145</v>
      </c>
      <c r="C208" s="24"/>
      <c r="D208" s="24" t="s">
        <v>132</v>
      </c>
      <c r="E208" s="8">
        <f t="shared" si="0"/>
        <v>187</v>
      </c>
      <c r="F208" s="20"/>
      <c r="G208" s="20"/>
      <c r="H208" s="14"/>
      <c r="I208" s="1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>
      <c r="A209" s="71">
        <v>45798</v>
      </c>
      <c r="B209" s="24">
        <v>325</v>
      </c>
      <c r="C209" s="24"/>
      <c r="D209" s="24" t="s">
        <v>132</v>
      </c>
      <c r="E209" s="8">
        <f t="shared" si="0"/>
        <v>-138</v>
      </c>
      <c r="F209" s="20"/>
      <c r="G209" s="28"/>
      <c r="H209" s="14"/>
      <c r="I209" s="1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>
      <c r="A210" s="71">
        <v>45798</v>
      </c>
      <c r="B210" s="24"/>
      <c r="C210" s="24">
        <v>80</v>
      </c>
      <c r="D210" s="11" t="s">
        <v>197</v>
      </c>
      <c r="E210" s="8">
        <f t="shared" si="0"/>
        <v>-58</v>
      </c>
      <c r="F210" s="20"/>
      <c r="G210" s="20"/>
      <c r="H210" s="14"/>
      <c r="I210" s="1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>
      <c r="A211" s="71">
        <v>45798</v>
      </c>
      <c r="B211" s="24">
        <v>707</v>
      </c>
      <c r="C211" s="24"/>
      <c r="D211" s="24" t="s">
        <v>132</v>
      </c>
      <c r="E211" s="8">
        <f t="shared" si="0"/>
        <v>-765</v>
      </c>
      <c r="F211" s="20"/>
      <c r="G211" s="20"/>
      <c r="H211" s="14"/>
      <c r="I211" s="1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>
      <c r="A212" s="71">
        <v>45799</v>
      </c>
      <c r="B212" s="24"/>
      <c r="C212" s="24">
        <v>500</v>
      </c>
      <c r="D212" s="11" t="s">
        <v>197</v>
      </c>
      <c r="E212" s="8">
        <f t="shared" si="0"/>
        <v>-265</v>
      </c>
      <c r="F212" s="20"/>
      <c r="G212" s="20"/>
      <c r="H212" s="14"/>
      <c r="I212" s="1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>
      <c r="A213" s="71">
        <v>45799</v>
      </c>
      <c r="B213" s="24">
        <v>300</v>
      </c>
      <c r="C213" s="24"/>
      <c r="D213" s="24" t="s">
        <v>169</v>
      </c>
      <c r="E213" s="8">
        <f t="shared" si="0"/>
        <v>-565</v>
      </c>
      <c r="F213" s="20"/>
      <c r="G213" s="28"/>
      <c r="H213" s="14"/>
      <c r="I213" s="1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>
      <c r="A214" s="71">
        <v>45799</v>
      </c>
      <c r="B214" s="24">
        <v>85</v>
      </c>
      <c r="C214" s="24"/>
      <c r="D214" s="24" t="s">
        <v>198</v>
      </c>
      <c r="E214" s="8">
        <f t="shared" si="0"/>
        <v>-650</v>
      </c>
      <c r="F214" s="20"/>
      <c r="G214" s="20"/>
      <c r="H214" s="14"/>
      <c r="I214" s="1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>
      <c r="A215" s="71">
        <v>45799</v>
      </c>
      <c r="B215" s="24"/>
      <c r="C215" s="24">
        <f>1150+526</f>
        <v>1676</v>
      </c>
      <c r="D215" s="11" t="s">
        <v>60</v>
      </c>
      <c r="E215" s="8">
        <f t="shared" si="0"/>
        <v>1026</v>
      </c>
      <c r="F215" s="20"/>
      <c r="G215" s="20"/>
      <c r="H215" s="14"/>
      <c r="I215" s="1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>
      <c r="A216" s="71">
        <v>45799</v>
      </c>
      <c r="B216" s="24">
        <v>1150</v>
      </c>
      <c r="C216" s="35"/>
      <c r="D216" s="24" t="s">
        <v>199</v>
      </c>
      <c r="E216" s="8">
        <f t="shared" si="0"/>
        <v>-124</v>
      </c>
      <c r="F216" s="20"/>
      <c r="G216" s="20"/>
      <c r="H216" s="14"/>
      <c r="I216" s="1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>
      <c r="A217" s="70">
        <v>45799</v>
      </c>
      <c r="B217" s="35">
        <v>526</v>
      </c>
      <c r="C217" s="35"/>
      <c r="D217" s="35" t="s">
        <v>200</v>
      </c>
      <c r="E217" s="8">
        <f t="shared" si="0"/>
        <v>-650</v>
      </c>
      <c r="F217" s="20"/>
      <c r="G217" s="20"/>
      <c r="H217" s="14"/>
      <c r="I217" s="1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>
      <c r="A218" s="70">
        <v>45801</v>
      </c>
      <c r="B218" s="35"/>
      <c r="C218" s="35">
        <v>200</v>
      </c>
      <c r="D218" s="11" t="s">
        <v>94</v>
      </c>
      <c r="E218" s="8">
        <f t="shared" si="0"/>
        <v>-450</v>
      </c>
      <c r="F218" s="20"/>
      <c r="G218" s="20"/>
      <c r="H218" s="14"/>
      <c r="I218" s="1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>
      <c r="A219" s="71">
        <v>45801</v>
      </c>
      <c r="B219" s="24">
        <v>95</v>
      </c>
      <c r="C219" s="24"/>
      <c r="D219" s="24" t="s">
        <v>146</v>
      </c>
      <c r="E219" s="8">
        <f t="shared" si="0"/>
        <v>-545</v>
      </c>
      <c r="F219" s="52"/>
      <c r="G219" s="26"/>
      <c r="H219" s="14"/>
      <c r="I219" s="1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>
      <c r="A220" s="72">
        <v>45801</v>
      </c>
      <c r="B220" s="42">
        <v>45</v>
      </c>
      <c r="C220" s="64"/>
      <c r="D220" s="42" t="s">
        <v>132</v>
      </c>
      <c r="E220" s="8">
        <f t="shared" si="0"/>
        <v>-590</v>
      </c>
      <c r="F220" s="20"/>
      <c r="G220" s="26"/>
      <c r="H220" s="14"/>
      <c r="I220" s="1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>
      <c r="A221" s="71">
        <v>45802</v>
      </c>
      <c r="B221" s="24">
        <v>45</v>
      </c>
      <c r="C221" s="24"/>
      <c r="D221" s="38" t="s">
        <v>132</v>
      </c>
      <c r="E221" s="8">
        <f t="shared" si="0"/>
        <v>-635</v>
      </c>
      <c r="F221" s="20"/>
      <c r="G221" s="28"/>
      <c r="H221" s="14"/>
      <c r="I221" s="1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>
      <c r="A222" s="71">
        <v>45802</v>
      </c>
      <c r="B222" s="24"/>
      <c r="C222" s="24">
        <v>1000</v>
      </c>
      <c r="D222" s="11" t="s">
        <v>60</v>
      </c>
      <c r="E222" s="8">
        <f t="shared" si="0"/>
        <v>365</v>
      </c>
      <c r="F222" s="20"/>
      <c r="G222" s="28"/>
      <c r="H222" s="14"/>
      <c r="I222" s="1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>
      <c r="A223" s="70">
        <v>45802</v>
      </c>
      <c r="B223" s="35">
        <v>1000</v>
      </c>
      <c r="C223" s="35"/>
      <c r="D223" s="24" t="s">
        <v>169</v>
      </c>
      <c r="E223" s="8">
        <f t="shared" si="0"/>
        <v>-635</v>
      </c>
      <c r="F223" s="20"/>
      <c r="G223" s="20"/>
      <c r="H223" s="14"/>
      <c r="I223" s="1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>
      <c r="A224" s="71">
        <v>45802</v>
      </c>
      <c r="B224" s="24">
        <v>12</v>
      </c>
      <c r="C224" s="24"/>
      <c r="D224" s="24" t="s">
        <v>201</v>
      </c>
      <c r="E224" s="8">
        <f t="shared" si="0"/>
        <v>-647</v>
      </c>
      <c r="F224" s="20"/>
      <c r="G224" s="20"/>
      <c r="H224" s="14"/>
      <c r="I224" s="1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>
      <c r="A225" s="71">
        <v>45803</v>
      </c>
      <c r="B225" s="24">
        <v>45</v>
      </c>
      <c r="C225" s="24"/>
      <c r="D225" s="24" t="s">
        <v>132</v>
      </c>
      <c r="E225" s="8">
        <f t="shared" si="0"/>
        <v>-692</v>
      </c>
      <c r="F225" s="20"/>
      <c r="G225" s="20"/>
      <c r="H225" s="14"/>
      <c r="I225" s="1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>
      <c r="A226" s="71">
        <v>45803</v>
      </c>
      <c r="B226" s="24"/>
      <c r="C226" s="24">
        <v>150</v>
      </c>
      <c r="D226" s="11" t="s">
        <v>94</v>
      </c>
      <c r="E226" s="8">
        <f t="shared" si="0"/>
        <v>-542</v>
      </c>
      <c r="F226" s="20"/>
      <c r="G226" s="20"/>
      <c r="H226" s="14"/>
      <c r="I226" s="1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>
      <c r="A227" s="71">
        <v>45803</v>
      </c>
      <c r="B227" s="24">
        <f>155+45</f>
        <v>200</v>
      </c>
      <c r="C227" s="24"/>
      <c r="D227" s="24" t="s">
        <v>132</v>
      </c>
      <c r="E227" s="8">
        <f t="shared" si="0"/>
        <v>-742</v>
      </c>
      <c r="F227" s="20"/>
      <c r="G227" s="26"/>
      <c r="H227" s="14"/>
      <c r="I227" s="1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>
      <c r="A228" s="71">
        <v>45804</v>
      </c>
      <c r="B228" s="24"/>
      <c r="C228" s="24">
        <f>220+100.75</f>
        <v>320.75</v>
      </c>
      <c r="D228" s="11" t="s">
        <v>60</v>
      </c>
      <c r="E228" s="8">
        <f t="shared" si="0"/>
        <v>-421.25</v>
      </c>
      <c r="F228" s="20"/>
      <c r="G228" s="26"/>
      <c r="H228" s="14"/>
      <c r="I228" s="1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>
      <c r="A229" s="71">
        <v>45804</v>
      </c>
      <c r="B229" s="24">
        <v>220</v>
      </c>
      <c r="C229" s="24"/>
      <c r="D229" s="24" t="s">
        <v>132</v>
      </c>
      <c r="E229" s="8">
        <f t="shared" si="0"/>
        <v>-641.25</v>
      </c>
      <c r="F229" s="20"/>
      <c r="G229" s="20"/>
      <c r="H229" s="14"/>
      <c r="I229" s="1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>
      <c r="A230" s="71">
        <v>45804</v>
      </c>
      <c r="B230" s="24">
        <v>100.75</v>
      </c>
      <c r="C230" s="24"/>
      <c r="D230" s="24" t="s">
        <v>202</v>
      </c>
      <c r="E230" s="8">
        <f t="shared" si="0"/>
        <v>-742</v>
      </c>
      <c r="F230" s="20"/>
      <c r="G230" s="20"/>
      <c r="H230" s="14"/>
      <c r="I230" s="1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>
      <c r="A231" s="71">
        <v>45805</v>
      </c>
      <c r="B231" s="24"/>
      <c r="C231" s="24">
        <v>20000</v>
      </c>
      <c r="D231" s="11" t="s">
        <v>94</v>
      </c>
      <c r="E231" s="8">
        <f t="shared" si="0"/>
        <v>19258</v>
      </c>
      <c r="F231" s="20"/>
      <c r="G231" s="20"/>
      <c r="H231" s="14"/>
      <c r="I231" s="1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>
      <c r="A232" s="70">
        <v>45805</v>
      </c>
      <c r="B232" s="35">
        <v>900</v>
      </c>
      <c r="C232" s="35"/>
      <c r="D232" s="35" t="s">
        <v>203</v>
      </c>
      <c r="E232" s="8">
        <f t="shared" si="0"/>
        <v>18358</v>
      </c>
      <c r="F232" s="20"/>
      <c r="G232" s="20"/>
      <c r="H232" s="14" t="s">
        <v>205</v>
      </c>
      <c r="I232" s="1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>
      <c r="A233" s="71">
        <v>45805</v>
      </c>
      <c r="B233" s="24">
        <v>255</v>
      </c>
      <c r="C233" s="24"/>
      <c r="D233" s="24" t="s">
        <v>132</v>
      </c>
      <c r="E233" s="8">
        <f t="shared" si="0"/>
        <v>18103</v>
      </c>
      <c r="F233" s="20"/>
      <c r="G233" s="20"/>
      <c r="H233" s="14"/>
      <c r="I233" s="1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>
      <c r="A234" s="71">
        <v>45805</v>
      </c>
      <c r="B234" s="24">
        <v>28</v>
      </c>
      <c r="C234" s="24"/>
      <c r="D234" s="24" t="s">
        <v>204</v>
      </c>
      <c r="E234" s="8">
        <f t="shared" si="0"/>
        <v>18075</v>
      </c>
      <c r="F234" s="20"/>
      <c r="G234" s="20"/>
      <c r="H234" s="14"/>
      <c r="I234" s="1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>
      <c r="A235" s="71">
        <v>45806</v>
      </c>
      <c r="B235" s="24">
        <v>583</v>
      </c>
      <c r="C235" s="24"/>
      <c r="D235" s="24" t="s">
        <v>132</v>
      </c>
      <c r="E235" s="8">
        <f t="shared" si="0"/>
        <v>17492</v>
      </c>
      <c r="F235" s="52"/>
      <c r="G235" s="26"/>
      <c r="H235" s="14"/>
      <c r="I235" s="1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>
      <c r="A236" s="71">
        <v>45806</v>
      </c>
      <c r="B236" s="24"/>
      <c r="C236" s="24">
        <v>207</v>
      </c>
      <c r="D236" s="11" t="s">
        <v>60</v>
      </c>
      <c r="E236" s="8">
        <f t="shared" si="0"/>
        <v>17699</v>
      </c>
      <c r="F236" s="20"/>
      <c r="G236" s="20"/>
      <c r="H236" s="14"/>
      <c r="I236" s="1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>
      <c r="A237" s="71">
        <v>45808</v>
      </c>
      <c r="B237" s="24">
        <v>45</v>
      </c>
      <c r="C237" s="24"/>
      <c r="D237" s="24" t="s">
        <v>132</v>
      </c>
      <c r="E237" s="8">
        <f t="shared" si="0"/>
        <v>17654</v>
      </c>
      <c r="F237" s="52"/>
      <c r="G237" s="26"/>
      <c r="H237" s="14"/>
      <c r="I237" s="1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>
      <c r="A238" s="24" t="s">
        <v>206</v>
      </c>
      <c r="B238" s="24">
        <v>95</v>
      </c>
      <c r="C238" s="24"/>
      <c r="D238" s="24" t="s">
        <v>146</v>
      </c>
      <c r="E238" s="8">
        <f t="shared" si="0"/>
        <v>17559</v>
      </c>
      <c r="F238" s="20"/>
      <c r="G238" s="20"/>
      <c r="H238" s="14"/>
      <c r="I238" s="1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>
      <c r="A239" s="24" t="s">
        <v>207</v>
      </c>
      <c r="B239" s="62">
        <v>1000</v>
      </c>
      <c r="C239" s="62"/>
      <c r="D239" s="62" t="s">
        <v>169</v>
      </c>
      <c r="E239" s="8">
        <f t="shared" si="0"/>
        <v>16559</v>
      </c>
      <c r="F239" s="20"/>
      <c r="G239" s="20"/>
      <c r="H239" s="14"/>
      <c r="I239" s="1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>
      <c r="A240" s="24" t="s">
        <v>207</v>
      </c>
      <c r="B240" s="24">
        <v>100</v>
      </c>
      <c r="C240" s="24"/>
      <c r="D240" s="24" t="s">
        <v>145</v>
      </c>
      <c r="E240" s="8">
        <f t="shared" si="0"/>
        <v>16459</v>
      </c>
      <c r="F240" s="20"/>
      <c r="G240" s="20"/>
      <c r="H240" s="14"/>
      <c r="I240" s="1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>
      <c r="A241" s="24" t="s">
        <v>208</v>
      </c>
      <c r="B241" s="24">
        <v>366</v>
      </c>
      <c r="C241" s="24"/>
      <c r="D241" s="24" t="s">
        <v>122</v>
      </c>
      <c r="E241" s="8">
        <f t="shared" si="0"/>
        <v>16093</v>
      </c>
      <c r="F241" s="20"/>
      <c r="G241" s="20"/>
      <c r="H241" s="14"/>
      <c r="I241" s="1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>
      <c r="A242" s="24" t="s">
        <v>208</v>
      </c>
      <c r="B242" s="24">
        <v>20</v>
      </c>
      <c r="C242" s="24"/>
      <c r="D242" s="24" t="s">
        <v>184</v>
      </c>
      <c r="E242" s="8">
        <f t="shared" si="0"/>
        <v>16073</v>
      </c>
      <c r="F242" s="20"/>
      <c r="G242" s="20"/>
      <c r="H242" s="14"/>
      <c r="I242" s="1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>
      <c r="A243" s="24" t="s">
        <v>208</v>
      </c>
      <c r="B243" s="24">
        <v>60</v>
      </c>
      <c r="C243" s="24"/>
      <c r="D243" s="24" t="s">
        <v>122</v>
      </c>
      <c r="E243" s="8">
        <f t="shared" si="0"/>
        <v>16013</v>
      </c>
      <c r="F243" s="20"/>
      <c r="G243" s="20"/>
      <c r="H243" s="14"/>
      <c r="I243" s="1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>
      <c r="A244" s="24" t="s">
        <v>208</v>
      </c>
      <c r="B244" s="24"/>
      <c r="C244" s="24">
        <v>20000</v>
      </c>
      <c r="D244" s="11" t="s">
        <v>60</v>
      </c>
      <c r="E244" s="8">
        <f t="shared" si="0"/>
        <v>36013</v>
      </c>
      <c r="F244" s="20"/>
      <c r="G244" s="20"/>
      <c r="H244" s="14"/>
      <c r="I244" s="1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>
      <c r="A245" s="24" t="s">
        <v>208</v>
      </c>
      <c r="B245" s="24"/>
      <c r="C245" s="24">
        <v>44000</v>
      </c>
      <c r="D245" s="11" t="s">
        <v>94</v>
      </c>
      <c r="E245" s="8">
        <f t="shared" si="0"/>
        <v>80013</v>
      </c>
      <c r="F245" s="20"/>
      <c r="G245" s="20"/>
      <c r="H245" s="14"/>
      <c r="I245" s="1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>
      <c r="A246" s="24" t="s">
        <v>208</v>
      </c>
      <c r="B246" s="24">
        <v>76250</v>
      </c>
      <c r="C246" s="24"/>
      <c r="D246" s="24" t="s">
        <v>209</v>
      </c>
      <c r="E246" s="8">
        <f t="shared" si="0"/>
        <v>3763</v>
      </c>
      <c r="F246" s="20"/>
      <c r="G246" s="20"/>
      <c r="H246" s="14"/>
      <c r="I246" s="1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>
      <c r="A247" s="24" t="s">
        <v>210</v>
      </c>
      <c r="B247" s="42">
        <f>125+13</f>
        <v>138</v>
      </c>
      <c r="C247" s="42"/>
      <c r="D247" s="42" t="s">
        <v>211</v>
      </c>
      <c r="E247" s="8">
        <f t="shared" si="0"/>
        <v>3625</v>
      </c>
      <c r="F247" s="20"/>
      <c r="G247" s="26"/>
      <c r="H247" s="14"/>
      <c r="I247" s="1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>
      <c r="A248" s="24" t="s">
        <v>210</v>
      </c>
      <c r="B248" s="24">
        <v>35</v>
      </c>
      <c r="C248" s="35"/>
      <c r="D248" s="24" t="s">
        <v>212</v>
      </c>
      <c r="E248" s="8">
        <f t="shared" si="0"/>
        <v>3590</v>
      </c>
      <c r="F248" s="52"/>
      <c r="G248" s="26"/>
      <c r="H248" s="14"/>
      <c r="I248" s="1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>
      <c r="A249" s="24" t="s">
        <v>210</v>
      </c>
      <c r="B249" s="24">
        <v>95</v>
      </c>
      <c r="C249" s="24"/>
      <c r="D249" s="24" t="s">
        <v>146</v>
      </c>
      <c r="E249" s="8">
        <f t="shared" si="0"/>
        <v>3495</v>
      </c>
      <c r="F249" s="20"/>
      <c r="G249" s="28"/>
      <c r="H249" s="14"/>
      <c r="I249" s="1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>
      <c r="A250" s="35" t="s">
        <v>210</v>
      </c>
      <c r="B250" s="35"/>
      <c r="C250" s="35">
        <v>3540</v>
      </c>
      <c r="D250" s="11" t="s">
        <v>60</v>
      </c>
      <c r="E250" s="8">
        <f t="shared" si="0"/>
        <v>7035</v>
      </c>
      <c r="F250" s="20"/>
      <c r="G250" s="20"/>
      <c r="H250" s="14"/>
      <c r="I250" s="1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>
      <c r="A251" s="35" t="s">
        <v>210</v>
      </c>
      <c r="B251" s="35">
        <v>3540</v>
      </c>
      <c r="C251" s="35"/>
      <c r="D251" s="35" t="s">
        <v>182</v>
      </c>
      <c r="E251" s="8">
        <f t="shared" si="0"/>
        <v>3495</v>
      </c>
      <c r="F251" s="20"/>
      <c r="G251" s="20"/>
      <c r="H251" s="14"/>
      <c r="I251" s="1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>
      <c r="A252" s="24" t="s">
        <v>210</v>
      </c>
      <c r="B252" s="24"/>
      <c r="C252" s="24">
        <v>10000</v>
      </c>
      <c r="D252" s="11" t="s">
        <v>60</v>
      </c>
      <c r="E252" s="8">
        <f t="shared" si="0"/>
        <v>13495</v>
      </c>
      <c r="F252" s="52"/>
      <c r="G252" s="26"/>
      <c r="H252" s="14"/>
      <c r="I252" s="1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>
      <c r="A253" s="24" t="s">
        <v>210</v>
      </c>
      <c r="B253" s="24">
        <v>9500</v>
      </c>
      <c r="C253" s="24"/>
      <c r="D253" s="24" t="s">
        <v>213</v>
      </c>
      <c r="E253" s="8">
        <f t="shared" si="0"/>
        <v>3995</v>
      </c>
      <c r="F253" s="20"/>
      <c r="G253" s="20"/>
      <c r="H253" s="14"/>
      <c r="I253" s="1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>
      <c r="A254" s="35" t="s">
        <v>210</v>
      </c>
      <c r="B254" s="35">
        <v>115</v>
      </c>
      <c r="C254" s="35"/>
      <c r="D254" s="35" t="s">
        <v>214</v>
      </c>
      <c r="E254" s="8">
        <f t="shared" si="0"/>
        <v>3880</v>
      </c>
      <c r="F254" s="20"/>
      <c r="G254" s="20"/>
      <c r="H254" s="14"/>
      <c r="I254" s="1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>
      <c r="A255" s="24" t="s">
        <v>210</v>
      </c>
      <c r="B255" s="24">
        <v>25</v>
      </c>
      <c r="C255" s="24"/>
      <c r="D255" s="24" t="s">
        <v>215</v>
      </c>
      <c r="E255" s="8">
        <f t="shared" si="0"/>
        <v>3855</v>
      </c>
      <c r="F255" s="20"/>
      <c r="G255" s="20"/>
      <c r="H255" s="14"/>
      <c r="I255" s="1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>
      <c r="A256" s="24" t="s">
        <v>210</v>
      </c>
      <c r="B256" s="24">
        <v>800</v>
      </c>
      <c r="C256" s="24"/>
      <c r="D256" s="24" t="s">
        <v>216</v>
      </c>
      <c r="E256" s="8">
        <f t="shared" si="0"/>
        <v>3055</v>
      </c>
      <c r="F256" s="20"/>
      <c r="G256" s="20"/>
      <c r="H256" s="14"/>
      <c r="I256" s="1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>
      <c r="A257" s="71">
        <v>45811</v>
      </c>
      <c r="B257" s="24">
        <v>170</v>
      </c>
      <c r="C257" s="24"/>
      <c r="D257" s="24" t="s">
        <v>217</v>
      </c>
      <c r="E257" s="8">
        <f t="shared" si="0"/>
        <v>2885</v>
      </c>
      <c r="F257" s="20"/>
      <c r="G257" s="20"/>
      <c r="H257" s="14"/>
      <c r="I257" s="1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>
      <c r="A258" s="70">
        <v>45812</v>
      </c>
      <c r="B258" s="35">
        <v>150</v>
      </c>
      <c r="C258" s="35"/>
      <c r="D258" s="35" t="s">
        <v>218</v>
      </c>
      <c r="E258" s="8">
        <f t="shared" si="0"/>
        <v>2735</v>
      </c>
      <c r="F258" s="20"/>
      <c r="G258" s="20"/>
      <c r="H258" s="14"/>
      <c r="I258" s="1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>
      <c r="A259" s="71">
        <v>45818</v>
      </c>
      <c r="B259" s="24">
        <v>436</v>
      </c>
      <c r="C259" s="24"/>
      <c r="D259" s="24" t="s">
        <v>132</v>
      </c>
      <c r="E259" s="8">
        <f t="shared" ref="E259:E513" si="1">E258+C259-B259</f>
        <v>2299</v>
      </c>
      <c r="F259" s="20"/>
      <c r="G259" s="20"/>
      <c r="H259" s="14"/>
      <c r="I259" s="1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>
      <c r="A260" s="71">
        <v>45818</v>
      </c>
      <c r="B260" s="24">
        <v>2000</v>
      </c>
      <c r="C260" s="24"/>
      <c r="D260" s="24" t="s">
        <v>169</v>
      </c>
      <c r="E260" s="8">
        <f t="shared" si="1"/>
        <v>299</v>
      </c>
      <c r="F260" s="20"/>
      <c r="G260" s="20"/>
      <c r="H260" s="14"/>
      <c r="I260" s="1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>
      <c r="A261" s="71">
        <v>45819</v>
      </c>
      <c r="B261" s="24">
        <v>515</v>
      </c>
      <c r="C261" s="24"/>
      <c r="D261" s="24" t="s">
        <v>132</v>
      </c>
      <c r="E261" s="8">
        <f t="shared" si="1"/>
        <v>-216</v>
      </c>
      <c r="F261" s="20"/>
      <c r="G261" s="20"/>
      <c r="H261" s="14"/>
      <c r="I261" s="1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>
      <c r="A262" s="71">
        <v>45820</v>
      </c>
      <c r="B262" s="24">
        <v>280</v>
      </c>
      <c r="C262" s="35"/>
      <c r="D262" s="24" t="s">
        <v>132</v>
      </c>
      <c r="E262" s="8">
        <f t="shared" si="1"/>
        <v>-496</v>
      </c>
      <c r="F262" s="20"/>
      <c r="G262" s="20"/>
      <c r="H262" s="14"/>
      <c r="I262" s="1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>
      <c r="A263" s="71">
        <v>45820</v>
      </c>
      <c r="B263" s="24"/>
      <c r="C263" s="35">
        <v>1000</v>
      </c>
      <c r="D263" s="11" t="s">
        <v>219</v>
      </c>
      <c r="E263" s="8">
        <f t="shared" si="1"/>
        <v>504</v>
      </c>
      <c r="F263" s="20"/>
      <c r="G263" s="20"/>
      <c r="H263" s="14"/>
      <c r="I263" s="1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>
      <c r="A264" s="70">
        <v>45820</v>
      </c>
      <c r="B264" s="35">
        <v>25</v>
      </c>
      <c r="C264" s="35"/>
      <c r="D264" s="35" t="s">
        <v>132</v>
      </c>
      <c r="E264" s="8">
        <f t="shared" si="1"/>
        <v>479</v>
      </c>
      <c r="F264" s="20"/>
      <c r="G264" s="20"/>
      <c r="H264" s="14"/>
      <c r="I264" s="1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>
      <c r="A265" s="71">
        <v>45820</v>
      </c>
      <c r="B265" s="24">
        <v>95</v>
      </c>
      <c r="C265" s="24"/>
      <c r="D265" s="24" t="s">
        <v>220</v>
      </c>
      <c r="E265" s="8">
        <f t="shared" si="1"/>
        <v>384</v>
      </c>
      <c r="F265" s="20"/>
      <c r="G265" s="20"/>
      <c r="H265" s="14"/>
      <c r="I265" s="1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>
      <c r="A266" s="71">
        <v>45820</v>
      </c>
      <c r="B266" s="24"/>
      <c r="C266" s="24">
        <v>1000</v>
      </c>
      <c r="D266" s="11" t="s">
        <v>60</v>
      </c>
      <c r="E266" s="8">
        <f t="shared" si="1"/>
        <v>1384</v>
      </c>
      <c r="F266" s="20"/>
      <c r="G266" s="20"/>
      <c r="H266" s="14"/>
      <c r="I266" s="1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>
      <c r="A267" s="71">
        <v>45822</v>
      </c>
      <c r="B267" s="24">
        <f>300+280+285+44.5+233.6+27+39.5+105.5</f>
        <v>1315.1</v>
      </c>
      <c r="C267" s="24"/>
      <c r="D267" s="35" t="s">
        <v>122</v>
      </c>
      <c r="E267" s="8">
        <f t="shared" si="1"/>
        <v>68.900000000000091</v>
      </c>
      <c r="F267" s="20"/>
      <c r="G267" s="20"/>
      <c r="H267" s="14"/>
      <c r="I267" s="1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>
      <c r="A268" s="71">
        <v>45822</v>
      </c>
      <c r="B268" s="24"/>
      <c r="C268" s="24">
        <v>3700</v>
      </c>
      <c r="D268" s="11" t="s">
        <v>60</v>
      </c>
      <c r="E268" s="8">
        <f t="shared" si="1"/>
        <v>3768.9</v>
      </c>
      <c r="F268" s="20"/>
      <c r="G268" s="20"/>
      <c r="H268" s="14"/>
      <c r="I268" s="1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>
      <c r="A269" s="70">
        <v>45822</v>
      </c>
      <c r="B269" s="35">
        <v>3700</v>
      </c>
      <c r="C269" s="35"/>
      <c r="D269" s="35" t="s">
        <v>221</v>
      </c>
      <c r="E269" s="8">
        <f t="shared" si="1"/>
        <v>68.900000000000091</v>
      </c>
      <c r="F269" s="20"/>
      <c r="G269" s="20"/>
      <c r="H269" s="14"/>
      <c r="I269" s="1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>
      <c r="A270" s="24" t="s">
        <v>222</v>
      </c>
      <c r="B270" s="24">
        <v>25</v>
      </c>
      <c r="C270" s="24"/>
      <c r="D270" s="24" t="s">
        <v>132</v>
      </c>
      <c r="E270" s="8">
        <f t="shared" si="1"/>
        <v>43.900000000000091</v>
      </c>
      <c r="F270" s="20"/>
      <c r="G270" s="20"/>
      <c r="H270" s="14"/>
      <c r="I270" s="1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>
      <c r="A271" s="71">
        <v>45822</v>
      </c>
      <c r="B271" s="24">
        <v>80</v>
      </c>
      <c r="C271" s="24"/>
      <c r="D271" s="24" t="s">
        <v>223</v>
      </c>
      <c r="E271" s="8">
        <f t="shared" si="1"/>
        <v>-36.099999999999909</v>
      </c>
      <c r="F271" s="20"/>
      <c r="G271" s="20"/>
      <c r="H271" s="14"/>
      <c r="I271" s="1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>
      <c r="A272" s="73">
        <v>45822</v>
      </c>
      <c r="B272" s="74">
        <v>160</v>
      </c>
      <c r="C272" s="74"/>
      <c r="D272" s="74" t="s">
        <v>224</v>
      </c>
      <c r="E272" s="8">
        <f t="shared" si="1"/>
        <v>-196.09999999999991</v>
      </c>
      <c r="F272" s="20"/>
      <c r="G272" s="20"/>
      <c r="H272" s="14"/>
      <c r="I272" s="1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>
      <c r="A273" s="72">
        <v>45822</v>
      </c>
      <c r="B273" s="75">
        <v>24</v>
      </c>
      <c r="C273" s="75"/>
      <c r="D273" s="75" t="s">
        <v>225</v>
      </c>
      <c r="E273" s="8">
        <f t="shared" si="1"/>
        <v>-220.09999999999991</v>
      </c>
      <c r="F273" s="20"/>
      <c r="G273" s="20"/>
      <c r="H273" s="14"/>
      <c r="I273" s="1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>
      <c r="A274" s="70">
        <v>45823</v>
      </c>
      <c r="B274" s="35">
        <f>140+95</f>
        <v>235</v>
      </c>
      <c r="C274" s="35"/>
      <c r="D274" s="35" t="s">
        <v>132</v>
      </c>
      <c r="E274" s="8">
        <f t="shared" si="1"/>
        <v>-455.09999999999991</v>
      </c>
      <c r="F274" s="20"/>
      <c r="G274" s="20"/>
      <c r="H274" s="14"/>
      <c r="I274" s="1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>
      <c r="A275" s="71">
        <v>45824</v>
      </c>
      <c r="B275" s="24">
        <f>180+40+130+75+95+25</f>
        <v>545</v>
      </c>
      <c r="C275" s="24"/>
      <c r="D275" s="35" t="s">
        <v>132</v>
      </c>
      <c r="E275" s="8">
        <f t="shared" si="1"/>
        <v>-1000.0999999999999</v>
      </c>
      <c r="F275" s="20"/>
      <c r="G275" s="20"/>
      <c r="H275" s="14"/>
      <c r="I275" s="1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>
      <c r="A276" s="71">
        <v>45825</v>
      </c>
      <c r="B276" s="24"/>
      <c r="C276" s="24">
        <v>2000</v>
      </c>
      <c r="D276" s="11" t="s">
        <v>60</v>
      </c>
      <c r="E276" s="8">
        <f t="shared" si="1"/>
        <v>999.90000000000009</v>
      </c>
      <c r="F276" s="20"/>
      <c r="G276" s="20"/>
      <c r="H276" s="14"/>
      <c r="I276" s="1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>
      <c r="A277" s="71">
        <v>45825</v>
      </c>
      <c r="B277" s="24">
        <v>69</v>
      </c>
      <c r="C277" s="24"/>
      <c r="D277" s="24" t="s">
        <v>132</v>
      </c>
      <c r="E277" s="8">
        <f t="shared" si="1"/>
        <v>930.90000000000009</v>
      </c>
      <c r="F277" s="20"/>
      <c r="G277" s="20"/>
      <c r="H277" s="14"/>
      <c r="I277" s="1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>
      <c r="A278" s="71">
        <v>45826</v>
      </c>
      <c r="B278" s="24">
        <v>85</v>
      </c>
      <c r="C278" s="24"/>
      <c r="D278" s="24" t="s">
        <v>226</v>
      </c>
      <c r="E278" s="8">
        <f t="shared" si="1"/>
        <v>845.90000000000009</v>
      </c>
      <c r="F278" s="20"/>
      <c r="G278" s="20"/>
      <c r="H278" s="14"/>
      <c r="I278" s="1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>
      <c r="A279" s="71">
        <v>45826</v>
      </c>
      <c r="B279" s="35">
        <v>25</v>
      </c>
      <c r="C279" s="35"/>
      <c r="D279" s="35" t="s">
        <v>122</v>
      </c>
      <c r="E279" s="8">
        <f t="shared" si="1"/>
        <v>820.90000000000009</v>
      </c>
      <c r="F279" s="20"/>
      <c r="G279" s="20"/>
      <c r="H279" s="14"/>
      <c r="I279" s="1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>
      <c r="A280" s="71">
        <v>45826</v>
      </c>
      <c r="B280" s="24">
        <v>35</v>
      </c>
      <c r="C280" s="24"/>
      <c r="D280" s="24" t="s">
        <v>122</v>
      </c>
      <c r="E280" s="8">
        <f t="shared" si="1"/>
        <v>785.90000000000009</v>
      </c>
      <c r="F280" s="20"/>
      <c r="G280" s="20"/>
      <c r="H280" s="14"/>
      <c r="I280" s="1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>
      <c r="A281" s="71">
        <v>45826</v>
      </c>
      <c r="B281" s="24">
        <v>153</v>
      </c>
      <c r="C281" s="24"/>
      <c r="D281" s="24" t="s">
        <v>227</v>
      </c>
      <c r="E281" s="8">
        <f t="shared" si="1"/>
        <v>632.90000000000009</v>
      </c>
      <c r="F281" s="20"/>
      <c r="G281" s="20"/>
      <c r="H281" s="14"/>
      <c r="I281" s="1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>
      <c r="A282" s="71">
        <v>45826</v>
      </c>
      <c r="B282" s="24"/>
      <c r="C282" s="24">
        <v>1000</v>
      </c>
      <c r="D282" s="11" t="s">
        <v>60</v>
      </c>
      <c r="E282" s="8">
        <f t="shared" si="1"/>
        <v>1632.9</v>
      </c>
      <c r="F282" s="20"/>
      <c r="G282" s="20"/>
      <c r="H282" s="14"/>
      <c r="I282" s="1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>
      <c r="A283" s="71">
        <v>45826</v>
      </c>
      <c r="B283" s="64"/>
      <c r="C283" s="62">
        <v>119000</v>
      </c>
      <c r="D283" s="11" t="s">
        <v>219</v>
      </c>
      <c r="E283" s="8">
        <f t="shared" si="1"/>
        <v>120632.9</v>
      </c>
      <c r="F283" s="20"/>
      <c r="G283" s="20"/>
      <c r="H283" s="14"/>
      <c r="I283" s="1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>
      <c r="A284" s="71">
        <v>45826</v>
      </c>
      <c r="B284" s="24">
        <v>50000</v>
      </c>
      <c r="C284" s="24"/>
      <c r="D284" s="24" t="s">
        <v>228</v>
      </c>
      <c r="E284" s="8">
        <f t="shared" si="1"/>
        <v>70632.899999999994</v>
      </c>
      <c r="F284" s="20"/>
      <c r="G284" s="20"/>
      <c r="H284" s="14"/>
      <c r="I284" s="1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>
      <c r="A285" s="70">
        <v>45827</v>
      </c>
      <c r="B285" s="35">
        <f>468+140+95</f>
        <v>703</v>
      </c>
      <c r="C285" s="35"/>
      <c r="D285" s="35" t="s">
        <v>122</v>
      </c>
      <c r="E285" s="8">
        <f t="shared" si="1"/>
        <v>69929.899999999994</v>
      </c>
      <c r="F285" s="20"/>
      <c r="G285" s="20"/>
      <c r="H285" s="14"/>
      <c r="I285" s="1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>
      <c r="A286" s="71">
        <v>45827</v>
      </c>
      <c r="B286" s="24">
        <v>200</v>
      </c>
      <c r="C286" s="24"/>
      <c r="D286" s="24" t="s">
        <v>229</v>
      </c>
      <c r="E286" s="8">
        <f t="shared" si="1"/>
        <v>69729.899999999994</v>
      </c>
      <c r="F286" s="20"/>
      <c r="G286" s="20"/>
      <c r="H286" s="14"/>
      <c r="I286" s="1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>
      <c r="A287" s="71">
        <v>45827</v>
      </c>
      <c r="B287" s="24">
        <v>70000</v>
      </c>
      <c r="C287" s="24"/>
      <c r="D287" s="24" t="s">
        <v>230</v>
      </c>
      <c r="E287" s="8">
        <f t="shared" si="1"/>
        <v>-270.10000000000582</v>
      </c>
      <c r="F287" s="20"/>
      <c r="G287" s="20"/>
      <c r="H287" s="14"/>
      <c r="I287" s="1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>
      <c r="A288" s="70">
        <v>45827</v>
      </c>
      <c r="B288" s="35"/>
      <c r="C288" s="35">
        <v>2468</v>
      </c>
      <c r="D288" s="11" t="s">
        <v>60</v>
      </c>
      <c r="E288" s="8">
        <f t="shared" si="1"/>
        <v>2197.8999999999942</v>
      </c>
      <c r="F288" s="20"/>
      <c r="G288" s="20"/>
      <c r="H288" s="14"/>
      <c r="I288" s="1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>
      <c r="A289" s="71">
        <v>45827</v>
      </c>
      <c r="B289" s="24">
        <v>1468</v>
      </c>
      <c r="C289" s="24"/>
      <c r="D289" s="24" t="s">
        <v>231</v>
      </c>
      <c r="E289" s="8">
        <f t="shared" si="1"/>
        <v>729.89999999999418</v>
      </c>
      <c r="F289" s="20"/>
      <c r="G289" s="20"/>
      <c r="H289" s="14"/>
      <c r="I289" s="1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>
      <c r="A290" s="70">
        <v>45827</v>
      </c>
      <c r="B290" s="35">
        <v>30</v>
      </c>
      <c r="C290" s="35"/>
      <c r="D290" s="35" t="s">
        <v>232</v>
      </c>
      <c r="E290" s="8">
        <f t="shared" si="1"/>
        <v>699.89999999999418</v>
      </c>
      <c r="F290" s="20"/>
      <c r="G290" s="20"/>
      <c r="H290" s="14"/>
      <c r="I290" s="1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>
      <c r="A291" s="76">
        <v>45827</v>
      </c>
      <c r="B291" s="42">
        <v>20</v>
      </c>
      <c r="C291" s="42"/>
      <c r="D291" s="42" t="s">
        <v>233</v>
      </c>
      <c r="E291" s="8">
        <f t="shared" si="1"/>
        <v>679.89999999999418</v>
      </c>
      <c r="F291" s="20"/>
      <c r="G291" s="20"/>
      <c r="H291" s="14"/>
      <c r="I291" s="1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>
      <c r="A292" s="70">
        <v>45827</v>
      </c>
      <c r="B292" s="35">
        <f>280+156+140+90</f>
        <v>666</v>
      </c>
      <c r="C292" s="35"/>
      <c r="D292" s="35" t="s">
        <v>122</v>
      </c>
      <c r="E292" s="8">
        <f t="shared" si="1"/>
        <v>13.899999999994179</v>
      </c>
      <c r="F292" s="20"/>
      <c r="G292" s="20"/>
      <c r="H292" s="14"/>
      <c r="I292" s="1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>
      <c r="A293" s="71">
        <v>45829</v>
      </c>
      <c r="B293" s="24">
        <v>65</v>
      </c>
      <c r="C293" s="24"/>
      <c r="D293" s="35" t="s">
        <v>122</v>
      </c>
      <c r="E293" s="8">
        <f t="shared" si="1"/>
        <v>-51.100000000005821</v>
      </c>
      <c r="F293" s="20"/>
      <c r="G293" s="20"/>
      <c r="H293" s="14"/>
      <c r="I293" s="1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>
      <c r="A294" s="70">
        <v>45829</v>
      </c>
      <c r="B294" s="35">
        <v>95</v>
      </c>
      <c r="C294" s="35"/>
      <c r="D294" s="35" t="s">
        <v>234</v>
      </c>
      <c r="E294" s="8">
        <f t="shared" si="1"/>
        <v>-146.10000000000582</v>
      </c>
      <c r="F294" s="20"/>
      <c r="G294" s="20"/>
      <c r="H294" s="14"/>
      <c r="I294" s="1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>
      <c r="A295" s="71">
        <v>45829</v>
      </c>
      <c r="B295" s="24"/>
      <c r="C295" s="24">
        <v>556</v>
      </c>
      <c r="D295" s="11" t="s">
        <v>60</v>
      </c>
      <c r="E295" s="8">
        <f t="shared" si="1"/>
        <v>409.89999999999418</v>
      </c>
      <c r="F295" s="20"/>
      <c r="G295" s="20"/>
      <c r="H295" s="14"/>
      <c r="I295" s="1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>
      <c r="A296" s="71">
        <v>45829</v>
      </c>
      <c r="B296" s="24">
        <v>556</v>
      </c>
      <c r="C296" s="24"/>
      <c r="D296" s="24" t="s">
        <v>235</v>
      </c>
      <c r="E296" s="8">
        <f t="shared" si="1"/>
        <v>-146.10000000000582</v>
      </c>
      <c r="F296" s="20"/>
      <c r="G296" s="20"/>
      <c r="H296" s="14"/>
      <c r="I296" s="1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>
      <c r="A297" s="70">
        <v>45829</v>
      </c>
      <c r="B297" s="35">
        <v>20</v>
      </c>
      <c r="C297" s="35"/>
      <c r="D297" s="35" t="s">
        <v>236</v>
      </c>
      <c r="E297" s="8">
        <f t="shared" si="1"/>
        <v>-166.10000000000582</v>
      </c>
      <c r="F297" s="20"/>
      <c r="G297" s="20"/>
      <c r="H297" s="14"/>
      <c r="I297" s="1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>
      <c r="A298" s="71">
        <v>45830</v>
      </c>
      <c r="B298" s="24">
        <v>500</v>
      </c>
      <c r="C298" s="24"/>
      <c r="D298" s="24" t="s">
        <v>237</v>
      </c>
      <c r="E298" s="8">
        <f t="shared" si="1"/>
        <v>-666.10000000000582</v>
      </c>
      <c r="F298" s="20"/>
      <c r="G298" s="20"/>
      <c r="H298" s="14"/>
      <c r="I298" s="1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>
      <c r="A299" s="70">
        <v>45830</v>
      </c>
      <c r="B299" s="35">
        <v>100</v>
      </c>
      <c r="C299" s="35"/>
      <c r="D299" s="35" t="s">
        <v>238</v>
      </c>
      <c r="E299" s="8">
        <f t="shared" si="1"/>
        <v>-766.10000000000582</v>
      </c>
      <c r="F299" s="20"/>
      <c r="G299" s="20"/>
      <c r="H299" s="14"/>
      <c r="I299" s="1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>
      <c r="A300" s="71">
        <v>45830</v>
      </c>
      <c r="B300" s="24">
        <v>180</v>
      </c>
      <c r="C300" s="24"/>
      <c r="D300" s="24" t="s">
        <v>132</v>
      </c>
      <c r="E300" s="8">
        <f t="shared" si="1"/>
        <v>-946.10000000000582</v>
      </c>
      <c r="F300" s="20"/>
      <c r="G300" s="20"/>
      <c r="H300" s="14"/>
      <c r="I300" s="1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>
      <c r="A301" s="70">
        <v>45831</v>
      </c>
      <c r="B301" s="35">
        <v>100</v>
      </c>
      <c r="C301" s="35"/>
      <c r="D301" s="35" t="s">
        <v>239</v>
      </c>
      <c r="E301" s="8">
        <f t="shared" si="1"/>
        <v>-1046.1000000000058</v>
      </c>
      <c r="F301" s="20"/>
      <c r="G301" s="20"/>
      <c r="H301" s="14"/>
      <c r="I301" s="1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s="70">
        <v>45831</v>
      </c>
      <c r="B302" s="35">
        <v>148</v>
      </c>
      <c r="C302" s="35"/>
      <c r="D302" s="35" t="s">
        <v>132</v>
      </c>
      <c r="E302" s="8">
        <f t="shared" si="1"/>
        <v>-1194.1000000000058</v>
      </c>
      <c r="F302" s="20"/>
      <c r="G302" s="20"/>
      <c r="H302" s="14"/>
      <c r="I302" s="1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s="70">
        <v>45832</v>
      </c>
      <c r="B303" s="35">
        <v>20</v>
      </c>
      <c r="C303" s="35"/>
      <c r="D303" s="35" t="s">
        <v>240</v>
      </c>
      <c r="E303" s="8">
        <f t="shared" si="1"/>
        <v>-1214.1000000000058</v>
      </c>
      <c r="F303" s="20"/>
      <c r="G303" s="20"/>
      <c r="H303" s="14"/>
      <c r="I303" s="1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>
      <c r="A304" s="77">
        <v>45833</v>
      </c>
      <c r="B304" s="64"/>
      <c r="C304" s="64">
        <v>500</v>
      </c>
      <c r="D304" s="55" t="s">
        <v>60</v>
      </c>
      <c r="E304" s="8">
        <f t="shared" si="1"/>
        <v>-714.10000000000582</v>
      </c>
      <c r="F304" s="20"/>
      <c r="G304" s="20"/>
      <c r="H304" s="14"/>
      <c r="I304" s="1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>
      <c r="A305" s="70">
        <v>45834</v>
      </c>
      <c r="B305" s="35">
        <v>500</v>
      </c>
      <c r="C305" s="35"/>
      <c r="D305" s="35" t="s">
        <v>169</v>
      </c>
      <c r="E305" s="8">
        <f t="shared" si="1"/>
        <v>-1214.1000000000058</v>
      </c>
      <c r="F305" s="20"/>
      <c r="G305" s="20"/>
      <c r="H305" s="14"/>
      <c r="I305" s="1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>
      <c r="A306" s="70">
        <v>45834</v>
      </c>
      <c r="B306" s="35">
        <v>1076</v>
      </c>
      <c r="C306" s="35"/>
      <c r="D306" s="35" t="s">
        <v>132</v>
      </c>
      <c r="E306" s="8">
        <f t="shared" si="1"/>
        <v>-2290.1000000000058</v>
      </c>
      <c r="F306" s="20"/>
      <c r="G306" s="20"/>
      <c r="H306" s="14"/>
      <c r="I306" s="1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>
      <c r="A307" s="70">
        <v>45834</v>
      </c>
      <c r="B307" s="35">
        <v>120</v>
      </c>
      <c r="C307" s="35"/>
      <c r="D307" s="35" t="s">
        <v>241</v>
      </c>
      <c r="E307" s="8">
        <f t="shared" si="1"/>
        <v>-2410.1000000000058</v>
      </c>
      <c r="F307" s="20"/>
      <c r="G307" s="20"/>
      <c r="H307" s="14"/>
      <c r="I307" s="1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>
      <c r="A308" s="70">
        <v>45837</v>
      </c>
      <c r="B308" s="35"/>
      <c r="C308" s="35">
        <v>500</v>
      </c>
      <c r="D308" s="11" t="s">
        <v>60</v>
      </c>
      <c r="E308" s="8">
        <f t="shared" si="1"/>
        <v>-1910.1000000000058</v>
      </c>
      <c r="F308" s="20"/>
      <c r="G308" s="20"/>
      <c r="H308" s="14"/>
      <c r="I308" s="1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>
      <c r="A309" s="71">
        <v>45838</v>
      </c>
      <c r="B309" s="24">
        <v>500</v>
      </c>
      <c r="C309" s="24"/>
      <c r="D309" s="24" t="s">
        <v>169</v>
      </c>
      <c r="E309" s="8">
        <f t="shared" si="1"/>
        <v>-2410.1000000000058</v>
      </c>
      <c r="F309" s="20"/>
      <c r="G309" s="20"/>
      <c r="H309" s="14"/>
      <c r="I309" s="1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>
      <c r="A310" s="70">
        <v>45838</v>
      </c>
      <c r="B310" s="35">
        <v>25</v>
      </c>
      <c r="C310" s="35"/>
      <c r="D310" s="35" t="s">
        <v>122</v>
      </c>
      <c r="E310" s="8">
        <f t="shared" si="1"/>
        <v>-2435.1000000000058</v>
      </c>
      <c r="F310" s="20"/>
      <c r="G310" s="20"/>
      <c r="H310" s="14"/>
      <c r="I310" s="1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>
      <c r="A311" s="71">
        <v>45839</v>
      </c>
      <c r="B311" s="24">
        <f>75+95</f>
        <v>170</v>
      </c>
      <c r="C311" s="24"/>
      <c r="D311" s="24" t="s">
        <v>122</v>
      </c>
      <c r="E311" s="8">
        <f t="shared" si="1"/>
        <v>-2605.1000000000058</v>
      </c>
      <c r="F311" s="20"/>
      <c r="G311" s="20"/>
      <c r="H311" s="14"/>
      <c r="I311" s="1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>
      <c r="A312" s="70">
        <v>45839</v>
      </c>
      <c r="B312" s="35"/>
      <c r="C312" s="35">
        <v>500</v>
      </c>
      <c r="D312" s="11" t="s">
        <v>60</v>
      </c>
      <c r="E312" s="8">
        <f t="shared" si="1"/>
        <v>-2105.1000000000058</v>
      </c>
      <c r="F312" s="20"/>
      <c r="G312" s="20"/>
      <c r="H312" s="14"/>
      <c r="I312" s="1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>
      <c r="A313" s="71">
        <v>45839</v>
      </c>
      <c r="B313" s="24">
        <f>25+90</f>
        <v>115</v>
      </c>
      <c r="C313" s="24"/>
      <c r="D313" s="24" t="s">
        <v>122</v>
      </c>
      <c r="E313" s="8">
        <f t="shared" si="1"/>
        <v>-2220.1000000000058</v>
      </c>
      <c r="F313" s="20"/>
      <c r="G313" s="20"/>
      <c r="H313" s="14"/>
      <c r="I313" s="1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>
      <c r="A314" s="70">
        <v>45840</v>
      </c>
      <c r="B314" s="35"/>
      <c r="C314" s="35">
        <v>300</v>
      </c>
      <c r="D314" s="11" t="s">
        <v>242</v>
      </c>
      <c r="E314" s="8">
        <f t="shared" si="1"/>
        <v>-1920.1000000000058</v>
      </c>
      <c r="F314" s="20"/>
      <c r="G314" s="20"/>
      <c r="H314" s="14"/>
      <c r="I314" s="1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>
      <c r="A315" s="71">
        <v>45840</v>
      </c>
      <c r="B315" s="24">
        <v>300</v>
      </c>
      <c r="C315" s="24"/>
      <c r="D315" s="24" t="s">
        <v>169</v>
      </c>
      <c r="E315" s="8">
        <f t="shared" si="1"/>
        <v>-2220.1000000000058</v>
      </c>
      <c r="F315" s="20"/>
      <c r="G315" s="20"/>
      <c r="H315" s="14"/>
      <c r="I315" s="1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>
      <c r="A316" s="70">
        <v>45840</v>
      </c>
      <c r="B316" s="35">
        <v>235</v>
      </c>
      <c r="C316" s="35"/>
      <c r="D316" s="35" t="s">
        <v>132</v>
      </c>
      <c r="E316" s="8">
        <f t="shared" si="1"/>
        <v>-2455.1000000000058</v>
      </c>
      <c r="F316" s="20"/>
      <c r="G316" s="20"/>
      <c r="H316" s="14"/>
      <c r="I316" s="1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>
      <c r="A317" s="71">
        <v>45841</v>
      </c>
      <c r="B317" s="24"/>
      <c r="C317" s="24">
        <v>500</v>
      </c>
      <c r="D317" s="11" t="s">
        <v>242</v>
      </c>
      <c r="E317" s="8">
        <f t="shared" si="1"/>
        <v>-1955.1000000000058</v>
      </c>
      <c r="F317" s="20"/>
      <c r="G317" s="20"/>
      <c r="H317" s="14"/>
      <c r="I317" s="1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>
      <c r="A318" s="71">
        <v>45841</v>
      </c>
      <c r="B318" s="24">
        <v>400</v>
      </c>
      <c r="C318" s="24"/>
      <c r="D318" s="24" t="s">
        <v>169</v>
      </c>
      <c r="E318" s="8">
        <f t="shared" si="1"/>
        <v>-2355.1000000000058</v>
      </c>
      <c r="F318" s="20"/>
      <c r="G318" s="20"/>
      <c r="H318" s="14"/>
      <c r="I318" s="1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>
      <c r="A319" s="71">
        <v>45841</v>
      </c>
      <c r="B319" s="24">
        <v>20</v>
      </c>
      <c r="C319" s="24"/>
      <c r="D319" s="24" t="s">
        <v>243</v>
      </c>
      <c r="E319" s="8">
        <f t="shared" si="1"/>
        <v>-2375.1000000000058</v>
      </c>
      <c r="F319" s="20"/>
      <c r="G319" s="20"/>
      <c r="H319" s="14"/>
      <c r="I319" s="1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>
      <c r="A320" s="71">
        <v>45841</v>
      </c>
      <c r="B320" s="24">
        <f>80+50</f>
        <v>130</v>
      </c>
      <c r="C320" s="24"/>
      <c r="D320" s="24" t="s">
        <v>132</v>
      </c>
      <c r="E320" s="8">
        <f t="shared" si="1"/>
        <v>-2505.1000000000058</v>
      </c>
      <c r="F320" s="20"/>
      <c r="G320" s="20"/>
      <c r="H320" s="14"/>
      <c r="I320" s="1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>
      <c r="A321" s="71">
        <v>45843</v>
      </c>
      <c r="B321" s="24">
        <f>750+700+225+175+120+35+170+25+90</f>
        <v>2290</v>
      </c>
      <c r="C321" s="24"/>
      <c r="D321" s="24" t="s">
        <v>132</v>
      </c>
      <c r="E321" s="8">
        <f t="shared" si="1"/>
        <v>-4795.1000000000058</v>
      </c>
      <c r="F321" s="20"/>
      <c r="G321" s="20"/>
      <c r="H321" s="14"/>
      <c r="I321" s="1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>
      <c r="A322" s="78">
        <v>45843</v>
      </c>
      <c r="B322" s="64"/>
      <c r="C322" s="79">
        <v>170</v>
      </c>
      <c r="D322" s="80" t="s">
        <v>244</v>
      </c>
      <c r="E322" s="8">
        <f t="shared" si="1"/>
        <v>-4625.1000000000058</v>
      </c>
      <c r="F322" s="20"/>
      <c r="G322" s="20"/>
      <c r="H322" s="14"/>
      <c r="I322" s="1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>
      <c r="A323" s="71">
        <v>45844</v>
      </c>
      <c r="B323" s="24">
        <v>500</v>
      </c>
      <c r="C323" s="24"/>
      <c r="D323" s="24" t="s">
        <v>169</v>
      </c>
      <c r="E323" s="8">
        <f t="shared" si="1"/>
        <v>-5125.1000000000058</v>
      </c>
      <c r="F323" s="20"/>
      <c r="G323" s="20"/>
      <c r="H323" s="14"/>
      <c r="I323" s="1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>
      <c r="A324" s="70">
        <v>45844</v>
      </c>
      <c r="B324" s="35"/>
      <c r="C324" s="35">
        <v>500</v>
      </c>
      <c r="D324" s="11" t="s">
        <v>94</v>
      </c>
      <c r="E324" s="8">
        <f t="shared" si="1"/>
        <v>-4625.1000000000058</v>
      </c>
      <c r="F324" s="20"/>
      <c r="G324" s="20"/>
      <c r="H324" s="14"/>
      <c r="I324" s="1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>
      <c r="A325" s="35" t="s">
        <v>245</v>
      </c>
      <c r="B325" s="35"/>
      <c r="C325" s="35">
        <v>1000</v>
      </c>
      <c r="D325" s="80" t="s">
        <v>244</v>
      </c>
      <c r="E325" s="8">
        <f t="shared" si="1"/>
        <v>-3625.1000000000058</v>
      </c>
      <c r="F325" s="20"/>
      <c r="G325" s="20"/>
      <c r="H325" s="14"/>
      <c r="I325" s="1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>
      <c r="A326" s="79" t="s">
        <v>245</v>
      </c>
      <c r="B326" s="79">
        <v>500</v>
      </c>
      <c r="C326" s="79"/>
      <c r="D326" s="79" t="s">
        <v>169</v>
      </c>
      <c r="E326" s="8">
        <f t="shared" si="1"/>
        <v>-4125.1000000000058</v>
      </c>
      <c r="F326" s="20"/>
      <c r="G326" s="20"/>
      <c r="H326" s="14"/>
      <c r="I326" s="1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>
      <c r="A327" s="35" t="s">
        <v>245</v>
      </c>
      <c r="B327" s="35">
        <f>90+50</f>
        <v>140</v>
      </c>
      <c r="C327" s="35"/>
      <c r="D327" s="35" t="s">
        <v>122</v>
      </c>
      <c r="E327" s="8">
        <f t="shared" si="1"/>
        <v>-4265.1000000000058</v>
      </c>
      <c r="F327" s="20"/>
      <c r="G327" s="20"/>
      <c r="H327" s="14"/>
      <c r="I327" s="1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>
      <c r="A328" s="24" t="s">
        <v>245</v>
      </c>
      <c r="B328" s="24">
        <f>80</f>
        <v>80</v>
      </c>
      <c r="C328" s="24"/>
      <c r="D328" s="24" t="s">
        <v>122</v>
      </c>
      <c r="E328" s="8">
        <f t="shared" si="1"/>
        <v>-4345.1000000000058</v>
      </c>
      <c r="F328" s="20"/>
      <c r="G328" s="20"/>
      <c r="H328" s="14"/>
      <c r="I328" s="1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>
      <c r="A329" s="24" t="s">
        <v>246</v>
      </c>
      <c r="B329" s="24">
        <f>90+75</f>
        <v>165</v>
      </c>
      <c r="C329" s="24"/>
      <c r="D329" s="24" t="s">
        <v>122</v>
      </c>
      <c r="E329" s="8">
        <f t="shared" si="1"/>
        <v>-4510.1000000000058</v>
      </c>
      <c r="F329" s="20"/>
      <c r="G329" s="20"/>
      <c r="H329" s="14"/>
      <c r="I329" s="1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>
      <c r="A330" s="24" t="s">
        <v>247</v>
      </c>
      <c r="B330" s="24">
        <v>60</v>
      </c>
      <c r="C330" s="24"/>
      <c r="D330" s="24" t="s">
        <v>122</v>
      </c>
      <c r="E330" s="8">
        <f t="shared" si="1"/>
        <v>-4570.1000000000058</v>
      </c>
      <c r="F330" s="20"/>
      <c r="G330" s="20"/>
      <c r="H330" s="14"/>
      <c r="I330" s="1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>
      <c r="A331" s="24" t="s">
        <v>248</v>
      </c>
      <c r="B331" s="24">
        <v>90</v>
      </c>
      <c r="C331" s="24"/>
      <c r="D331" s="35" t="s">
        <v>122</v>
      </c>
      <c r="E331" s="8">
        <f t="shared" si="1"/>
        <v>-4660.1000000000058</v>
      </c>
      <c r="F331" s="20"/>
      <c r="G331" s="20"/>
      <c r="H331" s="14"/>
      <c r="I331" s="1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>
      <c r="A332" s="24" t="s">
        <v>248</v>
      </c>
      <c r="B332" s="81"/>
      <c r="C332" s="24">
        <f>180+37000</f>
        <v>37180</v>
      </c>
      <c r="D332" s="11" t="s">
        <v>94</v>
      </c>
      <c r="E332" s="8">
        <f t="shared" si="1"/>
        <v>32519.899999999994</v>
      </c>
      <c r="F332" s="20"/>
      <c r="G332" s="20"/>
      <c r="H332" s="14"/>
      <c r="I332" s="1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>
      <c r="A333" s="24" t="s">
        <v>248</v>
      </c>
      <c r="B333" s="35">
        <v>55</v>
      </c>
      <c r="C333" s="24"/>
      <c r="D333" s="35" t="s">
        <v>122</v>
      </c>
      <c r="E333" s="8">
        <f t="shared" si="1"/>
        <v>32464.899999999994</v>
      </c>
      <c r="F333" s="20"/>
      <c r="G333" s="20"/>
      <c r="H333" s="14" t="s">
        <v>252</v>
      </c>
      <c r="I333" s="1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>
      <c r="A334" s="24" t="s">
        <v>248</v>
      </c>
      <c r="B334" s="35"/>
      <c r="C334" s="24">
        <f>51660-3135</f>
        <v>48525</v>
      </c>
      <c r="D334" s="80" t="s">
        <v>244</v>
      </c>
      <c r="E334" s="8">
        <f t="shared" si="1"/>
        <v>80989.899999999994</v>
      </c>
      <c r="F334" s="20"/>
      <c r="G334" s="20"/>
      <c r="H334" s="14"/>
      <c r="I334" s="1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>
      <c r="A335" s="24" t="s">
        <v>249</v>
      </c>
      <c r="B335" s="35">
        <v>1000</v>
      </c>
      <c r="C335" s="24"/>
      <c r="D335" s="35" t="s">
        <v>250</v>
      </c>
      <c r="E335" s="8">
        <f t="shared" si="1"/>
        <v>79989.899999999994</v>
      </c>
      <c r="F335" s="20"/>
      <c r="G335" s="20"/>
      <c r="H335" s="14"/>
      <c r="I335" s="14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spans="1:29" ht="15.75" customHeight="1">
      <c r="A336" s="24" t="s">
        <v>249</v>
      </c>
      <c r="B336" s="35">
        <f>45+60+40+60</f>
        <v>205</v>
      </c>
      <c r="C336" s="24"/>
      <c r="D336" s="35" t="s">
        <v>122</v>
      </c>
      <c r="E336" s="8">
        <f t="shared" si="1"/>
        <v>79784.899999999994</v>
      </c>
      <c r="F336" s="20"/>
      <c r="G336" s="20"/>
      <c r="H336" s="14"/>
      <c r="I336" s="14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spans="1:29" ht="15.75" customHeight="1">
      <c r="A337" s="24" t="s">
        <v>249</v>
      </c>
      <c r="B337" s="35">
        <v>180</v>
      </c>
      <c r="C337" s="24"/>
      <c r="D337" s="35" t="s">
        <v>211</v>
      </c>
      <c r="E337" s="8">
        <f t="shared" si="1"/>
        <v>79604.899999999994</v>
      </c>
      <c r="F337" s="20"/>
      <c r="G337" s="20"/>
      <c r="H337" s="14"/>
      <c r="I337" s="14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spans="1:29" ht="15.75" customHeight="1">
      <c r="A338" s="24" t="s">
        <v>249</v>
      </c>
      <c r="B338" s="24">
        <f>87660-3135-1200</f>
        <v>83325</v>
      </c>
      <c r="C338" s="24"/>
      <c r="D338" s="82" t="s">
        <v>251</v>
      </c>
      <c r="E338" s="8">
        <f t="shared" si="1"/>
        <v>-3720.1000000000058</v>
      </c>
      <c r="F338" s="20"/>
      <c r="G338" s="20"/>
      <c r="H338" s="14"/>
      <c r="I338" s="14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spans="1:29" ht="15.75" customHeight="1">
      <c r="A339" s="35" t="s">
        <v>249</v>
      </c>
      <c r="B339" s="35"/>
      <c r="C339" s="35">
        <v>5000</v>
      </c>
      <c r="D339" s="80" t="s">
        <v>244</v>
      </c>
      <c r="E339" s="8">
        <f t="shared" si="1"/>
        <v>1279.8999999999942</v>
      </c>
      <c r="F339" s="20"/>
      <c r="G339" s="20"/>
      <c r="H339" s="14"/>
      <c r="I339" s="14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spans="1:29" ht="15.75" customHeight="1">
      <c r="A340" s="24" t="s">
        <v>249</v>
      </c>
      <c r="B340" s="24">
        <v>213</v>
      </c>
      <c r="C340" s="24"/>
      <c r="D340" s="82" t="s">
        <v>253</v>
      </c>
      <c r="E340" s="8">
        <f t="shared" si="1"/>
        <v>1066.8999999999942</v>
      </c>
      <c r="F340" s="20"/>
      <c r="G340" s="20"/>
      <c r="H340" s="14"/>
      <c r="I340" s="1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>
      <c r="A341" s="24" t="s">
        <v>249</v>
      </c>
      <c r="B341" s="24">
        <v>70</v>
      </c>
      <c r="C341" s="24"/>
      <c r="D341" s="24" t="s">
        <v>132</v>
      </c>
      <c r="E341" s="8">
        <f t="shared" si="1"/>
        <v>996.89999999999418</v>
      </c>
      <c r="F341" s="20"/>
      <c r="G341" s="20"/>
      <c r="H341" s="14"/>
      <c r="I341" s="1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>
      <c r="A342" s="24" t="s">
        <v>249</v>
      </c>
      <c r="B342" s="24"/>
      <c r="C342" s="24">
        <v>3075.5</v>
      </c>
      <c r="D342" s="24" t="s">
        <v>60</v>
      </c>
      <c r="E342" s="8">
        <f t="shared" si="1"/>
        <v>4072.3999999999942</v>
      </c>
      <c r="F342" s="20"/>
      <c r="G342" s="20"/>
      <c r="H342" s="14"/>
      <c r="I342" s="1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>
      <c r="A343" s="71">
        <v>45852</v>
      </c>
      <c r="B343" s="24">
        <v>3075.5</v>
      </c>
      <c r="C343" s="24"/>
      <c r="D343" s="24" t="s">
        <v>254</v>
      </c>
      <c r="E343" s="8">
        <f t="shared" si="1"/>
        <v>996.89999999999418</v>
      </c>
      <c r="F343" s="20"/>
      <c r="G343" s="20"/>
      <c r="H343" s="14"/>
      <c r="I343" s="1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>
      <c r="A344" s="71">
        <v>45852</v>
      </c>
      <c r="B344" s="24">
        <v>2240</v>
      </c>
      <c r="C344" s="24"/>
      <c r="D344" s="24" t="s">
        <v>132</v>
      </c>
      <c r="E344" s="8">
        <f t="shared" si="1"/>
        <v>-1243.1000000000058</v>
      </c>
      <c r="F344" s="20"/>
      <c r="G344" s="20"/>
      <c r="H344" s="14"/>
      <c r="I344" s="1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>
      <c r="A345" s="24" t="s">
        <v>255</v>
      </c>
      <c r="B345" s="30">
        <v>1000</v>
      </c>
      <c r="C345" s="24"/>
      <c r="D345" s="83" t="s">
        <v>169</v>
      </c>
      <c r="E345" s="8">
        <f t="shared" si="1"/>
        <v>-2243.1000000000058</v>
      </c>
      <c r="F345" s="20"/>
      <c r="G345" s="20"/>
      <c r="H345" s="14"/>
      <c r="I345" s="1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>
      <c r="A346" s="71">
        <v>45855</v>
      </c>
      <c r="B346" s="30">
        <v>17</v>
      </c>
      <c r="C346" s="35"/>
      <c r="D346" s="30" t="s">
        <v>132</v>
      </c>
      <c r="E346" s="8">
        <f t="shared" si="1"/>
        <v>-2260.1000000000058</v>
      </c>
      <c r="F346" s="20"/>
      <c r="G346" s="20"/>
      <c r="H346" s="14"/>
      <c r="I346" s="1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>
      <c r="A347" s="71">
        <v>45857</v>
      </c>
      <c r="B347" s="30">
        <v>90</v>
      </c>
      <c r="C347" s="24"/>
      <c r="D347" s="7" t="s">
        <v>220</v>
      </c>
      <c r="E347" s="8">
        <f t="shared" si="1"/>
        <v>-2350.1000000000058</v>
      </c>
      <c r="F347" s="20"/>
      <c r="G347" s="20"/>
      <c r="H347" s="14"/>
      <c r="I347" s="1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>
      <c r="A348" s="71">
        <v>45857</v>
      </c>
      <c r="B348" s="30"/>
      <c r="C348" s="24">
        <v>4000</v>
      </c>
      <c r="D348" s="84" t="s">
        <v>60</v>
      </c>
      <c r="E348" s="8">
        <f t="shared" si="1"/>
        <v>1649.8999999999942</v>
      </c>
      <c r="F348" s="20"/>
      <c r="G348" s="20"/>
      <c r="H348" s="14"/>
      <c r="I348" s="1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>
      <c r="A349" s="71">
        <v>45858</v>
      </c>
      <c r="B349" s="42">
        <f>90+70</f>
        <v>160</v>
      </c>
      <c r="C349" s="35"/>
      <c r="D349" s="42" t="s">
        <v>132</v>
      </c>
      <c r="E349" s="8">
        <f t="shared" si="1"/>
        <v>1489.8999999999942</v>
      </c>
      <c r="F349" s="20"/>
      <c r="G349" s="20"/>
      <c r="H349" s="14"/>
      <c r="I349" s="1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>
      <c r="A350" s="71">
        <v>45858</v>
      </c>
      <c r="B350" s="42">
        <v>150</v>
      </c>
      <c r="C350" s="24"/>
      <c r="D350" s="35" t="s">
        <v>256</v>
      </c>
      <c r="E350" s="8">
        <f t="shared" si="1"/>
        <v>1339.8999999999942</v>
      </c>
      <c r="F350" s="20"/>
      <c r="G350" s="20"/>
      <c r="H350" s="14"/>
      <c r="I350" s="1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>
      <c r="A351" s="71">
        <v>45858</v>
      </c>
      <c r="B351" s="42">
        <v>80</v>
      </c>
      <c r="C351" s="24"/>
      <c r="D351" s="42" t="s">
        <v>257</v>
      </c>
      <c r="E351" s="8">
        <f t="shared" si="1"/>
        <v>1259.8999999999942</v>
      </c>
      <c r="F351" s="20"/>
      <c r="G351" s="20"/>
      <c r="H351" s="14"/>
      <c r="I351" s="1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>
      <c r="A352" s="71">
        <v>45858</v>
      </c>
      <c r="B352" s="35"/>
      <c r="C352" s="35">
        <f>22000+20000</f>
        <v>42000</v>
      </c>
      <c r="D352" s="11" t="s">
        <v>60</v>
      </c>
      <c r="E352" s="8">
        <f t="shared" si="1"/>
        <v>43259.899999999994</v>
      </c>
      <c r="F352" s="20"/>
      <c r="G352" s="20"/>
      <c r="H352" s="14"/>
      <c r="I352" s="1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>
      <c r="A353" s="71">
        <v>45858</v>
      </c>
      <c r="B353" s="24">
        <v>20000</v>
      </c>
      <c r="C353" s="24"/>
      <c r="D353" s="24" t="s">
        <v>258</v>
      </c>
      <c r="E353" s="8">
        <f t="shared" si="1"/>
        <v>23259.899999999994</v>
      </c>
      <c r="F353" s="20"/>
      <c r="G353" s="20"/>
      <c r="H353" s="14"/>
      <c r="I353" s="1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>
      <c r="A354" s="70">
        <v>45858</v>
      </c>
      <c r="B354" s="7">
        <v>1575</v>
      </c>
      <c r="C354" s="35"/>
      <c r="D354" s="35" t="s">
        <v>259</v>
      </c>
      <c r="E354" s="8">
        <f t="shared" si="1"/>
        <v>21684.899999999994</v>
      </c>
      <c r="F354" s="20"/>
      <c r="G354" s="20"/>
      <c r="H354" s="14"/>
      <c r="I354" s="1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>
      <c r="A355" s="71">
        <v>45858</v>
      </c>
      <c r="B355" s="24">
        <v>20000</v>
      </c>
      <c r="C355" s="24"/>
      <c r="D355" s="24" t="s">
        <v>260</v>
      </c>
      <c r="E355" s="8">
        <f t="shared" si="1"/>
        <v>1684.8999999999942</v>
      </c>
      <c r="F355" s="20"/>
      <c r="G355" s="20"/>
      <c r="H355" s="14"/>
      <c r="I355" s="1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>
      <c r="A356" s="70">
        <v>45859</v>
      </c>
      <c r="B356" s="35">
        <v>200</v>
      </c>
      <c r="C356" s="35"/>
      <c r="D356" s="35" t="s">
        <v>238</v>
      </c>
      <c r="E356" s="8">
        <f t="shared" si="1"/>
        <v>1484.8999999999942</v>
      </c>
      <c r="F356" s="20"/>
      <c r="G356" s="20"/>
      <c r="H356" s="14"/>
      <c r="I356" s="1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>
      <c r="A357" s="71">
        <v>45859</v>
      </c>
      <c r="B357" s="24"/>
      <c r="C357" s="24">
        <v>1095</v>
      </c>
      <c r="D357" s="31" t="s">
        <v>94</v>
      </c>
      <c r="E357" s="8">
        <f t="shared" si="1"/>
        <v>2579.8999999999942</v>
      </c>
      <c r="F357" s="20"/>
      <c r="G357" s="20"/>
      <c r="H357" s="14"/>
      <c r="I357" s="1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>
      <c r="A358" s="70">
        <v>45859</v>
      </c>
      <c r="B358" s="35">
        <f>95+50</f>
        <v>145</v>
      </c>
      <c r="C358" s="35"/>
      <c r="D358" s="35" t="s">
        <v>132</v>
      </c>
      <c r="E358" s="8">
        <f t="shared" si="1"/>
        <v>2434.8999999999942</v>
      </c>
      <c r="F358" s="20"/>
      <c r="G358" s="20"/>
      <c r="H358" s="14"/>
      <c r="I358" s="1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>
      <c r="A359" s="71">
        <v>45859</v>
      </c>
      <c r="B359" s="24">
        <v>100</v>
      </c>
      <c r="C359" s="24"/>
      <c r="D359" s="24" t="s">
        <v>261</v>
      </c>
      <c r="E359" s="8">
        <f t="shared" si="1"/>
        <v>2334.8999999999942</v>
      </c>
      <c r="F359" s="20"/>
      <c r="G359" s="20"/>
      <c r="H359" s="14"/>
      <c r="I359" s="1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>
      <c r="A360" s="71">
        <v>45859</v>
      </c>
      <c r="B360" s="24">
        <v>5</v>
      </c>
      <c r="C360" s="24"/>
      <c r="D360" s="24" t="s">
        <v>262</v>
      </c>
      <c r="E360" s="8">
        <f t="shared" si="1"/>
        <v>2329.8999999999942</v>
      </c>
      <c r="F360" s="20"/>
      <c r="G360" s="20"/>
      <c r="H360" s="14"/>
      <c r="I360" s="1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>
      <c r="A361" s="71">
        <v>45859</v>
      </c>
      <c r="B361" s="24">
        <v>1000</v>
      </c>
      <c r="C361" s="24"/>
      <c r="D361" s="24" t="s">
        <v>263</v>
      </c>
      <c r="E361" s="8">
        <f t="shared" si="1"/>
        <v>1329.8999999999942</v>
      </c>
      <c r="F361" s="20"/>
      <c r="G361" s="20"/>
      <c r="H361" s="14"/>
      <c r="I361" s="1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>
      <c r="A362" s="70">
        <v>45860</v>
      </c>
      <c r="B362" s="35">
        <v>180</v>
      </c>
      <c r="C362" s="35"/>
      <c r="D362" s="35" t="s">
        <v>132</v>
      </c>
      <c r="E362" s="8">
        <f t="shared" si="1"/>
        <v>1149.8999999999942</v>
      </c>
      <c r="F362" s="20"/>
      <c r="G362" s="20"/>
      <c r="H362" s="14"/>
      <c r="I362" s="1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>
      <c r="A363" s="70">
        <v>45860</v>
      </c>
      <c r="B363" s="35"/>
      <c r="C363" s="35">
        <v>50</v>
      </c>
      <c r="D363" s="85" t="s">
        <v>94</v>
      </c>
      <c r="E363" s="8">
        <f t="shared" si="1"/>
        <v>1199.8999999999942</v>
      </c>
      <c r="F363" s="20"/>
      <c r="G363" s="20"/>
      <c r="H363" s="14"/>
      <c r="I363" s="1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>
      <c r="A364" s="71">
        <v>45860</v>
      </c>
      <c r="B364" s="24">
        <v>50</v>
      </c>
      <c r="C364" s="24"/>
      <c r="D364" s="24" t="s">
        <v>132</v>
      </c>
      <c r="E364" s="8">
        <f t="shared" si="1"/>
        <v>1149.8999999999942</v>
      </c>
      <c r="F364" s="20"/>
      <c r="G364" s="20"/>
      <c r="H364" s="14"/>
      <c r="I364" s="1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>
      <c r="A365" s="71">
        <v>45860</v>
      </c>
      <c r="B365" s="24"/>
      <c r="C365" s="24">
        <v>10000</v>
      </c>
      <c r="D365" s="11" t="s">
        <v>60</v>
      </c>
      <c r="E365" s="8">
        <f t="shared" si="1"/>
        <v>11149.899999999994</v>
      </c>
      <c r="F365" s="20"/>
      <c r="G365" s="20"/>
      <c r="H365" s="14"/>
      <c r="I365" s="1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>
      <c r="A366" s="71">
        <v>45860</v>
      </c>
      <c r="B366" s="24">
        <v>1000</v>
      </c>
      <c r="C366" s="24"/>
      <c r="D366" s="24" t="s">
        <v>169</v>
      </c>
      <c r="E366" s="8">
        <f t="shared" si="1"/>
        <v>10149.899999999994</v>
      </c>
      <c r="F366" s="20"/>
      <c r="G366" s="20"/>
      <c r="H366" s="14"/>
      <c r="I366" s="1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>
      <c r="A367" s="71">
        <v>45860</v>
      </c>
      <c r="B367" s="24">
        <v>8575</v>
      </c>
      <c r="C367" s="24"/>
      <c r="D367" s="24" t="s">
        <v>264</v>
      </c>
      <c r="E367" s="8">
        <f t="shared" si="1"/>
        <v>1574.8999999999942</v>
      </c>
      <c r="F367" s="20"/>
      <c r="G367" s="20"/>
      <c r="H367" s="14"/>
      <c r="I367" s="1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>
      <c r="A368" s="71">
        <v>45860</v>
      </c>
      <c r="B368" s="24">
        <v>35</v>
      </c>
      <c r="C368" s="24"/>
      <c r="D368" s="24" t="s">
        <v>132</v>
      </c>
      <c r="E368" s="8">
        <f t="shared" si="1"/>
        <v>1539.8999999999942</v>
      </c>
      <c r="F368" s="20"/>
      <c r="G368" s="20"/>
      <c r="H368" s="14"/>
      <c r="I368" s="1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>
      <c r="A369" s="71">
        <v>45860</v>
      </c>
      <c r="B369" s="24">
        <v>105</v>
      </c>
      <c r="C369" s="24"/>
      <c r="D369" s="35" t="s">
        <v>265</v>
      </c>
      <c r="E369" s="8">
        <f t="shared" si="1"/>
        <v>1434.8999999999942</v>
      </c>
      <c r="F369" s="20"/>
      <c r="G369" s="20"/>
      <c r="H369" s="14"/>
      <c r="I369" s="1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>
      <c r="A370" s="71">
        <v>45861</v>
      </c>
      <c r="B370" s="24">
        <v>75</v>
      </c>
      <c r="C370" s="24"/>
      <c r="D370" s="24" t="s">
        <v>266</v>
      </c>
      <c r="E370" s="8">
        <f t="shared" si="1"/>
        <v>1359.8999999999942</v>
      </c>
      <c r="F370" s="20"/>
      <c r="G370" s="20"/>
      <c r="H370" s="14"/>
      <c r="I370" s="1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>
      <c r="A371" s="71">
        <v>45862</v>
      </c>
      <c r="B371" s="35">
        <f>90+90</f>
        <v>180</v>
      </c>
      <c r="C371" s="35"/>
      <c r="D371" s="35" t="s">
        <v>122</v>
      </c>
      <c r="E371" s="8">
        <f t="shared" si="1"/>
        <v>1179.8999999999942</v>
      </c>
      <c r="F371" s="20"/>
      <c r="G371" s="20"/>
      <c r="H371" s="14"/>
      <c r="I371" s="1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>
      <c r="A372" s="71">
        <v>45862</v>
      </c>
      <c r="B372" s="24"/>
      <c r="C372" s="24">
        <v>789</v>
      </c>
      <c r="D372" s="11" t="s">
        <v>60</v>
      </c>
      <c r="E372" s="8">
        <f t="shared" si="1"/>
        <v>1968.8999999999942</v>
      </c>
      <c r="F372" s="20"/>
      <c r="G372" s="20"/>
      <c r="H372" s="14"/>
      <c r="I372" s="1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>
      <c r="A373" s="71">
        <v>45862</v>
      </c>
      <c r="B373" s="24">
        <v>789</v>
      </c>
      <c r="C373" s="24"/>
      <c r="D373" s="24" t="s">
        <v>254</v>
      </c>
      <c r="E373" s="8">
        <f t="shared" si="1"/>
        <v>1179.8999999999942</v>
      </c>
      <c r="F373" s="20"/>
      <c r="G373" s="20"/>
      <c r="H373" s="14"/>
      <c r="I373" s="1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>
      <c r="A374" s="24" t="s">
        <v>267</v>
      </c>
      <c r="B374" s="24">
        <v>210</v>
      </c>
      <c r="C374" s="24"/>
      <c r="D374" s="24" t="s">
        <v>122</v>
      </c>
      <c r="E374" s="8">
        <f t="shared" si="1"/>
        <v>969.89999999999418</v>
      </c>
      <c r="F374" s="20"/>
      <c r="G374" s="20"/>
      <c r="H374" s="14"/>
      <c r="I374" s="14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spans="1:29" ht="15.75" customHeight="1">
      <c r="A375" s="24" t="s">
        <v>267</v>
      </c>
      <c r="B375" s="24"/>
      <c r="C375" s="24">
        <v>500</v>
      </c>
      <c r="D375" s="85" t="s">
        <v>94</v>
      </c>
      <c r="E375" s="8">
        <f t="shared" si="1"/>
        <v>1469.8999999999942</v>
      </c>
      <c r="F375" s="20"/>
      <c r="G375" s="20"/>
      <c r="H375" s="14"/>
      <c r="I375" s="1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>
      <c r="A376" s="24" t="s">
        <v>267</v>
      </c>
      <c r="B376" s="24">
        <f>505+25+100</f>
        <v>630</v>
      </c>
      <c r="C376" s="24"/>
      <c r="D376" s="24" t="s">
        <v>122</v>
      </c>
      <c r="E376" s="8">
        <f t="shared" si="1"/>
        <v>839.89999999999418</v>
      </c>
      <c r="F376" s="20"/>
      <c r="G376" s="20"/>
      <c r="H376" s="14"/>
      <c r="I376" s="1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>
      <c r="A377" s="24" t="s">
        <v>267</v>
      </c>
      <c r="B377" s="24"/>
      <c r="C377" s="24">
        <v>100</v>
      </c>
      <c r="D377" s="11" t="s">
        <v>60</v>
      </c>
      <c r="E377" s="8">
        <f t="shared" si="1"/>
        <v>939.89999999999418</v>
      </c>
      <c r="F377" s="20"/>
      <c r="G377" s="20"/>
      <c r="H377" s="14"/>
      <c r="I377" s="1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>
      <c r="A378" s="24" t="s">
        <v>267</v>
      </c>
      <c r="B378" s="24">
        <f>100+90</f>
        <v>190</v>
      </c>
      <c r="C378" s="24"/>
      <c r="D378" s="24" t="s">
        <v>122</v>
      </c>
      <c r="E378" s="8">
        <f t="shared" si="1"/>
        <v>749.89999999999418</v>
      </c>
      <c r="F378" s="20"/>
      <c r="G378" s="20"/>
      <c r="H378" s="14"/>
      <c r="I378" s="14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spans="1:29" ht="15.75" customHeight="1">
      <c r="A379" s="35" t="s">
        <v>268</v>
      </c>
      <c r="B379" s="35"/>
      <c r="C379" s="24">
        <v>850</v>
      </c>
      <c r="D379" s="85" t="s">
        <v>94</v>
      </c>
      <c r="E379" s="8">
        <f t="shared" si="1"/>
        <v>1599.8999999999942</v>
      </c>
      <c r="F379" s="20"/>
      <c r="G379" s="20"/>
      <c r="H379" s="14"/>
      <c r="I379" s="1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>
      <c r="A380" s="24" t="s">
        <v>269</v>
      </c>
      <c r="B380" s="24">
        <v>500</v>
      </c>
      <c r="C380" s="24"/>
      <c r="D380" s="24" t="s">
        <v>169</v>
      </c>
      <c r="E380" s="8">
        <f t="shared" si="1"/>
        <v>1099.8999999999942</v>
      </c>
      <c r="F380" s="20"/>
      <c r="G380" s="20"/>
      <c r="H380" s="14"/>
      <c r="I380" s="1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>
      <c r="A381" s="35" t="s">
        <v>269</v>
      </c>
      <c r="B381" s="24">
        <v>350</v>
      </c>
      <c r="C381" s="24"/>
      <c r="D381" s="24" t="s">
        <v>122</v>
      </c>
      <c r="E381" s="8">
        <f t="shared" si="1"/>
        <v>749.89999999999418</v>
      </c>
      <c r="F381" s="20"/>
      <c r="G381" s="20"/>
      <c r="H381" s="14"/>
      <c r="I381" s="1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>
      <c r="A382" s="24" t="s">
        <v>270</v>
      </c>
      <c r="B382" s="24"/>
      <c r="C382" s="24">
        <v>90</v>
      </c>
      <c r="D382" s="85" t="s">
        <v>94</v>
      </c>
      <c r="E382" s="8">
        <f t="shared" si="1"/>
        <v>839.89999999999418</v>
      </c>
      <c r="F382" s="20"/>
      <c r="G382" s="20"/>
      <c r="H382" s="14"/>
      <c r="I382" s="1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>
      <c r="A383" s="24" t="s">
        <v>270</v>
      </c>
      <c r="B383" s="24">
        <f>20+90+110</f>
        <v>220</v>
      </c>
      <c r="C383" s="24"/>
      <c r="D383" s="24" t="s">
        <v>122</v>
      </c>
      <c r="E383" s="8">
        <f t="shared" si="1"/>
        <v>619.89999999999418</v>
      </c>
      <c r="F383" s="20"/>
      <c r="G383" s="20"/>
      <c r="H383" s="14"/>
      <c r="I383" s="1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>
      <c r="A384" s="24" t="s">
        <v>270</v>
      </c>
      <c r="B384" s="24"/>
      <c r="C384" s="24">
        <v>1000</v>
      </c>
      <c r="D384" s="85" t="s">
        <v>60</v>
      </c>
      <c r="E384" s="8">
        <f t="shared" si="1"/>
        <v>1619.8999999999942</v>
      </c>
      <c r="F384" s="20"/>
      <c r="G384" s="20"/>
      <c r="H384" s="14"/>
      <c r="I384" s="1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>
      <c r="A385" s="24" t="s">
        <v>270</v>
      </c>
      <c r="B385" s="24">
        <v>1000</v>
      </c>
      <c r="C385" s="24"/>
      <c r="D385" s="24" t="s">
        <v>169</v>
      </c>
      <c r="E385" s="8">
        <f t="shared" si="1"/>
        <v>619.89999999999418</v>
      </c>
      <c r="F385" s="20"/>
      <c r="G385" s="20"/>
      <c r="H385" s="14"/>
      <c r="I385" s="1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>
      <c r="A386" s="24" t="s">
        <v>271</v>
      </c>
      <c r="B386" s="24"/>
      <c r="C386" s="24">
        <v>60</v>
      </c>
      <c r="D386" s="85" t="s">
        <v>94</v>
      </c>
      <c r="E386" s="8">
        <f t="shared" si="1"/>
        <v>679.89999999999418</v>
      </c>
      <c r="F386" s="20"/>
      <c r="G386" s="20"/>
      <c r="H386" s="14"/>
      <c r="I386" s="1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>
      <c r="A387" s="35" t="s">
        <v>271</v>
      </c>
      <c r="B387" s="35">
        <v>60</v>
      </c>
      <c r="C387" s="35"/>
      <c r="D387" s="35" t="s">
        <v>122</v>
      </c>
      <c r="E387" s="8">
        <f t="shared" si="1"/>
        <v>619.89999999999418</v>
      </c>
      <c r="F387" s="20"/>
      <c r="G387" s="20"/>
      <c r="H387" s="14"/>
      <c r="I387" s="1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>
      <c r="A388" s="24" t="s">
        <v>271</v>
      </c>
      <c r="B388" s="24"/>
      <c r="C388" s="24">
        <f>498+198</f>
        <v>696</v>
      </c>
      <c r="D388" s="85" t="s">
        <v>60</v>
      </c>
      <c r="E388" s="8">
        <f t="shared" si="1"/>
        <v>1315.8999999999942</v>
      </c>
      <c r="F388" s="20"/>
      <c r="G388" s="20"/>
      <c r="H388" s="14"/>
      <c r="I388" s="1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>
      <c r="A389" s="35" t="s">
        <v>271</v>
      </c>
      <c r="B389" s="35">
        <v>498</v>
      </c>
      <c r="C389" s="35"/>
      <c r="D389" s="35" t="s">
        <v>272</v>
      </c>
      <c r="E389" s="8">
        <f t="shared" si="1"/>
        <v>817.89999999999418</v>
      </c>
      <c r="F389" s="20"/>
      <c r="G389" s="20"/>
      <c r="H389" s="14"/>
      <c r="I389" s="1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>
      <c r="A390" s="24" t="s">
        <v>273</v>
      </c>
      <c r="B390" s="24">
        <f>90+75+195</f>
        <v>360</v>
      </c>
      <c r="C390" s="24"/>
      <c r="D390" s="24" t="s">
        <v>132</v>
      </c>
      <c r="E390" s="8">
        <f t="shared" si="1"/>
        <v>457.89999999999418</v>
      </c>
      <c r="F390" s="20"/>
      <c r="G390" s="20"/>
      <c r="H390" s="14"/>
      <c r="I390" s="1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>
      <c r="A391" s="35" t="s">
        <v>273</v>
      </c>
      <c r="B391" s="35"/>
      <c r="C391" s="35">
        <v>2500</v>
      </c>
      <c r="D391" s="85" t="s">
        <v>94</v>
      </c>
      <c r="E391" s="8">
        <f t="shared" si="1"/>
        <v>2957.8999999999942</v>
      </c>
      <c r="F391" s="20"/>
      <c r="G391" s="20"/>
      <c r="H391" s="14"/>
      <c r="I391" s="14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spans="1:29" ht="15.75" customHeight="1">
      <c r="A392" s="42" t="s">
        <v>273</v>
      </c>
      <c r="B392" s="62">
        <v>2500</v>
      </c>
      <c r="C392" s="42"/>
      <c r="D392" s="42" t="s">
        <v>274</v>
      </c>
      <c r="E392" s="8">
        <f t="shared" si="1"/>
        <v>457.89999999999418</v>
      </c>
      <c r="F392" s="20"/>
      <c r="G392" s="20"/>
      <c r="H392" s="14"/>
      <c r="I392" s="1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>
      <c r="A393" s="24" t="s">
        <v>275</v>
      </c>
      <c r="B393" s="24"/>
      <c r="C393" s="24">
        <v>8800</v>
      </c>
      <c r="D393" s="86" t="s">
        <v>276</v>
      </c>
      <c r="E393" s="8">
        <f t="shared" si="1"/>
        <v>9257.8999999999942</v>
      </c>
      <c r="F393" s="20"/>
      <c r="G393" s="20"/>
      <c r="H393" s="14"/>
      <c r="I393" s="14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spans="1:29" ht="15.75" customHeight="1">
      <c r="A394" s="24" t="s">
        <v>275</v>
      </c>
      <c r="B394" s="24">
        <v>3800</v>
      </c>
      <c r="C394" s="24"/>
      <c r="D394" s="24" t="s">
        <v>277</v>
      </c>
      <c r="E394" s="8">
        <f t="shared" si="1"/>
        <v>5457.8999999999942</v>
      </c>
      <c r="F394" s="20"/>
      <c r="G394" s="20"/>
      <c r="H394" s="14"/>
      <c r="I394" s="1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>
      <c r="A395" s="24" t="s">
        <v>275</v>
      </c>
      <c r="B395" s="24">
        <v>100</v>
      </c>
      <c r="C395" s="24"/>
      <c r="D395" s="24" t="s">
        <v>278</v>
      </c>
      <c r="E395" s="8">
        <f t="shared" si="1"/>
        <v>5357.8999999999942</v>
      </c>
      <c r="F395" s="20"/>
      <c r="G395" s="20"/>
      <c r="H395" s="14"/>
      <c r="I395" s="14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spans="1:29" ht="15.75" customHeight="1">
      <c r="A396" s="24" t="s">
        <v>275</v>
      </c>
      <c r="B396" s="24">
        <v>350</v>
      </c>
      <c r="C396" s="24"/>
      <c r="D396" s="24" t="s">
        <v>279</v>
      </c>
      <c r="E396" s="8">
        <f t="shared" si="1"/>
        <v>5007.8999999999942</v>
      </c>
      <c r="F396" s="20"/>
      <c r="G396" s="20"/>
      <c r="H396" s="14"/>
      <c r="I396" s="1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>
      <c r="A397" s="24" t="s">
        <v>275</v>
      </c>
      <c r="B397" s="24">
        <v>325</v>
      </c>
      <c r="C397" s="24"/>
      <c r="D397" s="24" t="s">
        <v>122</v>
      </c>
      <c r="E397" s="8">
        <f t="shared" si="1"/>
        <v>4682.8999999999942</v>
      </c>
      <c r="F397" s="20"/>
      <c r="G397" s="20"/>
      <c r="H397" s="14"/>
      <c r="I397" s="1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>
      <c r="A398" s="24" t="s">
        <v>275</v>
      </c>
      <c r="B398" s="24">
        <v>1000</v>
      </c>
      <c r="C398" s="35"/>
      <c r="D398" s="31" t="s">
        <v>280</v>
      </c>
      <c r="E398" s="8">
        <f t="shared" si="1"/>
        <v>3682.8999999999942</v>
      </c>
      <c r="F398" s="20"/>
      <c r="G398" s="20"/>
      <c r="H398" s="14"/>
      <c r="I398" s="1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>
      <c r="A399" s="71">
        <v>45874</v>
      </c>
      <c r="B399" s="24"/>
      <c r="C399" s="24">
        <v>60000</v>
      </c>
      <c r="D399" s="87" t="s">
        <v>281</v>
      </c>
      <c r="E399" s="8">
        <f t="shared" si="1"/>
        <v>63682.899999999994</v>
      </c>
      <c r="F399" s="20"/>
      <c r="G399" s="20"/>
      <c r="H399" s="14"/>
      <c r="I399" s="1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>
      <c r="A400" s="71">
        <v>45874</v>
      </c>
      <c r="B400" s="24">
        <v>1000</v>
      </c>
      <c r="C400" s="24"/>
      <c r="D400" s="24" t="s">
        <v>169</v>
      </c>
      <c r="E400" s="8">
        <f t="shared" si="1"/>
        <v>62682.899999999994</v>
      </c>
      <c r="F400" s="20"/>
      <c r="G400" s="20"/>
      <c r="H400" s="14"/>
      <c r="I400" s="1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>
      <c r="A401" s="71">
        <v>45874</v>
      </c>
      <c r="B401" s="24">
        <v>100</v>
      </c>
      <c r="C401" s="24"/>
      <c r="D401" s="24" t="s">
        <v>132</v>
      </c>
      <c r="E401" s="8">
        <f t="shared" si="1"/>
        <v>62582.899999999994</v>
      </c>
      <c r="F401" s="20"/>
      <c r="G401" s="20"/>
      <c r="H401" s="14"/>
      <c r="I401" s="1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>
      <c r="A402" s="71">
        <v>45874</v>
      </c>
      <c r="B402" s="24">
        <v>1000</v>
      </c>
      <c r="C402" s="24"/>
      <c r="D402" s="31" t="s">
        <v>280</v>
      </c>
      <c r="E402" s="8">
        <f t="shared" si="1"/>
        <v>61582.899999999994</v>
      </c>
      <c r="F402" s="20"/>
      <c r="G402" s="20"/>
      <c r="H402" s="14"/>
      <c r="I402" s="1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>
      <c r="A403" s="71">
        <v>45874</v>
      </c>
      <c r="B403" s="24">
        <v>1000</v>
      </c>
      <c r="C403" s="24"/>
      <c r="D403" s="24" t="s">
        <v>282</v>
      </c>
      <c r="E403" s="8">
        <f t="shared" si="1"/>
        <v>60582.899999999994</v>
      </c>
      <c r="F403" s="20"/>
      <c r="G403" s="20"/>
      <c r="H403" s="14"/>
      <c r="I403" s="1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>
      <c r="A404" s="71">
        <v>45875</v>
      </c>
      <c r="B404" s="24">
        <v>1705</v>
      </c>
      <c r="C404" s="24"/>
      <c r="D404" s="24" t="s">
        <v>132</v>
      </c>
      <c r="E404" s="8">
        <f t="shared" si="1"/>
        <v>58877.899999999994</v>
      </c>
      <c r="F404" s="20"/>
      <c r="G404" s="20"/>
      <c r="H404" s="14"/>
      <c r="I404" s="1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>
      <c r="A405" s="71">
        <v>45875</v>
      </c>
      <c r="B405" s="24">
        <v>260</v>
      </c>
      <c r="C405" s="24"/>
      <c r="D405" s="24" t="s">
        <v>283</v>
      </c>
      <c r="E405" s="8">
        <f t="shared" si="1"/>
        <v>58617.899999999994</v>
      </c>
      <c r="F405" s="20"/>
      <c r="G405" s="20"/>
      <c r="H405" s="14"/>
      <c r="I405" s="1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>
      <c r="A406" s="71">
        <v>45875</v>
      </c>
      <c r="B406" s="24">
        <v>32</v>
      </c>
      <c r="C406" s="24"/>
      <c r="D406" s="24" t="s">
        <v>284</v>
      </c>
      <c r="E406" s="8">
        <f t="shared" si="1"/>
        <v>58585.899999999994</v>
      </c>
      <c r="F406" s="20"/>
      <c r="G406" s="20"/>
      <c r="H406" s="14"/>
      <c r="I406" s="1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>
      <c r="A407" s="24" t="s">
        <v>285</v>
      </c>
      <c r="B407" s="35">
        <f>5350+550+4100+4750+2210+3600+6300+4750+3820+1335+2000+5660+5900+4145</f>
        <v>54470</v>
      </c>
      <c r="C407" s="24"/>
      <c r="D407" s="24" t="s">
        <v>286</v>
      </c>
      <c r="E407" s="8">
        <f t="shared" si="1"/>
        <v>4115.8999999999942</v>
      </c>
      <c r="F407" s="20"/>
      <c r="G407" s="20"/>
      <c r="H407" s="14"/>
      <c r="I407" s="1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>
      <c r="A408" s="71">
        <v>45876</v>
      </c>
      <c r="B408" s="24">
        <v>180</v>
      </c>
      <c r="C408" s="24"/>
      <c r="D408" s="24" t="s">
        <v>256</v>
      </c>
      <c r="E408" s="8">
        <f t="shared" si="1"/>
        <v>3935.8999999999942</v>
      </c>
      <c r="F408" s="20"/>
      <c r="G408" s="20"/>
      <c r="H408" s="14"/>
      <c r="I408" s="1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>
      <c r="A409" s="71">
        <v>45876</v>
      </c>
      <c r="B409" s="24">
        <v>1000</v>
      </c>
      <c r="C409" s="24"/>
      <c r="D409" s="24" t="s">
        <v>287</v>
      </c>
      <c r="E409" s="8">
        <f t="shared" si="1"/>
        <v>2935.8999999999942</v>
      </c>
      <c r="F409" s="20"/>
      <c r="G409" s="20"/>
      <c r="H409" s="14"/>
      <c r="I409" s="1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>
      <c r="A410" s="71">
        <v>45876</v>
      </c>
      <c r="B410" s="24">
        <v>1000</v>
      </c>
      <c r="C410" s="24"/>
      <c r="D410" s="31" t="s">
        <v>280</v>
      </c>
      <c r="E410" s="8">
        <f t="shared" si="1"/>
        <v>1935.8999999999942</v>
      </c>
      <c r="F410" s="20"/>
      <c r="G410" s="20"/>
      <c r="H410" s="14"/>
      <c r="I410" s="1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>
      <c r="A411" s="71">
        <v>45878</v>
      </c>
      <c r="B411" s="24">
        <f>120+50+90+180+90</f>
        <v>530</v>
      </c>
      <c r="C411" s="24"/>
      <c r="D411" s="24" t="s">
        <v>132</v>
      </c>
      <c r="E411" s="8">
        <f t="shared" si="1"/>
        <v>1405.8999999999942</v>
      </c>
      <c r="F411" s="20"/>
      <c r="G411" s="20"/>
      <c r="H411" s="14"/>
      <c r="I411" s="1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>
      <c r="A412" s="71">
        <v>45879</v>
      </c>
      <c r="B412" s="24">
        <v>125</v>
      </c>
      <c r="C412" s="24"/>
      <c r="D412" s="24" t="s">
        <v>288</v>
      </c>
      <c r="E412" s="8">
        <f t="shared" si="1"/>
        <v>1280.8999999999942</v>
      </c>
      <c r="F412" s="20"/>
      <c r="G412" s="20"/>
      <c r="H412" s="14"/>
      <c r="I412" s="1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>
      <c r="A413" s="71">
        <v>45879</v>
      </c>
      <c r="B413" s="24">
        <v>400</v>
      </c>
      <c r="C413" s="24"/>
      <c r="D413" s="31" t="s">
        <v>280</v>
      </c>
      <c r="E413" s="8">
        <f t="shared" si="1"/>
        <v>880.89999999999418</v>
      </c>
      <c r="F413" s="20"/>
      <c r="G413" s="20"/>
      <c r="H413" s="14"/>
      <c r="I413" s="1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>
      <c r="A414" s="71">
        <v>45880</v>
      </c>
      <c r="B414" s="24">
        <v>1000</v>
      </c>
      <c r="C414" s="24"/>
      <c r="D414" s="24" t="s">
        <v>169</v>
      </c>
      <c r="E414" s="8">
        <f t="shared" si="1"/>
        <v>-119.10000000000582</v>
      </c>
      <c r="F414" s="20"/>
      <c r="G414" s="20"/>
      <c r="H414" s="14"/>
      <c r="I414" s="1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>
      <c r="A415" s="71">
        <v>45880</v>
      </c>
      <c r="B415" s="24">
        <v>95</v>
      </c>
      <c r="C415" s="24"/>
      <c r="D415" s="24" t="s">
        <v>289</v>
      </c>
      <c r="E415" s="8">
        <f t="shared" si="1"/>
        <v>-214.10000000000582</v>
      </c>
      <c r="F415" s="20"/>
      <c r="G415" s="20"/>
      <c r="H415" s="14"/>
      <c r="I415" s="1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>
      <c r="A416" s="71">
        <v>45880</v>
      </c>
      <c r="B416" s="24">
        <v>135</v>
      </c>
      <c r="C416" s="24"/>
      <c r="D416" s="24" t="s">
        <v>290</v>
      </c>
      <c r="E416" s="8">
        <f t="shared" si="1"/>
        <v>-349.10000000000582</v>
      </c>
      <c r="F416" s="20"/>
      <c r="G416" s="20"/>
      <c r="H416" s="14"/>
      <c r="I416" s="1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>
      <c r="A417" s="35" t="s">
        <v>291</v>
      </c>
      <c r="B417" s="24"/>
      <c r="C417" s="35">
        <v>1200</v>
      </c>
      <c r="D417" s="88" t="s">
        <v>292</v>
      </c>
      <c r="E417" s="8">
        <f t="shared" si="1"/>
        <v>850.89999999999418</v>
      </c>
      <c r="F417" s="20"/>
      <c r="G417" s="20"/>
      <c r="H417" s="14"/>
      <c r="I417" s="1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>
      <c r="A418" s="24" t="s">
        <v>291</v>
      </c>
      <c r="B418" s="24">
        <v>1200</v>
      </c>
      <c r="C418" s="24"/>
      <c r="D418" s="24" t="s">
        <v>293</v>
      </c>
      <c r="E418" s="8">
        <f t="shared" si="1"/>
        <v>-349.10000000000582</v>
      </c>
      <c r="F418" s="20"/>
      <c r="G418" s="20"/>
      <c r="H418" s="14"/>
      <c r="I418" s="1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>
      <c r="A419" s="35" t="s">
        <v>294</v>
      </c>
      <c r="B419" s="24">
        <v>105</v>
      </c>
      <c r="C419" s="35"/>
      <c r="D419" s="35" t="s">
        <v>132</v>
      </c>
      <c r="E419" s="8">
        <f t="shared" si="1"/>
        <v>-454.10000000000582</v>
      </c>
      <c r="F419" s="20"/>
      <c r="G419" s="20"/>
      <c r="H419" s="14"/>
      <c r="I419" s="1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>
      <c r="A420" s="24" t="s">
        <v>295</v>
      </c>
      <c r="B420" s="24"/>
      <c r="C420" s="24">
        <v>2000</v>
      </c>
      <c r="D420" s="85" t="s">
        <v>60</v>
      </c>
      <c r="E420" s="8">
        <f t="shared" si="1"/>
        <v>1545.8999999999942</v>
      </c>
      <c r="F420" s="20"/>
      <c r="G420" s="20"/>
      <c r="H420" s="14"/>
      <c r="I420" s="1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>
      <c r="A421" s="24" t="s">
        <v>295</v>
      </c>
      <c r="B421" s="24">
        <v>2000</v>
      </c>
      <c r="C421" s="24"/>
      <c r="D421" s="24" t="s">
        <v>287</v>
      </c>
      <c r="E421" s="8">
        <f t="shared" si="1"/>
        <v>-454.10000000000582</v>
      </c>
      <c r="F421" s="20"/>
      <c r="G421" s="20"/>
      <c r="H421" s="14"/>
      <c r="I421" s="1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>
      <c r="A422" s="24" t="s">
        <v>296</v>
      </c>
      <c r="B422" s="24"/>
      <c r="C422" s="24">
        <f>140000+20000</f>
        <v>160000</v>
      </c>
      <c r="D422" s="88" t="s">
        <v>297</v>
      </c>
      <c r="E422" s="8">
        <f t="shared" si="1"/>
        <v>159545.9</v>
      </c>
      <c r="F422" s="20"/>
      <c r="G422" s="20"/>
      <c r="H422" s="14"/>
      <c r="I422" s="1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>
      <c r="A423" s="24" t="s">
        <v>296</v>
      </c>
      <c r="B423" s="24">
        <v>1000</v>
      </c>
      <c r="C423" s="24"/>
      <c r="D423" s="24" t="s">
        <v>298</v>
      </c>
      <c r="E423" s="8">
        <f t="shared" si="1"/>
        <v>158545.9</v>
      </c>
      <c r="F423" s="20"/>
      <c r="G423" s="20"/>
      <c r="H423" s="14"/>
      <c r="I423" s="1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>
      <c r="A424" s="24" t="s">
        <v>296</v>
      </c>
      <c r="B424" s="74"/>
      <c r="C424" s="24">
        <v>188</v>
      </c>
      <c r="D424" s="85" t="s">
        <v>60</v>
      </c>
      <c r="E424" s="8">
        <f t="shared" si="1"/>
        <v>158733.9</v>
      </c>
      <c r="F424" s="20"/>
      <c r="G424" s="20"/>
      <c r="H424" s="14"/>
      <c r="I424" s="1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>
      <c r="A425" s="24" t="s">
        <v>296</v>
      </c>
      <c r="B425" s="35">
        <v>188</v>
      </c>
      <c r="C425" s="24"/>
      <c r="D425" s="35" t="s">
        <v>299</v>
      </c>
      <c r="E425" s="8">
        <f t="shared" si="1"/>
        <v>158545.9</v>
      </c>
      <c r="F425" s="20"/>
      <c r="G425" s="20"/>
      <c r="H425" s="14"/>
      <c r="I425" s="1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>
      <c r="A426" s="24" t="s">
        <v>296</v>
      </c>
      <c r="B426" s="35">
        <v>180</v>
      </c>
      <c r="C426" s="24"/>
      <c r="D426" s="35" t="s">
        <v>300</v>
      </c>
      <c r="E426" s="8">
        <f t="shared" si="1"/>
        <v>158365.9</v>
      </c>
      <c r="F426" s="20"/>
      <c r="G426" s="89"/>
      <c r="H426" s="14"/>
      <c r="I426" s="1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>
      <c r="A427" s="24" t="s">
        <v>296</v>
      </c>
      <c r="B427" s="35">
        <v>204</v>
      </c>
      <c r="C427" s="24"/>
      <c r="D427" s="35" t="s">
        <v>122</v>
      </c>
      <c r="E427" s="8">
        <f t="shared" si="1"/>
        <v>158161.9</v>
      </c>
      <c r="F427" s="20"/>
      <c r="G427" s="89"/>
      <c r="H427" s="14"/>
      <c r="I427" s="1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>
      <c r="A428" s="24" t="s">
        <v>301</v>
      </c>
      <c r="B428" s="35">
        <v>530</v>
      </c>
      <c r="C428" s="24"/>
      <c r="D428" s="35" t="s">
        <v>302</v>
      </c>
      <c r="E428" s="8">
        <f t="shared" si="1"/>
        <v>157631.9</v>
      </c>
      <c r="F428" s="20"/>
      <c r="G428" s="89"/>
      <c r="H428" s="14"/>
      <c r="I428" s="1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>
      <c r="A429" s="24" t="s">
        <v>296</v>
      </c>
      <c r="B429" s="24">
        <v>40000</v>
      </c>
      <c r="C429" s="24"/>
      <c r="D429" s="31" t="s">
        <v>280</v>
      </c>
      <c r="E429" s="8">
        <f t="shared" si="1"/>
        <v>117631.9</v>
      </c>
      <c r="F429" s="20"/>
      <c r="G429" s="89"/>
      <c r="H429" s="14"/>
      <c r="I429" s="1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>
      <c r="A430" s="24" t="s">
        <v>296</v>
      </c>
      <c r="B430" s="74">
        <v>10000</v>
      </c>
      <c r="C430" s="24"/>
      <c r="D430" s="31" t="s">
        <v>303</v>
      </c>
      <c r="E430" s="8">
        <f t="shared" si="1"/>
        <v>107631.9</v>
      </c>
      <c r="F430" s="20"/>
      <c r="G430" s="89"/>
      <c r="H430" s="14"/>
      <c r="I430" s="1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>
      <c r="A431" s="24" t="s">
        <v>296</v>
      </c>
      <c r="B431" s="74">
        <v>900</v>
      </c>
      <c r="C431" s="24"/>
      <c r="D431" s="74" t="s">
        <v>304</v>
      </c>
      <c r="E431" s="8">
        <f t="shared" si="1"/>
        <v>106731.9</v>
      </c>
      <c r="F431" s="20"/>
      <c r="G431" s="89"/>
      <c r="H431" s="14"/>
      <c r="I431" s="1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>
      <c r="A432" s="24" t="s">
        <v>296</v>
      </c>
      <c r="B432" s="74">
        <f>4500+2000+5000+2500+4900+3065+3770+300+1790+1270</f>
        <v>29095</v>
      </c>
      <c r="C432" s="24"/>
      <c r="D432" s="35" t="s">
        <v>305</v>
      </c>
      <c r="E432" s="8">
        <f t="shared" si="1"/>
        <v>77636.899999999994</v>
      </c>
      <c r="F432" s="20"/>
      <c r="G432" s="89"/>
      <c r="H432" s="14"/>
      <c r="I432" s="1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>
      <c r="A433" s="266"/>
      <c r="B433" s="258"/>
      <c r="C433" s="258"/>
      <c r="D433" s="259"/>
      <c r="E433" s="8">
        <f t="shared" si="1"/>
        <v>77636.899999999994</v>
      </c>
      <c r="F433" s="20"/>
      <c r="G433" s="89"/>
      <c r="H433" s="14"/>
      <c r="I433" s="1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>
      <c r="A434" s="71">
        <v>45886</v>
      </c>
      <c r="B434" s="74">
        <v>500</v>
      </c>
      <c r="C434" s="24"/>
      <c r="D434" s="74" t="s">
        <v>306</v>
      </c>
      <c r="E434" s="8">
        <f t="shared" si="1"/>
        <v>77136.899999999994</v>
      </c>
      <c r="F434" s="20"/>
      <c r="G434" s="89"/>
      <c r="H434" s="14"/>
      <c r="I434" s="1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>
      <c r="A435" s="71">
        <v>45887</v>
      </c>
      <c r="B435" s="74">
        <f>1200+150</f>
        <v>1350</v>
      </c>
      <c r="C435" s="24"/>
      <c r="D435" s="24" t="s">
        <v>132</v>
      </c>
      <c r="E435" s="8">
        <f t="shared" si="1"/>
        <v>75786.899999999994</v>
      </c>
      <c r="F435" s="20"/>
      <c r="G435" s="89"/>
      <c r="H435" s="14"/>
      <c r="I435" s="1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>
      <c r="A436" s="71">
        <v>45887</v>
      </c>
      <c r="B436" s="74">
        <v>50000</v>
      </c>
      <c r="C436" s="24"/>
      <c r="D436" s="74" t="s">
        <v>307</v>
      </c>
      <c r="E436" s="8">
        <f t="shared" si="1"/>
        <v>25786.899999999994</v>
      </c>
      <c r="F436" s="20"/>
      <c r="G436" s="89"/>
      <c r="H436" s="14"/>
      <c r="I436" s="1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>
      <c r="A437" s="71">
        <v>45887</v>
      </c>
      <c r="B437" s="74">
        <v>20000</v>
      </c>
      <c r="C437" s="24"/>
      <c r="D437" s="31" t="s">
        <v>280</v>
      </c>
      <c r="E437" s="8">
        <f t="shared" si="1"/>
        <v>5786.8999999999942</v>
      </c>
      <c r="F437" s="20"/>
      <c r="G437" s="89"/>
      <c r="H437" s="14"/>
      <c r="I437" s="1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>
      <c r="A438" s="71">
        <v>45887</v>
      </c>
      <c r="B438" s="74"/>
      <c r="C438" s="24">
        <v>3550</v>
      </c>
      <c r="D438" s="11" t="s">
        <v>60</v>
      </c>
      <c r="E438" s="8">
        <f t="shared" si="1"/>
        <v>9336.8999999999942</v>
      </c>
      <c r="F438" s="20"/>
      <c r="G438" s="89"/>
      <c r="H438" s="14"/>
      <c r="I438" s="1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>
      <c r="A439" s="70">
        <v>45887</v>
      </c>
      <c r="B439" s="74">
        <v>3550</v>
      </c>
      <c r="C439" s="35"/>
      <c r="D439" s="35" t="s">
        <v>254</v>
      </c>
      <c r="E439" s="8">
        <f t="shared" si="1"/>
        <v>5786.8999999999942</v>
      </c>
      <c r="F439" s="20"/>
      <c r="G439" s="89"/>
      <c r="H439" s="14"/>
      <c r="I439" s="1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>
      <c r="A440" s="71">
        <v>45887</v>
      </c>
      <c r="B440" s="74">
        <v>90</v>
      </c>
      <c r="C440" s="24"/>
      <c r="D440" s="24" t="s">
        <v>196</v>
      </c>
      <c r="E440" s="8">
        <f t="shared" si="1"/>
        <v>5696.8999999999942</v>
      </c>
      <c r="F440" s="20"/>
      <c r="G440" s="89"/>
      <c r="H440" s="14"/>
      <c r="I440" s="1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>
      <c r="A441" s="91">
        <v>45888</v>
      </c>
      <c r="B441" s="35">
        <v>330</v>
      </c>
      <c r="C441" s="24"/>
      <c r="D441" s="35" t="s">
        <v>308</v>
      </c>
      <c r="E441" s="8">
        <f t="shared" si="1"/>
        <v>5366.8999999999942</v>
      </c>
      <c r="F441" s="20"/>
      <c r="G441" s="89"/>
      <c r="H441" s="14"/>
      <c r="I441" s="1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>
      <c r="A442" s="91">
        <v>45888</v>
      </c>
      <c r="B442" s="35">
        <v>165</v>
      </c>
      <c r="C442" s="24"/>
      <c r="D442" s="35" t="s">
        <v>241</v>
      </c>
      <c r="E442" s="8">
        <f t="shared" si="1"/>
        <v>5201.8999999999942</v>
      </c>
      <c r="F442" s="20"/>
      <c r="G442" s="89"/>
      <c r="H442" s="14"/>
      <c r="I442" s="1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>
      <c r="A443" s="91">
        <v>45888</v>
      </c>
      <c r="B443" s="35">
        <v>165</v>
      </c>
      <c r="C443" s="24"/>
      <c r="D443" s="35" t="s">
        <v>309</v>
      </c>
      <c r="E443" s="8">
        <f t="shared" si="1"/>
        <v>5036.8999999999942</v>
      </c>
      <c r="F443" s="20"/>
      <c r="G443" s="89"/>
      <c r="H443" s="14"/>
      <c r="I443" s="1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>
      <c r="A444" s="91">
        <v>45887</v>
      </c>
      <c r="B444" s="35">
        <v>500</v>
      </c>
      <c r="C444" s="24"/>
      <c r="D444" s="35" t="s">
        <v>310</v>
      </c>
      <c r="E444" s="8">
        <f t="shared" si="1"/>
        <v>4536.8999999999942</v>
      </c>
      <c r="F444" s="20"/>
      <c r="G444" s="89"/>
      <c r="H444" s="14"/>
      <c r="I444" s="1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>
      <c r="A445" s="71">
        <v>45889</v>
      </c>
      <c r="B445" s="38">
        <v>80</v>
      </c>
      <c r="C445" s="24"/>
      <c r="D445" s="35" t="s">
        <v>311</v>
      </c>
      <c r="E445" s="8">
        <f t="shared" si="1"/>
        <v>4456.8999999999942</v>
      </c>
      <c r="F445" s="20"/>
      <c r="G445" s="89"/>
      <c r="H445" s="14"/>
      <c r="I445" s="1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>
      <c r="A446" s="71">
        <v>45889</v>
      </c>
      <c r="B446" s="24">
        <v>90</v>
      </c>
      <c r="C446" s="24"/>
      <c r="D446" s="24" t="s">
        <v>196</v>
      </c>
      <c r="E446" s="8">
        <f t="shared" si="1"/>
        <v>4366.8999999999942</v>
      </c>
      <c r="F446" s="20"/>
      <c r="G446" s="89"/>
      <c r="H446" s="14"/>
      <c r="I446" s="1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>
      <c r="A447" s="71">
        <v>45890</v>
      </c>
      <c r="B447" s="24">
        <v>60</v>
      </c>
      <c r="C447" s="24"/>
      <c r="D447" s="24" t="s">
        <v>132</v>
      </c>
      <c r="E447" s="8">
        <f t="shared" si="1"/>
        <v>4306.8999999999942</v>
      </c>
      <c r="F447" s="20"/>
      <c r="G447" s="89"/>
      <c r="H447" s="14"/>
      <c r="I447" s="1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>
      <c r="A448" s="71">
        <v>45890</v>
      </c>
      <c r="B448" s="24">
        <v>100</v>
      </c>
      <c r="C448" s="24"/>
      <c r="D448" s="24" t="s">
        <v>312</v>
      </c>
      <c r="E448" s="8">
        <f t="shared" si="1"/>
        <v>4206.8999999999942</v>
      </c>
      <c r="F448" s="20"/>
      <c r="G448" s="89"/>
      <c r="H448" s="14"/>
      <c r="I448" s="1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>
      <c r="A449" s="70">
        <v>45890</v>
      </c>
      <c r="B449" s="24">
        <v>500</v>
      </c>
      <c r="C449" s="35"/>
      <c r="D449" s="24" t="s">
        <v>169</v>
      </c>
      <c r="E449" s="8">
        <f t="shared" si="1"/>
        <v>3706.8999999999942</v>
      </c>
      <c r="F449" s="20"/>
      <c r="G449" s="89"/>
      <c r="H449" s="14"/>
      <c r="I449" s="1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>
      <c r="A450" s="71">
        <v>45890</v>
      </c>
      <c r="B450" s="24"/>
      <c r="C450" s="24">
        <v>460</v>
      </c>
      <c r="D450" s="11" t="s">
        <v>60</v>
      </c>
      <c r="E450" s="8">
        <f t="shared" si="1"/>
        <v>4166.8999999999942</v>
      </c>
      <c r="F450" s="20"/>
      <c r="G450" s="89"/>
      <c r="H450" s="14"/>
      <c r="I450" s="1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>
      <c r="A451" s="71">
        <v>45890</v>
      </c>
      <c r="B451" s="24">
        <v>460</v>
      </c>
      <c r="C451" s="24"/>
      <c r="D451" s="24" t="s">
        <v>313</v>
      </c>
      <c r="E451" s="8">
        <f t="shared" si="1"/>
        <v>3706.8999999999942</v>
      </c>
      <c r="F451" s="20"/>
      <c r="G451" s="89"/>
      <c r="H451" s="14"/>
      <c r="I451" s="1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>
      <c r="A452" s="71">
        <v>45861</v>
      </c>
      <c r="B452" s="24">
        <f>1140+90+75</f>
        <v>1305</v>
      </c>
      <c r="C452" s="24"/>
      <c r="D452" s="24" t="s">
        <v>132</v>
      </c>
      <c r="E452" s="8">
        <f t="shared" si="1"/>
        <v>2401.8999999999942</v>
      </c>
      <c r="F452" s="20"/>
      <c r="G452" s="89"/>
      <c r="H452" s="14"/>
      <c r="I452" s="1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>
      <c r="A453" s="71">
        <v>45893</v>
      </c>
      <c r="B453" s="24">
        <f>90+175</f>
        <v>265</v>
      </c>
      <c r="C453" s="24"/>
      <c r="D453" s="24" t="s">
        <v>132</v>
      </c>
      <c r="E453" s="8">
        <f t="shared" si="1"/>
        <v>2136.8999999999942</v>
      </c>
      <c r="F453" s="20"/>
      <c r="G453" s="89"/>
      <c r="H453" s="14"/>
      <c r="I453" s="1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>
      <c r="A454" s="71">
        <v>45893</v>
      </c>
      <c r="B454" s="24">
        <v>220</v>
      </c>
      <c r="C454" s="24"/>
      <c r="D454" s="24" t="s">
        <v>314</v>
      </c>
      <c r="E454" s="8">
        <f t="shared" si="1"/>
        <v>1916.8999999999942</v>
      </c>
      <c r="F454" s="20"/>
      <c r="G454" s="89"/>
      <c r="H454" s="14"/>
      <c r="I454" s="1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>
      <c r="A455" s="71">
        <v>45893</v>
      </c>
      <c r="B455" s="24">
        <v>1000</v>
      </c>
      <c r="C455" s="24"/>
      <c r="D455" s="24" t="s">
        <v>169</v>
      </c>
      <c r="E455" s="8">
        <f t="shared" si="1"/>
        <v>916.89999999999418</v>
      </c>
      <c r="F455" s="20"/>
      <c r="G455" s="89"/>
      <c r="H455" s="14"/>
      <c r="I455" s="1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>
      <c r="A456" s="70">
        <v>45895</v>
      </c>
      <c r="B456" s="24">
        <v>90</v>
      </c>
      <c r="C456" s="35"/>
      <c r="D456" s="24" t="s">
        <v>196</v>
      </c>
      <c r="E456" s="8">
        <f t="shared" si="1"/>
        <v>826.89999999999418</v>
      </c>
      <c r="F456" s="20"/>
      <c r="G456" s="89"/>
      <c r="H456" s="14"/>
      <c r="I456" s="1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>
      <c r="A457" s="71">
        <v>45895</v>
      </c>
      <c r="B457" s="24">
        <v>280</v>
      </c>
      <c r="C457" s="24"/>
      <c r="D457" s="24" t="s">
        <v>132</v>
      </c>
      <c r="E457" s="8">
        <f t="shared" si="1"/>
        <v>546.89999999999418</v>
      </c>
      <c r="F457" s="20"/>
      <c r="G457" s="89"/>
      <c r="H457" s="14"/>
      <c r="I457" s="1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>
      <c r="A458" s="71">
        <v>45895</v>
      </c>
      <c r="B458" s="24">
        <v>16</v>
      </c>
      <c r="C458" s="24"/>
      <c r="D458" s="24" t="s">
        <v>315</v>
      </c>
      <c r="E458" s="8">
        <f t="shared" si="1"/>
        <v>530.89999999999418</v>
      </c>
      <c r="F458" s="20"/>
      <c r="G458" s="89"/>
      <c r="H458" s="14"/>
      <c r="I458" s="1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>
      <c r="A459" s="70">
        <v>45895</v>
      </c>
      <c r="B459" s="24"/>
      <c r="C459" s="35">
        <v>6000</v>
      </c>
      <c r="D459" s="11" t="s">
        <v>60</v>
      </c>
      <c r="E459" s="8">
        <f t="shared" si="1"/>
        <v>6530.8999999999942</v>
      </c>
      <c r="F459" s="20"/>
      <c r="G459" s="89"/>
      <c r="H459" s="14"/>
      <c r="I459" s="1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>
      <c r="A460" s="35" t="s">
        <v>267</v>
      </c>
      <c r="B460" s="24">
        <v>1955</v>
      </c>
      <c r="C460" s="35"/>
      <c r="D460" s="24" t="s">
        <v>316</v>
      </c>
      <c r="E460" s="8">
        <f t="shared" si="1"/>
        <v>4575.8999999999942</v>
      </c>
      <c r="F460" s="20"/>
      <c r="G460" s="89"/>
      <c r="H460" s="14"/>
      <c r="I460" s="1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>
      <c r="A461" s="71">
        <v>45864</v>
      </c>
      <c r="B461" s="24">
        <v>20</v>
      </c>
      <c r="C461" s="35"/>
      <c r="D461" s="24" t="s">
        <v>132</v>
      </c>
      <c r="E461" s="8">
        <f t="shared" si="1"/>
        <v>4555.8999999999942</v>
      </c>
      <c r="F461" s="20"/>
      <c r="G461" s="89"/>
      <c r="H461" s="14"/>
      <c r="I461" s="1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>
      <c r="A462" s="71">
        <v>45895</v>
      </c>
      <c r="B462" s="24">
        <v>94</v>
      </c>
      <c r="C462" s="35"/>
      <c r="D462" s="24" t="s">
        <v>317</v>
      </c>
      <c r="E462" s="8">
        <f t="shared" si="1"/>
        <v>4461.8999999999942</v>
      </c>
      <c r="F462" s="20"/>
      <c r="G462" s="89"/>
      <c r="H462" s="14"/>
      <c r="I462" s="1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>
      <c r="A463" s="71">
        <v>45896</v>
      </c>
      <c r="B463" s="24"/>
      <c r="C463" s="35"/>
      <c r="D463" s="24"/>
      <c r="E463" s="8">
        <f t="shared" si="1"/>
        <v>4461.8999999999942</v>
      </c>
      <c r="F463" s="20"/>
      <c r="G463" s="89"/>
      <c r="H463" s="14"/>
      <c r="I463" s="1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>
      <c r="A464" s="35" t="s">
        <v>318</v>
      </c>
      <c r="B464" s="24"/>
      <c r="C464" s="35">
        <v>90</v>
      </c>
      <c r="D464" s="11" t="s">
        <v>60</v>
      </c>
      <c r="E464" s="8">
        <f t="shared" si="1"/>
        <v>4551.8999999999942</v>
      </c>
      <c r="F464" s="20"/>
      <c r="G464" s="89"/>
      <c r="H464" s="14"/>
      <c r="I464" s="1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>
      <c r="A465" s="24" t="s">
        <v>318</v>
      </c>
      <c r="B465" s="24">
        <v>90</v>
      </c>
      <c r="C465" s="35"/>
      <c r="D465" s="24" t="s">
        <v>196</v>
      </c>
      <c r="E465" s="8">
        <f t="shared" si="1"/>
        <v>4461.8999999999942</v>
      </c>
      <c r="F465" s="20"/>
      <c r="G465" s="89"/>
      <c r="H465" s="14"/>
      <c r="I465" s="1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>
      <c r="A466" s="24" t="s">
        <v>319</v>
      </c>
      <c r="B466" s="24">
        <v>682</v>
      </c>
      <c r="C466" s="35"/>
      <c r="D466" s="24" t="s">
        <v>122</v>
      </c>
      <c r="E466" s="8">
        <f t="shared" si="1"/>
        <v>3779.8999999999942</v>
      </c>
      <c r="F466" s="20"/>
      <c r="G466" s="89"/>
      <c r="H466" s="14"/>
      <c r="I466" s="1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>
      <c r="A467" s="35" t="s">
        <v>319</v>
      </c>
      <c r="B467" s="24"/>
      <c r="C467" s="35">
        <v>120000</v>
      </c>
      <c r="D467" s="11" t="s">
        <v>60</v>
      </c>
      <c r="E467" s="8">
        <f t="shared" si="1"/>
        <v>123779.9</v>
      </c>
      <c r="F467" s="20"/>
      <c r="G467" s="89"/>
      <c r="H467" s="14"/>
      <c r="I467" s="1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>
      <c r="A468" s="24" t="s">
        <v>320</v>
      </c>
      <c r="B468" s="24">
        <v>120000</v>
      </c>
      <c r="C468" s="24"/>
      <c r="D468" s="24" t="s">
        <v>321</v>
      </c>
      <c r="E468" s="8">
        <f t="shared" si="1"/>
        <v>3779.8999999999942</v>
      </c>
      <c r="F468" s="20"/>
      <c r="G468" s="89"/>
      <c r="H468" s="14"/>
      <c r="I468" s="1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>
      <c r="A469" s="24" t="s">
        <v>319</v>
      </c>
      <c r="B469" s="24"/>
      <c r="C469" s="24">
        <v>90</v>
      </c>
      <c r="D469" s="11" t="s">
        <v>94</v>
      </c>
      <c r="E469" s="8">
        <f t="shared" si="1"/>
        <v>3869.8999999999942</v>
      </c>
      <c r="F469" s="20"/>
      <c r="G469" s="89"/>
      <c r="H469" s="14"/>
      <c r="I469" s="1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>
      <c r="A470" s="24" t="s">
        <v>319</v>
      </c>
      <c r="B470" s="24">
        <v>90</v>
      </c>
      <c r="C470" s="24"/>
      <c r="D470" s="24" t="s">
        <v>220</v>
      </c>
      <c r="E470" s="8">
        <f t="shared" si="1"/>
        <v>3779.8999999999942</v>
      </c>
      <c r="F470" s="20"/>
      <c r="G470" s="89"/>
      <c r="H470" s="14"/>
      <c r="I470" s="1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>
      <c r="A471" s="24" t="s">
        <v>319</v>
      </c>
      <c r="B471" s="24">
        <v>100</v>
      </c>
      <c r="C471" s="24"/>
      <c r="D471" s="24" t="s">
        <v>322</v>
      </c>
      <c r="E471" s="8">
        <f t="shared" si="1"/>
        <v>3679.8999999999942</v>
      </c>
      <c r="F471" s="20"/>
      <c r="G471" s="89"/>
      <c r="H471" s="14"/>
      <c r="I471" s="1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>
      <c r="A472" s="24" t="s">
        <v>319</v>
      </c>
      <c r="B472" s="24"/>
      <c r="C472" s="35">
        <v>496</v>
      </c>
      <c r="D472" s="11" t="s">
        <v>94</v>
      </c>
      <c r="E472" s="8">
        <f t="shared" si="1"/>
        <v>4175.8999999999942</v>
      </c>
      <c r="F472" s="20"/>
      <c r="G472" s="89"/>
      <c r="H472" s="14"/>
      <c r="I472" s="1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>
      <c r="A473" s="24" t="s">
        <v>319</v>
      </c>
      <c r="B473" s="24">
        <v>496</v>
      </c>
      <c r="C473" s="24"/>
      <c r="D473" s="24" t="s">
        <v>323</v>
      </c>
      <c r="E473" s="8">
        <f t="shared" si="1"/>
        <v>3679.8999999999942</v>
      </c>
      <c r="F473" s="20"/>
      <c r="G473" s="89"/>
      <c r="H473" s="14"/>
      <c r="I473" s="1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>
      <c r="A474" s="92" t="s">
        <v>319</v>
      </c>
      <c r="B474" s="24">
        <v>500</v>
      </c>
      <c r="C474" s="93"/>
      <c r="D474" s="24" t="s">
        <v>190</v>
      </c>
      <c r="E474" s="8">
        <f t="shared" si="1"/>
        <v>3179.8999999999942</v>
      </c>
      <c r="F474" s="20"/>
      <c r="G474" s="89"/>
      <c r="H474" s="14"/>
      <c r="I474" s="1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>
      <c r="A475" s="24" t="s">
        <v>319</v>
      </c>
      <c r="B475" s="24">
        <v>174</v>
      </c>
      <c r="C475" s="24"/>
      <c r="D475" s="24" t="s">
        <v>324</v>
      </c>
      <c r="E475" s="8">
        <f t="shared" si="1"/>
        <v>3005.8999999999942</v>
      </c>
      <c r="F475" s="20"/>
      <c r="G475" s="89"/>
      <c r="H475" s="14"/>
      <c r="I475" s="1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>
      <c r="A476" s="24" t="s">
        <v>319</v>
      </c>
      <c r="B476" s="24">
        <v>100</v>
      </c>
      <c r="C476" s="24"/>
      <c r="D476" s="24" t="s">
        <v>325</v>
      </c>
      <c r="E476" s="8">
        <f t="shared" si="1"/>
        <v>2905.8999999999942</v>
      </c>
      <c r="F476" s="20"/>
      <c r="G476" s="89"/>
      <c r="H476" s="14"/>
      <c r="I476" s="1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>
      <c r="A477" s="24" t="s">
        <v>326</v>
      </c>
      <c r="B477" s="24">
        <v>130</v>
      </c>
      <c r="C477" s="24"/>
      <c r="D477" s="24" t="s">
        <v>265</v>
      </c>
      <c r="E477" s="8">
        <f t="shared" si="1"/>
        <v>2775.8999999999942</v>
      </c>
      <c r="F477" s="20"/>
      <c r="G477" s="89"/>
      <c r="H477" s="14"/>
      <c r="I477" s="1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>
      <c r="A478" s="24" t="s">
        <v>326</v>
      </c>
      <c r="B478" s="24">
        <v>95</v>
      </c>
      <c r="C478" s="24"/>
      <c r="D478" s="24" t="s">
        <v>220</v>
      </c>
      <c r="E478" s="8">
        <f t="shared" si="1"/>
        <v>2680.8999999999942</v>
      </c>
      <c r="F478" s="20"/>
      <c r="G478" s="89"/>
      <c r="H478" s="14"/>
      <c r="I478" s="1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>
      <c r="A479" s="24" t="s">
        <v>327</v>
      </c>
      <c r="B479" s="24">
        <v>95</v>
      </c>
      <c r="C479" s="24"/>
      <c r="D479" s="24" t="s">
        <v>220</v>
      </c>
      <c r="E479" s="8">
        <f t="shared" si="1"/>
        <v>2585.8999999999942</v>
      </c>
      <c r="F479" s="20"/>
      <c r="G479" s="89"/>
      <c r="H479" s="14"/>
      <c r="I479" s="1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>
      <c r="A480" s="24" t="s">
        <v>328</v>
      </c>
      <c r="B480" s="24"/>
      <c r="C480" s="24">
        <f>27600+40000+56000</f>
        <v>123600</v>
      </c>
      <c r="D480" s="11" t="s">
        <v>60</v>
      </c>
      <c r="E480" s="8">
        <f t="shared" si="1"/>
        <v>126185.9</v>
      </c>
      <c r="F480" s="20"/>
      <c r="G480" s="89"/>
      <c r="H480" s="14"/>
      <c r="I480" s="1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>
      <c r="A481" s="24" t="s">
        <v>328</v>
      </c>
      <c r="B481" s="24">
        <v>700</v>
      </c>
      <c r="C481" s="24"/>
      <c r="D481" s="24" t="s">
        <v>329</v>
      </c>
      <c r="E481" s="8">
        <f t="shared" si="1"/>
        <v>125485.9</v>
      </c>
      <c r="F481" s="20"/>
      <c r="G481" s="89"/>
      <c r="H481" s="14"/>
      <c r="I481" s="1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>
      <c r="A482" s="24" t="s">
        <v>328</v>
      </c>
      <c r="B482" s="24">
        <f>111320-2100</f>
        <v>109220</v>
      </c>
      <c r="C482" s="24"/>
      <c r="D482" s="24" t="s">
        <v>330</v>
      </c>
      <c r="E482" s="8">
        <f t="shared" si="1"/>
        <v>16265.899999999994</v>
      </c>
      <c r="F482" s="20"/>
      <c r="G482" s="89"/>
      <c r="H482" s="14"/>
      <c r="I482" s="1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>
      <c r="A483" s="35" t="s">
        <v>328</v>
      </c>
      <c r="B483" s="24"/>
      <c r="C483" s="35">
        <v>248456</v>
      </c>
      <c r="D483" s="24" t="s">
        <v>331</v>
      </c>
      <c r="E483" s="8">
        <f t="shared" si="1"/>
        <v>264721.90000000002</v>
      </c>
      <c r="F483" s="20"/>
      <c r="G483" s="89"/>
      <c r="H483" s="14"/>
      <c r="I483" s="1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>
      <c r="A484" s="24" t="s">
        <v>328</v>
      </c>
      <c r="B484" s="24"/>
      <c r="C484" s="24">
        <v>137475</v>
      </c>
      <c r="D484" s="24" t="s">
        <v>332</v>
      </c>
      <c r="E484" s="8">
        <f t="shared" si="1"/>
        <v>402196.9</v>
      </c>
      <c r="F484" s="20"/>
      <c r="G484" s="89"/>
      <c r="H484" s="14"/>
      <c r="I484" s="1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>
      <c r="A485" s="24" t="s">
        <v>328</v>
      </c>
      <c r="B485" s="24"/>
      <c r="C485" s="24">
        <v>60000</v>
      </c>
      <c r="D485" s="94" t="s">
        <v>333</v>
      </c>
      <c r="E485" s="8">
        <f t="shared" si="1"/>
        <v>462196.9</v>
      </c>
      <c r="F485" s="20"/>
      <c r="G485" s="89"/>
      <c r="H485" s="14"/>
      <c r="I485" s="1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>
      <c r="A486" s="24" t="s">
        <v>328</v>
      </c>
      <c r="B486" s="24">
        <v>445931</v>
      </c>
      <c r="C486" s="24"/>
      <c r="D486" s="11" t="s">
        <v>280</v>
      </c>
      <c r="E486" s="8">
        <f t="shared" si="1"/>
        <v>16265.900000000023</v>
      </c>
      <c r="F486" s="20"/>
      <c r="G486" s="89"/>
      <c r="H486" s="14"/>
      <c r="I486" s="1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>
      <c r="A487" s="24" t="s">
        <v>328</v>
      </c>
      <c r="B487" s="24"/>
      <c r="C487" s="24">
        <v>5000</v>
      </c>
      <c r="D487" s="11" t="s">
        <v>60</v>
      </c>
      <c r="E487" s="8">
        <f t="shared" si="1"/>
        <v>21265.900000000023</v>
      </c>
      <c r="F487" s="20"/>
      <c r="G487" s="89"/>
      <c r="H487" s="14"/>
      <c r="I487" s="1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>
      <c r="A488" s="24" t="s">
        <v>328</v>
      </c>
      <c r="B488" s="24">
        <v>5000</v>
      </c>
      <c r="C488" s="24"/>
      <c r="D488" s="11" t="s">
        <v>303</v>
      </c>
      <c r="E488" s="8">
        <f t="shared" si="1"/>
        <v>16265.900000000023</v>
      </c>
      <c r="F488" s="20"/>
      <c r="G488" s="89"/>
      <c r="H488" s="14"/>
      <c r="I488" s="1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>
      <c r="A489" s="24" t="s">
        <v>328</v>
      </c>
      <c r="B489" s="24"/>
      <c r="C489" s="24">
        <v>5000</v>
      </c>
      <c r="D489" s="24" t="s">
        <v>60</v>
      </c>
      <c r="E489" s="8">
        <f t="shared" si="1"/>
        <v>21265.900000000023</v>
      </c>
      <c r="F489" s="20"/>
      <c r="G489" s="89"/>
      <c r="H489" s="14"/>
      <c r="I489" s="1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>
      <c r="A490" s="24" t="s">
        <v>328</v>
      </c>
      <c r="B490" s="24">
        <v>5000</v>
      </c>
      <c r="C490" s="24"/>
      <c r="D490" s="24" t="s">
        <v>334</v>
      </c>
      <c r="E490" s="8">
        <f t="shared" si="1"/>
        <v>16265.900000000023</v>
      </c>
      <c r="F490" s="20"/>
      <c r="G490" s="89"/>
      <c r="H490" s="14"/>
      <c r="I490" s="1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>
      <c r="A491" s="24" t="s">
        <v>328</v>
      </c>
      <c r="B491" s="24"/>
      <c r="C491" s="24">
        <v>3600</v>
      </c>
      <c r="D491" s="11" t="s">
        <v>60</v>
      </c>
      <c r="E491" s="8">
        <f t="shared" si="1"/>
        <v>19865.900000000023</v>
      </c>
      <c r="F491" s="20"/>
      <c r="G491" s="89"/>
      <c r="H491" s="14"/>
      <c r="I491" s="1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>
      <c r="A492" s="24" t="s">
        <v>328</v>
      </c>
      <c r="B492" s="24">
        <v>3600</v>
      </c>
      <c r="C492" s="35"/>
      <c r="D492" s="24" t="s">
        <v>335</v>
      </c>
      <c r="E492" s="8">
        <f t="shared" si="1"/>
        <v>16265.900000000023</v>
      </c>
      <c r="F492" s="20"/>
      <c r="G492" s="89"/>
      <c r="H492" s="14"/>
      <c r="I492" s="1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>
      <c r="A493" s="24" t="s">
        <v>328</v>
      </c>
      <c r="B493" s="24"/>
      <c r="C493" s="24">
        <v>250000</v>
      </c>
      <c r="D493" s="24" t="s">
        <v>336</v>
      </c>
      <c r="E493" s="8">
        <f t="shared" si="1"/>
        <v>266265.90000000002</v>
      </c>
      <c r="F493" s="20"/>
      <c r="G493" s="89"/>
      <c r="H493" s="14"/>
      <c r="I493" s="1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>
      <c r="A494" s="35" t="s">
        <v>328</v>
      </c>
      <c r="B494" s="24">
        <v>250000</v>
      </c>
      <c r="C494" s="35"/>
      <c r="D494" s="11" t="s">
        <v>280</v>
      </c>
      <c r="E494" s="8">
        <f t="shared" si="1"/>
        <v>16265.900000000023</v>
      </c>
      <c r="F494" s="20"/>
      <c r="G494" s="89"/>
      <c r="H494" s="14"/>
      <c r="I494" s="1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>
      <c r="A495" s="24" t="s">
        <v>328</v>
      </c>
      <c r="B495" s="24">
        <v>8580</v>
      </c>
      <c r="C495" s="24"/>
      <c r="D495" s="24" t="s">
        <v>337</v>
      </c>
      <c r="E495" s="8">
        <f t="shared" si="1"/>
        <v>7685.9000000000233</v>
      </c>
      <c r="F495" s="20"/>
      <c r="G495" s="89"/>
      <c r="H495" s="14"/>
      <c r="I495" s="1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>
      <c r="A496" s="24" t="s">
        <v>328</v>
      </c>
      <c r="B496" s="86">
        <v>1000</v>
      </c>
      <c r="C496" s="24"/>
      <c r="D496" s="66" t="s">
        <v>338</v>
      </c>
      <c r="E496" s="8">
        <f t="shared" si="1"/>
        <v>6685.9000000000233</v>
      </c>
      <c r="F496" s="20"/>
      <c r="G496" s="89"/>
      <c r="H496" s="14"/>
      <c r="I496" s="1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>
      <c r="A497" s="24" t="s">
        <v>328</v>
      </c>
      <c r="B497" s="86">
        <v>400</v>
      </c>
      <c r="C497" s="24"/>
      <c r="D497" s="66" t="s">
        <v>339</v>
      </c>
      <c r="E497" s="8">
        <f t="shared" si="1"/>
        <v>6285.9000000000233</v>
      </c>
      <c r="F497" s="20"/>
      <c r="G497" s="89"/>
      <c r="H497" s="14"/>
      <c r="I497" s="1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>
      <c r="A498" s="24" t="s">
        <v>328</v>
      </c>
      <c r="B498" s="86">
        <v>400</v>
      </c>
      <c r="C498" s="24"/>
      <c r="D498" s="66" t="s">
        <v>340</v>
      </c>
      <c r="E498" s="8">
        <f t="shared" si="1"/>
        <v>5885.9000000000233</v>
      </c>
      <c r="F498" s="20"/>
      <c r="G498" s="89"/>
      <c r="H498" s="14"/>
      <c r="I498" s="1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>
      <c r="A499" s="24" t="s">
        <v>328</v>
      </c>
      <c r="B499" s="86">
        <v>200</v>
      </c>
      <c r="C499" s="24"/>
      <c r="D499" s="66" t="s">
        <v>341</v>
      </c>
      <c r="E499" s="8">
        <f t="shared" si="1"/>
        <v>5685.9000000000233</v>
      </c>
      <c r="F499" s="20"/>
      <c r="G499" s="89"/>
      <c r="H499" s="14"/>
      <c r="I499" s="1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>
      <c r="A500" s="35" t="s">
        <v>328</v>
      </c>
      <c r="B500" s="24"/>
      <c r="C500" s="35">
        <v>114000</v>
      </c>
      <c r="D500" s="24" t="s">
        <v>342</v>
      </c>
      <c r="E500" s="8">
        <f t="shared" si="1"/>
        <v>119685.90000000002</v>
      </c>
      <c r="F500" s="20"/>
      <c r="G500" s="89"/>
      <c r="H500" s="14"/>
      <c r="I500" s="1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>
      <c r="A501" s="24" t="s">
        <v>328</v>
      </c>
      <c r="B501" s="24">
        <v>114000</v>
      </c>
      <c r="C501" s="24"/>
      <c r="D501" s="24" t="s">
        <v>343</v>
      </c>
      <c r="E501" s="8">
        <f t="shared" si="1"/>
        <v>5685.9000000000233</v>
      </c>
      <c r="F501" s="20"/>
      <c r="G501" s="89"/>
      <c r="H501" s="14"/>
      <c r="I501" s="1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>
      <c r="A502" s="24" t="s">
        <v>328</v>
      </c>
      <c r="B502" s="24">
        <v>63</v>
      </c>
      <c r="C502" s="24"/>
      <c r="D502" s="24" t="s">
        <v>344</v>
      </c>
      <c r="E502" s="8">
        <f t="shared" si="1"/>
        <v>5622.9000000000233</v>
      </c>
      <c r="F502" s="20"/>
      <c r="G502" s="89"/>
      <c r="H502" s="14"/>
      <c r="I502" s="1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>
      <c r="A503" s="24" t="s">
        <v>328</v>
      </c>
      <c r="B503" s="24"/>
      <c r="C503" s="24">
        <v>20000</v>
      </c>
      <c r="D503" s="86" t="s">
        <v>345</v>
      </c>
      <c r="E503" s="8">
        <f t="shared" si="1"/>
        <v>25622.900000000023</v>
      </c>
      <c r="F503" s="20"/>
      <c r="G503" s="89"/>
      <c r="H503" s="14"/>
      <c r="I503" s="1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>
      <c r="A504" s="24" t="s">
        <v>328</v>
      </c>
      <c r="B504" s="24">
        <v>10000</v>
      </c>
      <c r="C504" s="24"/>
      <c r="D504" s="24" t="s">
        <v>346</v>
      </c>
      <c r="E504" s="8">
        <f t="shared" si="1"/>
        <v>15622.900000000023</v>
      </c>
      <c r="F504" s="20"/>
      <c r="G504" s="89"/>
      <c r="H504" s="14"/>
      <c r="I504" s="1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>
      <c r="A505" s="24" t="s">
        <v>328</v>
      </c>
      <c r="B505" s="24">
        <v>10000</v>
      </c>
      <c r="C505" s="24"/>
      <c r="D505" s="24" t="s">
        <v>280</v>
      </c>
      <c r="E505" s="8">
        <f t="shared" si="1"/>
        <v>5622.9000000000233</v>
      </c>
      <c r="F505" s="20"/>
      <c r="G505" s="89"/>
      <c r="H505" s="14"/>
      <c r="I505" s="1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>
      <c r="A506" s="24" t="s">
        <v>347</v>
      </c>
      <c r="B506" s="24"/>
      <c r="C506" s="24">
        <v>10000</v>
      </c>
      <c r="D506" s="86" t="s">
        <v>348</v>
      </c>
      <c r="E506" s="8">
        <f t="shared" si="1"/>
        <v>15622.900000000023</v>
      </c>
      <c r="F506" s="20"/>
      <c r="G506" s="89"/>
      <c r="H506" s="14"/>
      <c r="I506" s="1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>
      <c r="A507" s="24" t="s">
        <v>347</v>
      </c>
      <c r="B507" s="24">
        <v>5000</v>
      </c>
      <c r="C507" s="24"/>
      <c r="D507" s="24" t="s">
        <v>346</v>
      </c>
      <c r="E507" s="8">
        <f t="shared" si="1"/>
        <v>10622.900000000023</v>
      </c>
      <c r="F507" s="20"/>
      <c r="G507" s="89"/>
      <c r="H507" s="14"/>
      <c r="I507" s="1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>
      <c r="A508" s="24" t="s">
        <v>347</v>
      </c>
      <c r="B508" s="24">
        <v>320</v>
      </c>
      <c r="C508" s="24"/>
      <c r="D508" s="24" t="s">
        <v>122</v>
      </c>
      <c r="E508" s="8">
        <f t="shared" si="1"/>
        <v>10302.900000000023</v>
      </c>
      <c r="F508" s="20"/>
      <c r="G508" s="89"/>
      <c r="H508" s="14"/>
      <c r="I508" s="1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>
      <c r="A509" s="24" t="s">
        <v>347</v>
      </c>
      <c r="B509" s="24">
        <v>1000</v>
      </c>
      <c r="C509" s="24"/>
      <c r="D509" s="24" t="s">
        <v>190</v>
      </c>
      <c r="E509" s="8">
        <f t="shared" si="1"/>
        <v>9302.9000000000233</v>
      </c>
      <c r="F509" s="20"/>
      <c r="G509" s="89"/>
      <c r="H509" s="14"/>
      <c r="I509" s="1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>
      <c r="A510" s="24" t="s">
        <v>347</v>
      </c>
      <c r="B510" s="24">
        <f>122+135+75+50</f>
        <v>382</v>
      </c>
      <c r="C510" s="24"/>
      <c r="D510" s="24" t="s">
        <v>122</v>
      </c>
      <c r="E510" s="8">
        <f t="shared" si="1"/>
        <v>8920.9000000000233</v>
      </c>
      <c r="F510" s="20"/>
      <c r="G510" s="89"/>
      <c r="H510" s="14"/>
      <c r="I510" s="1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>
      <c r="A511" s="24" t="s">
        <v>349</v>
      </c>
      <c r="B511" s="24">
        <f>105+750+288</f>
        <v>1143</v>
      </c>
      <c r="C511" s="24"/>
      <c r="D511" s="24" t="s">
        <v>122</v>
      </c>
      <c r="E511" s="8">
        <f t="shared" si="1"/>
        <v>7777.9000000000233</v>
      </c>
      <c r="F511" s="20"/>
      <c r="G511" s="89"/>
      <c r="H511" s="14"/>
      <c r="I511" s="1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>
      <c r="A512" s="24" t="s">
        <v>349</v>
      </c>
      <c r="B512" s="24">
        <v>95</v>
      </c>
      <c r="C512" s="24"/>
      <c r="D512" s="24" t="s">
        <v>220</v>
      </c>
      <c r="E512" s="8">
        <f t="shared" si="1"/>
        <v>7682.9000000000233</v>
      </c>
      <c r="F512" s="20"/>
      <c r="G512" s="89"/>
      <c r="H512" s="14"/>
      <c r="I512" s="1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>
      <c r="A513" s="71">
        <v>45908</v>
      </c>
      <c r="B513" s="24">
        <f>870+210</f>
        <v>1080</v>
      </c>
      <c r="C513" s="24"/>
      <c r="D513" s="24" t="s">
        <v>132</v>
      </c>
      <c r="E513" s="8">
        <f t="shared" si="1"/>
        <v>6602.9000000000233</v>
      </c>
      <c r="F513" s="20"/>
      <c r="G513" s="89"/>
      <c r="H513" s="14"/>
      <c r="I513" s="1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>
      <c r="A514" s="70">
        <v>45909</v>
      </c>
      <c r="B514" s="24">
        <v>100</v>
      </c>
      <c r="C514" s="35"/>
      <c r="D514" s="24" t="s">
        <v>350</v>
      </c>
      <c r="E514" s="8">
        <f t="shared" ref="E514:E768" si="2">E513+C514-B514</f>
        <v>6502.9000000000233</v>
      </c>
      <c r="F514" s="20"/>
      <c r="G514" s="89"/>
      <c r="H514" s="14"/>
      <c r="I514" s="1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>
      <c r="A515" s="71">
        <v>45909</v>
      </c>
      <c r="B515" s="24">
        <v>95</v>
      </c>
      <c r="C515" s="24"/>
      <c r="D515" s="24" t="s">
        <v>146</v>
      </c>
      <c r="E515" s="8">
        <f t="shared" si="2"/>
        <v>6407.9000000000233</v>
      </c>
      <c r="F515" s="20"/>
      <c r="G515" s="89"/>
      <c r="H515" s="14"/>
      <c r="I515" s="1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>
      <c r="A516" s="71">
        <v>45909</v>
      </c>
      <c r="B516" s="24">
        <v>60</v>
      </c>
      <c r="C516" s="24"/>
      <c r="D516" s="24" t="s">
        <v>351</v>
      </c>
      <c r="E516" s="8">
        <f t="shared" si="2"/>
        <v>6347.9000000000233</v>
      </c>
      <c r="F516" s="20"/>
      <c r="G516" s="89"/>
      <c r="H516" s="14"/>
      <c r="I516" s="1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>
      <c r="A517" s="71">
        <v>45909</v>
      </c>
      <c r="B517" s="24">
        <v>1000</v>
      </c>
      <c r="C517" s="24"/>
      <c r="D517" s="24" t="s">
        <v>169</v>
      </c>
      <c r="E517" s="8">
        <f t="shared" si="2"/>
        <v>5347.9000000000233</v>
      </c>
      <c r="F517" s="20"/>
      <c r="G517" s="89"/>
      <c r="H517" s="14"/>
      <c r="I517" s="1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>
      <c r="A518" s="71">
        <v>45909</v>
      </c>
      <c r="B518" s="24">
        <v>200</v>
      </c>
      <c r="C518" s="24"/>
      <c r="D518" s="24" t="s">
        <v>352</v>
      </c>
      <c r="E518" s="8">
        <f t="shared" si="2"/>
        <v>5147.9000000000233</v>
      </c>
      <c r="F518" s="20"/>
      <c r="G518" s="89"/>
      <c r="H518" s="14"/>
      <c r="I518" s="1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>
      <c r="A519" s="70">
        <v>45909</v>
      </c>
      <c r="B519" s="24">
        <v>45</v>
      </c>
      <c r="C519" s="35"/>
      <c r="D519" s="24" t="s">
        <v>353</v>
      </c>
      <c r="E519" s="8">
        <f t="shared" si="2"/>
        <v>5102.9000000000233</v>
      </c>
      <c r="F519" s="20"/>
      <c r="G519" s="89"/>
      <c r="H519" s="14"/>
      <c r="I519" s="1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>
      <c r="A520" s="71">
        <v>45910</v>
      </c>
      <c r="B520" s="24">
        <v>90</v>
      </c>
      <c r="C520" s="24"/>
      <c r="D520" s="24" t="s">
        <v>354</v>
      </c>
      <c r="E520" s="8">
        <f t="shared" si="2"/>
        <v>5012.9000000000233</v>
      </c>
      <c r="F520" s="20"/>
      <c r="G520" s="89"/>
      <c r="H520" s="14"/>
      <c r="I520" s="1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>
      <c r="A521" s="71">
        <v>45910</v>
      </c>
      <c r="B521" s="24">
        <v>130</v>
      </c>
      <c r="C521" s="24"/>
      <c r="D521" s="24" t="s">
        <v>355</v>
      </c>
      <c r="E521" s="8">
        <f t="shared" si="2"/>
        <v>4882.9000000000233</v>
      </c>
      <c r="F521" s="20"/>
      <c r="G521" s="89"/>
      <c r="H521" s="14"/>
      <c r="I521" s="1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>
      <c r="A522" s="71">
        <v>45910</v>
      </c>
      <c r="B522" s="24">
        <v>50</v>
      </c>
      <c r="C522" s="24"/>
      <c r="D522" s="24" t="s">
        <v>356</v>
      </c>
      <c r="E522" s="8">
        <f t="shared" si="2"/>
        <v>4832.9000000000233</v>
      </c>
      <c r="F522" s="20"/>
      <c r="G522" s="89"/>
      <c r="H522" s="14"/>
      <c r="I522" s="1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>
      <c r="A523" s="70">
        <v>45911</v>
      </c>
      <c r="B523" s="24">
        <v>95</v>
      </c>
      <c r="C523" s="35"/>
      <c r="D523" s="24" t="s">
        <v>357</v>
      </c>
      <c r="E523" s="8">
        <f t="shared" si="2"/>
        <v>4737.9000000000233</v>
      </c>
      <c r="F523" s="20"/>
      <c r="G523" s="89"/>
      <c r="H523" s="14"/>
      <c r="I523" s="1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>
      <c r="A524" s="71">
        <v>45911</v>
      </c>
      <c r="B524" s="24">
        <f>40+150+141+50</f>
        <v>381</v>
      </c>
      <c r="C524" s="24"/>
      <c r="D524" s="24" t="s">
        <v>132</v>
      </c>
      <c r="E524" s="8">
        <f t="shared" si="2"/>
        <v>4356.9000000000233</v>
      </c>
      <c r="F524" s="20"/>
      <c r="G524" s="89"/>
      <c r="H524" s="14"/>
      <c r="I524" s="1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>
      <c r="A525" s="71">
        <v>45911</v>
      </c>
      <c r="B525" s="24">
        <v>2000</v>
      </c>
      <c r="C525" s="24"/>
      <c r="D525" s="24" t="s">
        <v>358</v>
      </c>
      <c r="E525" s="8">
        <f t="shared" si="2"/>
        <v>2356.9000000000233</v>
      </c>
      <c r="F525" s="20"/>
      <c r="G525" s="89"/>
      <c r="H525" s="14"/>
      <c r="I525" s="1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>
      <c r="A526" s="71">
        <v>45911</v>
      </c>
      <c r="B526" s="24"/>
      <c r="C526" s="24">
        <v>1800</v>
      </c>
      <c r="D526" s="11" t="s">
        <v>60</v>
      </c>
      <c r="E526" s="8">
        <f t="shared" si="2"/>
        <v>4156.9000000000233</v>
      </c>
      <c r="F526" s="20"/>
      <c r="G526" s="89"/>
      <c r="H526" s="14"/>
      <c r="I526" s="1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>
      <c r="A527" s="71">
        <v>45911</v>
      </c>
      <c r="B527" s="24">
        <v>1800</v>
      </c>
      <c r="C527" s="24"/>
      <c r="D527" s="24" t="s">
        <v>359</v>
      </c>
      <c r="E527" s="8">
        <f t="shared" si="2"/>
        <v>2356.9000000000233</v>
      </c>
      <c r="F527" s="20"/>
      <c r="G527" s="89"/>
      <c r="H527" s="14"/>
      <c r="I527" s="1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>
      <c r="A528" s="24" t="s">
        <v>360</v>
      </c>
      <c r="B528" s="24">
        <v>95</v>
      </c>
      <c r="C528" s="24"/>
      <c r="D528" s="24" t="s">
        <v>361</v>
      </c>
      <c r="E528" s="8">
        <f t="shared" si="2"/>
        <v>2261.9000000000233</v>
      </c>
      <c r="F528" s="20"/>
      <c r="G528" s="89"/>
      <c r="H528" s="14"/>
      <c r="I528" s="1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>
      <c r="A529" s="35" t="s">
        <v>360</v>
      </c>
      <c r="B529" s="24">
        <f>10+288+45</f>
        <v>343</v>
      </c>
      <c r="C529" s="35"/>
      <c r="D529" s="24" t="s">
        <v>122</v>
      </c>
      <c r="E529" s="8">
        <f t="shared" si="2"/>
        <v>1918.9000000000233</v>
      </c>
      <c r="F529" s="20"/>
      <c r="G529" s="89"/>
      <c r="H529" s="14"/>
      <c r="I529" s="1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>
      <c r="A530" s="71">
        <v>45916</v>
      </c>
      <c r="B530" s="24">
        <v>1000</v>
      </c>
      <c r="C530" s="24"/>
      <c r="D530" s="24" t="s">
        <v>169</v>
      </c>
      <c r="E530" s="8">
        <f t="shared" si="2"/>
        <v>918.90000000002328</v>
      </c>
      <c r="F530" s="20"/>
      <c r="G530" s="89"/>
      <c r="H530" s="14"/>
      <c r="I530" s="1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>
      <c r="A531" s="71">
        <v>45916</v>
      </c>
      <c r="B531" s="24">
        <f>95+16+150</f>
        <v>261</v>
      </c>
      <c r="C531" s="24"/>
      <c r="D531" s="24" t="s">
        <v>132</v>
      </c>
      <c r="E531" s="8">
        <f t="shared" si="2"/>
        <v>657.90000000002328</v>
      </c>
      <c r="F531" s="20"/>
      <c r="G531" s="89"/>
      <c r="H531" s="14"/>
      <c r="I531" s="1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>
      <c r="A532" s="71">
        <v>45916</v>
      </c>
      <c r="B532" s="24"/>
      <c r="C532" s="24">
        <f>2000+215</f>
        <v>2215</v>
      </c>
      <c r="D532" s="11" t="s">
        <v>60</v>
      </c>
      <c r="E532" s="8">
        <f t="shared" si="2"/>
        <v>2872.9000000000233</v>
      </c>
      <c r="F532" s="20"/>
      <c r="G532" s="89"/>
      <c r="H532" s="14"/>
      <c r="I532" s="1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>
      <c r="A533" s="71">
        <v>45916</v>
      </c>
      <c r="B533" s="24">
        <v>1000</v>
      </c>
      <c r="C533" s="24"/>
      <c r="D533" s="24" t="s">
        <v>362</v>
      </c>
      <c r="E533" s="8">
        <f t="shared" si="2"/>
        <v>1872.9000000000233</v>
      </c>
      <c r="F533" s="20"/>
      <c r="G533" s="89"/>
      <c r="H533" s="14"/>
      <c r="I533" s="1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>
      <c r="A534" s="24" t="s">
        <v>363</v>
      </c>
      <c r="B534" s="24"/>
      <c r="C534" s="24">
        <v>77475</v>
      </c>
      <c r="D534" s="86" t="s">
        <v>364</v>
      </c>
      <c r="E534" s="8">
        <f t="shared" si="2"/>
        <v>79347.900000000023</v>
      </c>
      <c r="F534" s="20"/>
      <c r="G534" s="89"/>
      <c r="H534" s="14"/>
      <c r="I534" s="1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>
      <c r="A535" s="24" t="s">
        <v>363</v>
      </c>
      <c r="B535" s="24">
        <v>73000</v>
      </c>
      <c r="C535" s="24"/>
      <c r="D535" s="24" t="s">
        <v>280</v>
      </c>
      <c r="E535" s="8">
        <f t="shared" si="2"/>
        <v>6347.9000000000233</v>
      </c>
      <c r="F535" s="20"/>
      <c r="G535" s="89"/>
      <c r="H535" s="14"/>
      <c r="I535" s="1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>
      <c r="A536" s="24" t="s">
        <v>363</v>
      </c>
      <c r="B536" s="24">
        <v>4475</v>
      </c>
      <c r="C536" s="24"/>
      <c r="D536" s="24" t="s">
        <v>303</v>
      </c>
      <c r="E536" s="8">
        <f t="shared" si="2"/>
        <v>1872.9000000000233</v>
      </c>
      <c r="F536" s="20"/>
      <c r="G536" s="89"/>
      <c r="H536" s="14"/>
      <c r="I536" s="1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>
      <c r="A537" s="35" t="s">
        <v>365</v>
      </c>
      <c r="B537" s="24"/>
      <c r="C537" s="35">
        <v>156050</v>
      </c>
      <c r="D537" s="86" t="s">
        <v>366</v>
      </c>
      <c r="E537" s="8">
        <f t="shared" si="2"/>
        <v>157922.90000000002</v>
      </c>
      <c r="F537" s="20"/>
      <c r="G537" s="89"/>
      <c r="H537" s="14"/>
      <c r="I537" s="1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>
      <c r="A538" s="24" t="s">
        <v>367</v>
      </c>
      <c r="B538" s="24">
        <v>140000</v>
      </c>
      <c r="C538" s="24"/>
      <c r="D538" s="24" t="s">
        <v>368</v>
      </c>
      <c r="E538" s="8">
        <f t="shared" si="2"/>
        <v>17922.900000000023</v>
      </c>
      <c r="F538" s="20"/>
      <c r="G538" s="89"/>
      <c r="H538" s="14"/>
      <c r="I538" s="1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>
      <c r="A539" s="24" t="s">
        <v>367</v>
      </c>
      <c r="B539" s="24">
        <v>4312</v>
      </c>
      <c r="C539" s="24"/>
      <c r="D539" s="24" t="s">
        <v>21</v>
      </c>
      <c r="E539" s="8">
        <f t="shared" si="2"/>
        <v>13610.900000000023</v>
      </c>
      <c r="F539" s="20"/>
      <c r="G539" s="89"/>
      <c r="H539" s="14"/>
      <c r="I539" s="1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>
      <c r="A540" s="24" t="s">
        <v>367</v>
      </c>
      <c r="B540" s="24">
        <v>2338</v>
      </c>
      <c r="C540" s="24"/>
      <c r="D540" s="24" t="s">
        <v>280</v>
      </c>
      <c r="E540" s="8">
        <f t="shared" si="2"/>
        <v>11272.900000000023</v>
      </c>
      <c r="F540" s="20"/>
      <c r="G540" s="89"/>
      <c r="H540" s="14"/>
      <c r="I540" s="1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>
      <c r="A541" s="24" t="s">
        <v>367</v>
      </c>
      <c r="B541" s="86">
        <v>400</v>
      </c>
      <c r="C541" s="24"/>
      <c r="D541" s="24" t="s">
        <v>369</v>
      </c>
      <c r="E541" s="8">
        <f t="shared" si="2"/>
        <v>10872.900000000023</v>
      </c>
      <c r="F541" s="20"/>
      <c r="G541" s="89"/>
      <c r="H541" s="14"/>
      <c r="I541" s="1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>
      <c r="A542" s="24" t="s">
        <v>367</v>
      </c>
      <c r="B542" s="86">
        <v>4669</v>
      </c>
      <c r="C542" s="24"/>
      <c r="D542" s="24" t="s">
        <v>370</v>
      </c>
      <c r="E542" s="8">
        <f t="shared" si="2"/>
        <v>6203.9000000000233</v>
      </c>
      <c r="F542" s="20"/>
      <c r="G542" s="89"/>
      <c r="H542" s="14"/>
      <c r="I542" s="1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>
      <c r="A543" s="71">
        <v>45920</v>
      </c>
      <c r="B543" s="24">
        <f>400+1000+400</f>
        <v>1800</v>
      </c>
      <c r="C543" s="24"/>
      <c r="D543" s="24" t="s">
        <v>371</v>
      </c>
      <c r="E543" s="8">
        <f t="shared" si="2"/>
        <v>4403.9000000000233</v>
      </c>
      <c r="F543" s="20"/>
      <c r="G543" s="89"/>
      <c r="H543" s="14"/>
      <c r="I543" s="14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spans="1:29" ht="15.75" customHeight="1">
      <c r="A544" s="70">
        <v>45920</v>
      </c>
      <c r="B544" s="24">
        <f>20+95</f>
        <v>115</v>
      </c>
      <c r="C544" s="35"/>
      <c r="D544" s="24" t="s">
        <v>132</v>
      </c>
      <c r="E544" s="8">
        <f t="shared" si="2"/>
        <v>4288.9000000000233</v>
      </c>
      <c r="F544" s="20"/>
      <c r="G544" s="89"/>
      <c r="H544" s="14"/>
      <c r="I544" s="14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spans="1:29" ht="15.75" customHeight="1">
      <c r="A545" s="71">
        <v>45921</v>
      </c>
      <c r="B545" s="24">
        <f>750+725+288+210+60</f>
        <v>2033</v>
      </c>
      <c r="C545" s="24"/>
      <c r="D545" s="24" t="s">
        <v>132</v>
      </c>
      <c r="E545" s="8">
        <f t="shared" si="2"/>
        <v>2255.9000000000233</v>
      </c>
      <c r="F545" s="20"/>
      <c r="G545" s="89"/>
      <c r="H545" s="14"/>
      <c r="I545" s="14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spans="1:29" ht="15.75" customHeight="1">
      <c r="A546" s="71">
        <v>45921</v>
      </c>
      <c r="B546" s="95">
        <v>150</v>
      </c>
      <c r="C546" s="24"/>
      <c r="D546" s="96" t="s">
        <v>372</v>
      </c>
      <c r="E546" s="8">
        <f t="shared" si="2"/>
        <v>2105.9000000000233</v>
      </c>
      <c r="F546" s="20"/>
      <c r="G546" s="89"/>
      <c r="H546" s="14"/>
      <c r="I546" s="14"/>
      <c r="J546" s="97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spans="1:29" ht="15.75" customHeight="1">
      <c r="A547" s="71">
        <v>45921</v>
      </c>
      <c r="B547" s="96">
        <v>95</v>
      </c>
      <c r="C547" s="24"/>
      <c r="D547" s="96" t="s">
        <v>220</v>
      </c>
      <c r="E547" s="8">
        <f t="shared" si="2"/>
        <v>2010.9000000000233</v>
      </c>
      <c r="F547" s="20"/>
      <c r="G547" s="89"/>
      <c r="H547" s="14"/>
      <c r="I547" s="14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spans="1:29" ht="15.75" customHeight="1">
      <c r="A548" s="71">
        <v>45921</v>
      </c>
      <c r="B548" s="24">
        <v>215</v>
      </c>
      <c r="C548" s="24"/>
      <c r="D548" s="24" t="s">
        <v>132</v>
      </c>
      <c r="E548" s="8">
        <f t="shared" si="2"/>
        <v>1795.9000000000233</v>
      </c>
      <c r="F548" s="20"/>
      <c r="G548" s="89"/>
      <c r="H548" s="14"/>
      <c r="I548" s="14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spans="1:29" ht="15.75" customHeight="1">
      <c r="A549" s="71">
        <v>45921</v>
      </c>
      <c r="B549" s="24">
        <v>800</v>
      </c>
      <c r="C549" s="24"/>
      <c r="D549" s="24" t="s">
        <v>373</v>
      </c>
      <c r="E549" s="8">
        <f t="shared" si="2"/>
        <v>995.90000000002328</v>
      </c>
      <c r="F549" s="20"/>
      <c r="G549" s="89"/>
      <c r="H549" s="14"/>
      <c r="I549" s="14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</row>
    <row r="550" spans="1:29" ht="15.75" customHeight="1">
      <c r="A550" s="71">
        <v>45922</v>
      </c>
      <c r="B550" s="24">
        <v>2200</v>
      </c>
      <c r="C550" s="24"/>
      <c r="D550" s="11" t="s">
        <v>280</v>
      </c>
      <c r="E550" s="8">
        <f t="shared" si="2"/>
        <v>-1204.0999999999767</v>
      </c>
      <c r="F550" s="20"/>
      <c r="G550" s="89"/>
      <c r="H550" s="14"/>
      <c r="I550" s="14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</row>
    <row r="551" spans="1:29" ht="15.75" customHeight="1">
      <c r="A551" s="70">
        <v>45922</v>
      </c>
      <c r="B551" s="35">
        <v>160</v>
      </c>
      <c r="C551" s="35"/>
      <c r="D551" s="35" t="s">
        <v>374</v>
      </c>
      <c r="E551" s="8">
        <f t="shared" si="2"/>
        <v>-1364.0999999999767</v>
      </c>
      <c r="F551" s="20"/>
      <c r="G551" s="89"/>
      <c r="H551" s="14"/>
      <c r="I551" s="14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</row>
    <row r="552" spans="1:29" ht="15.75" customHeight="1">
      <c r="A552" s="71">
        <v>45922</v>
      </c>
      <c r="B552" s="24">
        <v>215</v>
      </c>
      <c r="C552" s="24"/>
      <c r="D552" s="24" t="s">
        <v>132</v>
      </c>
      <c r="E552" s="8">
        <f t="shared" si="2"/>
        <v>-1579.0999999999767</v>
      </c>
      <c r="F552" s="20"/>
      <c r="G552" s="89"/>
      <c r="H552" s="14"/>
      <c r="I552" s="14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spans="1:29" ht="15.75" customHeight="1">
      <c r="A553" s="71">
        <v>45922</v>
      </c>
      <c r="B553" s="24">
        <v>500</v>
      </c>
      <c r="C553" s="24"/>
      <c r="D553" s="24" t="s">
        <v>169</v>
      </c>
      <c r="E553" s="8">
        <f t="shared" si="2"/>
        <v>-2079.0999999999767</v>
      </c>
      <c r="F553" s="20"/>
      <c r="G553" s="89"/>
      <c r="H553" s="48"/>
      <c r="I553" s="48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</row>
    <row r="554" spans="1:29" ht="15.75" customHeight="1">
      <c r="A554" s="71">
        <v>45922</v>
      </c>
      <c r="B554" s="24">
        <v>50</v>
      </c>
      <c r="C554" s="24"/>
      <c r="D554" s="24" t="s">
        <v>132</v>
      </c>
      <c r="E554" s="8">
        <f t="shared" si="2"/>
        <v>-2129.0999999999767</v>
      </c>
      <c r="F554" s="20"/>
      <c r="G554" s="89"/>
      <c r="H554" s="48"/>
      <c r="I554" s="48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</row>
    <row r="555" spans="1:29" ht="15.75" customHeight="1">
      <c r="A555" s="53">
        <v>45923</v>
      </c>
      <c r="B555" s="24">
        <v>130</v>
      </c>
      <c r="C555" s="24"/>
      <c r="D555" s="24" t="s">
        <v>241</v>
      </c>
      <c r="E555" s="8">
        <f t="shared" si="2"/>
        <v>-2259.0999999999767</v>
      </c>
      <c r="F555" s="20"/>
      <c r="G555" s="89"/>
      <c r="H555" s="48"/>
      <c r="I555" s="48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</row>
    <row r="556" spans="1:29" ht="15.75" customHeight="1">
      <c r="A556" s="53">
        <v>45923</v>
      </c>
      <c r="B556" s="24">
        <v>150</v>
      </c>
      <c r="C556" s="24"/>
      <c r="D556" s="24" t="s">
        <v>256</v>
      </c>
      <c r="E556" s="8">
        <f t="shared" si="2"/>
        <v>-2409.0999999999767</v>
      </c>
      <c r="F556" s="20"/>
      <c r="G556" s="89"/>
      <c r="H556" s="14"/>
      <c r="I556" s="1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>
      <c r="A557" s="53">
        <v>45923</v>
      </c>
      <c r="B557" s="24">
        <v>95</v>
      </c>
      <c r="C557" s="24"/>
      <c r="D557" s="24" t="s">
        <v>220</v>
      </c>
      <c r="E557" s="8">
        <f t="shared" si="2"/>
        <v>-2504.0999999999767</v>
      </c>
      <c r="F557" s="20"/>
      <c r="G557" s="89"/>
      <c r="H557" s="14"/>
      <c r="I557" s="1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>
      <c r="A558" s="99">
        <v>45925</v>
      </c>
      <c r="B558" s="100">
        <v>350</v>
      </c>
      <c r="C558" s="100"/>
      <c r="D558" s="100" t="s">
        <v>313</v>
      </c>
      <c r="E558" s="8">
        <f t="shared" si="2"/>
        <v>-2854.0999999999767</v>
      </c>
      <c r="F558" s="20"/>
      <c r="G558" s="89"/>
      <c r="H558" s="14"/>
      <c r="I558" s="14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spans="1:29" ht="15.75" customHeight="1">
      <c r="A559" s="99">
        <v>45927</v>
      </c>
      <c r="B559" s="101"/>
      <c r="C559" s="101">
        <v>193</v>
      </c>
      <c r="D559" s="85" t="s">
        <v>94</v>
      </c>
      <c r="E559" s="8">
        <f t="shared" si="2"/>
        <v>-2661.0999999999767</v>
      </c>
      <c r="F559" s="20"/>
      <c r="G559" s="89"/>
      <c r="H559" s="14"/>
      <c r="I559" s="1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>
      <c r="A560" s="99">
        <v>45927</v>
      </c>
      <c r="B560" s="101">
        <v>193</v>
      </c>
      <c r="C560" s="101"/>
      <c r="D560" s="101" t="s">
        <v>132</v>
      </c>
      <c r="E560" s="8">
        <f t="shared" si="2"/>
        <v>-2854.0999999999767</v>
      </c>
      <c r="F560" s="20"/>
      <c r="G560" s="89"/>
      <c r="H560" s="14"/>
      <c r="I560" s="1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>
      <c r="A561" s="70">
        <v>45928</v>
      </c>
      <c r="B561" s="24"/>
      <c r="C561" s="24">
        <v>168</v>
      </c>
      <c r="D561" s="11" t="s">
        <v>60</v>
      </c>
      <c r="E561" s="8">
        <f t="shared" si="2"/>
        <v>-2686.0999999999767</v>
      </c>
      <c r="F561" s="20"/>
      <c r="G561" s="89"/>
      <c r="H561" s="14"/>
      <c r="I561" s="1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>
      <c r="A562" s="70">
        <v>45928</v>
      </c>
      <c r="B562" s="24">
        <v>168</v>
      </c>
      <c r="C562" s="24"/>
      <c r="D562" s="24" t="s">
        <v>132</v>
      </c>
      <c r="E562" s="8">
        <f t="shared" si="2"/>
        <v>-2854.0999999999767</v>
      </c>
      <c r="F562" s="20"/>
      <c r="G562" s="89"/>
      <c r="H562" s="14"/>
      <c r="I562" s="1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>
      <c r="A563" s="70">
        <v>45928</v>
      </c>
      <c r="B563" s="35">
        <v>1000</v>
      </c>
      <c r="C563" s="35"/>
      <c r="D563" s="35" t="s">
        <v>169</v>
      </c>
      <c r="E563" s="8">
        <f t="shared" si="2"/>
        <v>-3854.0999999999767</v>
      </c>
      <c r="F563" s="20"/>
      <c r="G563" s="89"/>
      <c r="H563" s="14"/>
      <c r="I563" s="1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>
      <c r="A564" s="71">
        <v>45929</v>
      </c>
      <c r="B564" s="24"/>
      <c r="C564" s="81">
        <f>101+120</f>
        <v>221</v>
      </c>
      <c r="D564" s="11" t="s">
        <v>94</v>
      </c>
      <c r="E564" s="8">
        <f t="shared" si="2"/>
        <v>-3633.0999999999767</v>
      </c>
      <c r="F564" s="20"/>
      <c r="G564" s="89"/>
      <c r="H564" s="14"/>
      <c r="I564" s="1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>
      <c r="A565" s="71">
        <v>45929</v>
      </c>
      <c r="B565" s="24">
        <v>221</v>
      </c>
      <c r="C565" s="81"/>
      <c r="D565" s="101" t="s">
        <v>132</v>
      </c>
      <c r="E565" s="8">
        <f t="shared" si="2"/>
        <v>-3854.0999999999767</v>
      </c>
      <c r="F565" s="20"/>
      <c r="G565" s="89"/>
      <c r="H565" s="14"/>
      <c r="I565" s="14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spans="1:29" ht="15.75" customHeight="1">
      <c r="A566" s="35" t="s">
        <v>375</v>
      </c>
      <c r="B566" s="35"/>
      <c r="C566" s="35">
        <v>25000</v>
      </c>
      <c r="D566" s="102" t="s">
        <v>376</v>
      </c>
      <c r="E566" s="8">
        <f t="shared" si="2"/>
        <v>21145.900000000023</v>
      </c>
      <c r="F566" s="20"/>
      <c r="G566" s="89"/>
      <c r="H566" s="14"/>
      <c r="I566" s="1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>
      <c r="A567" s="24" t="s">
        <v>377</v>
      </c>
      <c r="B567" s="103">
        <v>12500</v>
      </c>
      <c r="C567" s="42"/>
      <c r="D567" s="62" t="s">
        <v>378</v>
      </c>
      <c r="E567" s="8">
        <f t="shared" si="2"/>
        <v>8645.9000000000233</v>
      </c>
      <c r="F567" s="20"/>
      <c r="G567" s="89"/>
      <c r="H567" s="14"/>
      <c r="I567" s="1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>
      <c r="A568" s="104">
        <v>45931</v>
      </c>
      <c r="B568" s="62"/>
      <c r="C568" s="29">
        <f>107+83+119+1855+16+270</f>
        <v>2450</v>
      </c>
      <c r="D568" s="105" t="s">
        <v>60</v>
      </c>
      <c r="E568" s="8">
        <f t="shared" si="2"/>
        <v>11095.900000000023</v>
      </c>
      <c r="F568" s="20"/>
      <c r="G568" s="89"/>
      <c r="H568" s="14"/>
      <c r="I568" s="1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>
      <c r="A569" s="70">
        <v>45931</v>
      </c>
      <c r="B569" s="106">
        <v>309</v>
      </c>
      <c r="C569" s="65"/>
      <c r="D569" s="81" t="s">
        <v>132</v>
      </c>
      <c r="E569" s="8">
        <f t="shared" si="2"/>
        <v>10786.900000000023</v>
      </c>
      <c r="F569" s="20"/>
      <c r="G569" s="89"/>
      <c r="H569" s="14"/>
      <c r="I569" s="1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>
      <c r="A570" s="71">
        <v>45932</v>
      </c>
      <c r="B570" s="62">
        <v>1000</v>
      </c>
      <c r="C570" s="106"/>
      <c r="D570" s="7" t="s">
        <v>169</v>
      </c>
      <c r="E570" s="8">
        <f t="shared" si="2"/>
        <v>9786.9000000000233</v>
      </c>
      <c r="F570" s="20"/>
      <c r="G570" s="89"/>
      <c r="H570" s="14"/>
      <c r="I570" s="1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>
      <c r="A571" s="71">
        <v>45932</v>
      </c>
      <c r="B571" s="24"/>
      <c r="C571" s="24">
        <v>1100</v>
      </c>
      <c r="D571" s="84" t="s">
        <v>379</v>
      </c>
      <c r="E571" s="8">
        <f t="shared" si="2"/>
        <v>10886.900000000023</v>
      </c>
      <c r="F571" s="20"/>
      <c r="G571" s="89"/>
      <c r="H571" s="14"/>
      <c r="I571" s="1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>
      <c r="A572" s="71">
        <v>45932</v>
      </c>
      <c r="B572" s="24">
        <v>1100</v>
      </c>
      <c r="C572" s="24"/>
      <c r="D572" s="35" t="s">
        <v>199</v>
      </c>
      <c r="E572" s="8">
        <f t="shared" si="2"/>
        <v>9786.9000000000233</v>
      </c>
      <c r="F572" s="20"/>
      <c r="G572" s="89"/>
      <c r="H572" s="14"/>
      <c r="I572" s="1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>
      <c r="A573" s="71">
        <v>45932</v>
      </c>
      <c r="B573" s="24">
        <f>1855+17</f>
        <v>1872</v>
      </c>
      <c r="C573" s="24"/>
      <c r="D573" s="24" t="s">
        <v>380</v>
      </c>
      <c r="E573" s="8">
        <f t="shared" si="2"/>
        <v>7914.9000000000233</v>
      </c>
      <c r="F573" s="20"/>
      <c r="G573" s="89"/>
      <c r="H573" s="14"/>
      <c r="I573" s="1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>
      <c r="A574" s="71">
        <v>45932</v>
      </c>
      <c r="B574" s="24">
        <v>270</v>
      </c>
      <c r="C574" s="24"/>
      <c r="D574" s="24" t="s">
        <v>381</v>
      </c>
      <c r="E574" s="8">
        <f t="shared" si="2"/>
        <v>7644.9000000000233</v>
      </c>
      <c r="F574" s="20"/>
      <c r="G574" s="89"/>
      <c r="H574" s="14"/>
      <c r="I574" s="1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>
      <c r="A575" s="71">
        <v>45932</v>
      </c>
      <c r="B575" s="24">
        <v>3000</v>
      </c>
      <c r="C575" s="24"/>
      <c r="D575" s="24" t="s">
        <v>382</v>
      </c>
      <c r="E575" s="8">
        <f t="shared" si="2"/>
        <v>4644.9000000000233</v>
      </c>
      <c r="F575" s="89"/>
      <c r="G575" s="89"/>
      <c r="H575" s="14"/>
      <c r="I575" s="1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>
      <c r="A576" s="71">
        <v>45932</v>
      </c>
      <c r="B576" s="24">
        <v>4500</v>
      </c>
      <c r="C576" s="24"/>
      <c r="D576" s="35" t="s">
        <v>383</v>
      </c>
      <c r="E576" s="8">
        <f t="shared" si="2"/>
        <v>144.90000000002328</v>
      </c>
      <c r="F576" s="89"/>
      <c r="G576" s="89"/>
      <c r="H576" s="14"/>
      <c r="I576" s="1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>
      <c r="A577" s="71">
        <v>45932</v>
      </c>
      <c r="B577" s="24">
        <v>2000</v>
      </c>
      <c r="C577" s="24"/>
      <c r="D577" s="35" t="s">
        <v>384</v>
      </c>
      <c r="E577" s="8">
        <f t="shared" si="2"/>
        <v>-1855.0999999999767</v>
      </c>
      <c r="F577" s="89"/>
      <c r="G577" s="89"/>
      <c r="H577" s="14"/>
      <c r="I577" s="1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>
      <c r="A578" s="24" t="s">
        <v>385</v>
      </c>
      <c r="B578" s="24"/>
      <c r="C578" s="24">
        <v>450400</v>
      </c>
      <c r="D578" s="94" t="s">
        <v>386</v>
      </c>
      <c r="E578" s="8">
        <f t="shared" si="2"/>
        <v>448544.9</v>
      </c>
      <c r="F578" s="89"/>
      <c r="G578" s="89"/>
      <c r="H578" s="14"/>
      <c r="I578" s="1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>
      <c r="A579" s="24" t="s">
        <v>385</v>
      </c>
      <c r="B579" s="24">
        <v>30000</v>
      </c>
      <c r="C579" s="24"/>
      <c r="D579" s="35" t="s">
        <v>387</v>
      </c>
      <c r="E579" s="8">
        <f t="shared" si="2"/>
        <v>418544.9</v>
      </c>
      <c r="F579" s="89"/>
      <c r="G579" s="89"/>
      <c r="H579" s="14"/>
      <c r="I579" s="1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>
      <c r="A580" s="24" t="s">
        <v>385</v>
      </c>
      <c r="B580" s="24"/>
      <c r="C580" s="24">
        <v>60000</v>
      </c>
      <c r="D580" s="94" t="s">
        <v>388</v>
      </c>
      <c r="E580" s="8">
        <f t="shared" si="2"/>
        <v>478544.9</v>
      </c>
      <c r="F580" s="89"/>
      <c r="G580" s="89"/>
      <c r="H580" s="14"/>
      <c r="I580" s="1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>
      <c r="A581" s="24" t="s">
        <v>385</v>
      </c>
      <c r="B581" s="107">
        <v>31062</v>
      </c>
      <c r="C581" s="24"/>
      <c r="D581" s="24" t="s">
        <v>303</v>
      </c>
      <c r="E581" s="8">
        <f t="shared" si="2"/>
        <v>447482.9</v>
      </c>
      <c r="F581" s="89"/>
      <c r="G581" s="89"/>
      <c r="H581" s="14"/>
      <c r="I581" s="14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>
      <c r="A582" s="24" t="s">
        <v>385</v>
      </c>
      <c r="B582" s="24">
        <v>100000</v>
      </c>
      <c r="C582" s="24"/>
      <c r="D582" s="24" t="s">
        <v>389</v>
      </c>
      <c r="E582" s="8">
        <f t="shared" si="2"/>
        <v>347482.9</v>
      </c>
      <c r="F582" s="89"/>
      <c r="G582" s="89"/>
      <c r="H582" s="14"/>
      <c r="I582" s="14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>
      <c r="A583" s="24" t="s">
        <v>385</v>
      </c>
      <c r="B583" s="24">
        <v>5000</v>
      </c>
      <c r="C583" s="24"/>
      <c r="D583" s="24" t="s">
        <v>334</v>
      </c>
      <c r="E583" s="8">
        <f t="shared" si="2"/>
        <v>342482.9</v>
      </c>
      <c r="F583" s="89"/>
      <c r="G583" s="89"/>
      <c r="H583" s="14"/>
      <c r="I583" s="14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>
      <c r="A584" s="24" t="s">
        <v>385</v>
      </c>
      <c r="B584" s="108">
        <v>68738</v>
      </c>
      <c r="C584" s="24"/>
      <c r="D584" s="24" t="s">
        <v>303</v>
      </c>
      <c r="E584" s="8">
        <f t="shared" si="2"/>
        <v>273744.90000000002</v>
      </c>
      <c r="F584" s="89"/>
      <c r="G584" s="89"/>
      <c r="H584" s="14"/>
      <c r="I584" s="14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>
      <c r="A585" s="24" t="s">
        <v>385</v>
      </c>
      <c r="B585" s="108">
        <v>116370</v>
      </c>
      <c r="C585" s="24"/>
      <c r="D585" s="24" t="s">
        <v>390</v>
      </c>
      <c r="E585" s="8">
        <f t="shared" si="2"/>
        <v>157374.90000000002</v>
      </c>
      <c r="F585" s="89"/>
      <c r="G585" s="89"/>
      <c r="H585" s="14"/>
      <c r="I585" s="14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>
      <c r="A586" s="71">
        <v>45935</v>
      </c>
      <c r="B586" s="109">
        <v>125</v>
      </c>
      <c r="C586" s="24"/>
      <c r="D586" s="109" t="s">
        <v>391</v>
      </c>
      <c r="E586" s="8">
        <f t="shared" si="2"/>
        <v>157249.90000000002</v>
      </c>
      <c r="F586" s="89"/>
      <c r="G586" s="89"/>
      <c r="H586" s="14"/>
      <c r="I586" s="1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>
      <c r="A587" s="71">
        <v>45935</v>
      </c>
      <c r="B587" s="24">
        <f>57982+530</f>
        <v>58512</v>
      </c>
      <c r="C587" s="24"/>
      <c r="D587" s="35" t="s">
        <v>392</v>
      </c>
      <c r="E587" s="8">
        <f t="shared" si="2"/>
        <v>98737.900000000023</v>
      </c>
      <c r="F587" s="89"/>
      <c r="G587" s="89"/>
      <c r="H587" s="14"/>
      <c r="I587" s="14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>
      <c r="A588" s="71">
        <v>45935</v>
      </c>
      <c r="B588" s="24">
        <v>2790</v>
      </c>
      <c r="C588" s="24"/>
      <c r="D588" s="24" t="s">
        <v>393</v>
      </c>
      <c r="E588" s="8">
        <f t="shared" si="2"/>
        <v>95947.900000000023</v>
      </c>
      <c r="F588" s="89"/>
      <c r="G588" s="89"/>
      <c r="H588" s="14"/>
      <c r="I588" s="1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>
      <c r="A589" s="71">
        <v>45935</v>
      </c>
      <c r="B589" s="24">
        <v>2275</v>
      </c>
      <c r="C589" s="24"/>
      <c r="D589" s="24" t="s">
        <v>394</v>
      </c>
      <c r="E589" s="8">
        <f t="shared" si="2"/>
        <v>93672.900000000023</v>
      </c>
      <c r="F589" s="89"/>
      <c r="G589" s="89"/>
      <c r="H589" s="14"/>
      <c r="I589" s="14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spans="1:29" ht="15.75" customHeight="1">
      <c r="A590" s="24" t="s">
        <v>395</v>
      </c>
      <c r="B590" s="24">
        <v>2300</v>
      </c>
      <c r="C590" s="24"/>
      <c r="D590" s="24" t="s">
        <v>396</v>
      </c>
      <c r="E590" s="8">
        <f t="shared" si="2"/>
        <v>91372.900000000023</v>
      </c>
      <c r="F590" s="89"/>
      <c r="G590" s="89"/>
      <c r="H590" s="14"/>
      <c r="I590" s="1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>
      <c r="A591" s="24" t="s">
        <v>395</v>
      </c>
      <c r="B591" s="24">
        <v>400</v>
      </c>
      <c r="C591" s="24"/>
      <c r="D591" s="24" t="s">
        <v>397</v>
      </c>
      <c r="E591" s="8">
        <f t="shared" si="2"/>
        <v>90972.900000000023</v>
      </c>
      <c r="F591" s="89"/>
      <c r="G591" s="89"/>
      <c r="H591" s="14"/>
      <c r="I591" s="1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>
      <c r="A592" s="24" t="s">
        <v>395</v>
      </c>
      <c r="B592" s="24">
        <v>750</v>
      </c>
      <c r="C592" s="24"/>
      <c r="D592" s="24" t="s">
        <v>398</v>
      </c>
      <c r="E592" s="8">
        <f t="shared" si="2"/>
        <v>90222.900000000023</v>
      </c>
      <c r="F592" s="89"/>
      <c r="G592" s="89"/>
      <c r="H592" s="14"/>
      <c r="I592" s="1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>
      <c r="A593" s="24" t="s">
        <v>395</v>
      </c>
      <c r="B593" s="24">
        <v>200</v>
      </c>
      <c r="C593" s="24"/>
      <c r="D593" s="24" t="s">
        <v>399</v>
      </c>
      <c r="E593" s="8">
        <f t="shared" si="2"/>
        <v>90022.900000000023</v>
      </c>
      <c r="F593" s="89"/>
      <c r="G593" s="89"/>
      <c r="H593" s="14"/>
      <c r="I593" s="1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>
      <c r="A594" s="24" t="s">
        <v>395</v>
      </c>
      <c r="B594" s="24">
        <v>400</v>
      </c>
      <c r="C594" s="24"/>
      <c r="D594" s="24" t="s">
        <v>400</v>
      </c>
      <c r="E594" s="8">
        <f t="shared" si="2"/>
        <v>89622.900000000023</v>
      </c>
      <c r="F594" s="89"/>
      <c r="G594" s="89"/>
      <c r="H594" s="14"/>
      <c r="I594" s="1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>
      <c r="A595" s="24" t="s">
        <v>395</v>
      </c>
      <c r="B595" s="24">
        <v>19424</v>
      </c>
      <c r="C595" s="24"/>
      <c r="D595" s="24" t="s">
        <v>280</v>
      </c>
      <c r="E595" s="8">
        <f t="shared" si="2"/>
        <v>70198.900000000023</v>
      </c>
      <c r="F595" s="89"/>
      <c r="G595" s="89"/>
      <c r="H595" s="14"/>
      <c r="I595" s="1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>
      <c r="A596" s="71">
        <v>45935</v>
      </c>
      <c r="B596" s="24">
        <v>30</v>
      </c>
      <c r="C596" s="24"/>
      <c r="D596" s="24" t="s">
        <v>132</v>
      </c>
      <c r="E596" s="8">
        <f t="shared" si="2"/>
        <v>70168.900000000023</v>
      </c>
      <c r="F596" s="89"/>
      <c r="G596" s="89"/>
      <c r="H596" s="14"/>
      <c r="I596" s="1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>
      <c r="A597" s="71">
        <v>45936</v>
      </c>
      <c r="B597" s="24">
        <f>288+400+60</f>
        <v>748</v>
      </c>
      <c r="C597" s="24"/>
      <c r="D597" s="24" t="s">
        <v>132</v>
      </c>
      <c r="E597" s="8">
        <f t="shared" si="2"/>
        <v>69420.900000000023</v>
      </c>
      <c r="F597" s="89"/>
      <c r="G597" s="89"/>
      <c r="H597" s="14"/>
      <c r="I597" s="1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>
      <c r="A598" s="24" t="s">
        <v>401</v>
      </c>
      <c r="B598" s="24"/>
      <c r="C598" s="24">
        <v>60000</v>
      </c>
      <c r="D598" s="11" t="s">
        <v>60</v>
      </c>
      <c r="E598" s="8">
        <f t="shared" si="2"/>
        <v>129420.90000000002</v>
      </c>
      <c r="F598" s="89"/>
      <c r="G598" s="89"/>
      <c r="H598" s="14"/>
      <c r="I598" s="1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>
      <c r="A599" s="71">
        <v>45937</v>
      </c>
      <c r="B599" s="24">
        <v>620</v>
      </c>
      <c r="C599" s="24"/>
      <c r="D599" s="24" t="s">
        <v>132</v>
      </c>
      <c r="E599" s="8">
        <f t="shared" si="2"/>
        <v>128800.90000000002</v>
      </c>
      <c r="F599" s="89"/>
      <c r="G599" s="89"/>
      <c r="H599" s="14"/>
      <c r="I599" s="14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>
      <c r="A600" s="71">
        <v>45937</v>
      </c>
      <c r="B600" s="24">
        <v>100</v>
      </c>
      <c r="C600" s="24"/>
      <c r="D600" s="24" t="s">
        <v>238</v>
      </c>
      <c r="E600" s="8">
        <f t="shared" si="2"/>
        <v>128700.90000000002</v>
      </c>
      <c r="F600" s="89"/>
      <c r="G600" s="89"/>
      <c r="H600" s="14"/>
      <c r="I600" s="14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>
      <c r="A601" s="71">
        <v>45937</v>
      </c>
      <c r="B601" s="24">
        <v>80</v>
      </c>
      <c r="C601" s="24"/>
      <c r="D601" s="24" t="s">
        <v>402</v>
      </c>
      <c r="E601" s="8">
        <f t="shared" si="2"/>
        <v>128620.90000000002</v>
      </c>
      <c r="F601" s="89"/>
      <c r="G601" s="89"/>
      <c r="H601" s="14"/>
      <c r="I601" s="1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>
      <c r="A602" s="71">
        <v>45937</v>
      </c>
      <c r="B602" s="24">
        <v>9000</v>
      </c>
      <c r="C602" s="24"/>
      <c r="D602" s="24" t="s">
        <v>403</v>
      </c>
      <c r="E602" s="8">
        <f t="shared" si="2"/>
        <v>119620.90000000002</v>
      </c>
      <c r="F602" s="89"/>
      <c r="G602" s="89"/>
      <c r="H602" s="14"/>
      <c r="I602" s="1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>
      <c r="A603" s="71">
        <v>45937</v>
      </c>
      <c r="B603" s="24">
        <v>40500</v>
      </c>
      <c r="C603" s="24"/>
      <c r="D603" s="24" t="s">
        <v>404</v>
      </c>
      <c r="E603" s="8">
        <f t="shared" si="2"/>
        <v>79120.900000000023</v>
      </c>
      <c r="F603" s="89"/>
      <c r="G603" s="89"/>
      <c r="H603" s="14"/>
      <c r="I603" s="1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>
      <c r="A604" s="71">
        <v>45937</v>
      </c>
      <c r="B604" s="24">
        <v>8580</v>
      </c>
      <c r="C604" s="24"/>
      <c r="D604" s="24" t="s">
        <v>405</v>
      </c>
      <c r="E604" s="8">
        <f t="shared" si="2"/>
        <v>70540.900000000023</v>
      </c>
      <c r="F604" s="89"/>
      <c r="G604" s="89"/>
      <c r="H604" s="14"/>
      <c r="I604" s="1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>
      <c r="A605" s="71">
        <v>45937</v>
      </c>
      <c r="B605" s="24">
        <v>206</v>
      </c>
      <c r="C605" s="24"/>
      <c r="D605" s="24" t="s">
        <v>406</v>
      </c>
      <c r="E605" s="8">
        <f t="shared" si="2"/>
        <v>70334.900000000023</v>
      </c>
      <c r="F605" s="89"/>
      <c r="G605" s="89"/>
      <c r="H605" s="14"/>
      <c r="I605" s="1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>
      <c r="A606" s="71">
        <v>45937</v>
      </c>
      <c r="B606" s="24">
        <v>30</v>
      </c>
      <c r="C606" s="24"/>
      <c r="D606" s="24" t="s">
        <v>407</v>
      </c>
      <c r="E606" s="8">
        <f t="shared" si="2"/>
        <v>70304.900000000023</v>
      </c>
      <c r="F606" s="89"/>
      <c r="G606" s="89"/>
      <c r="H606" s="14"/>
      <c r="I606" s="1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>
      <c r="A607" s="71">
        <v>45938</v>
      </c>
      <c r="B607" s="24">
        <f>209+165</f>
        <v>374</v>
      </c>
      <c r="C607" s="24"/>
      <c r="D607" s="24" t="s">
        <v>408</v>
      </c>
      <c r="E607" s="8">
        <f t="shared" si="2"/>
        <v>69930.900000000023</v>
      </c>
      <c r="F607" s="89"/>
      <c r="G607" s="89"/>
      <c r="H607" s="14"/>
      <c r="I607" s="1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>
      <c r="A608" s="71">
        <v>45938</v>
      </c>
      <c r="B608" s="24">
        <v>400</v>
      </c>
      <c r="C608" s="24"/>
      <c r="D608" s="24" t="s">
        <v>169</v>
      </c>
      <c r="E608" s="8">
        <f t="shared" si="2"/>
        <v>69530.900000000023</v>
      </c>
      <c r="F608" s="89"/>
      <c r="G608" s="89"/>
      <c r="H608" s="14"/>
      <c r="I608" s="1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>
      <c r="A609" s="71">
        <v>45939</v>
      </c>
      <c r="B609" s="24"/>
      <c r="C609" s="24">
        <v>685</v>
      </c>
      <c r="D609" s="11" t="s">
        <v>60</v>
      </c>
      <c r="E609" s="8">
        <f t="shared" si="2"/>
        <v>70215.900000000023</v>
      </c>
      <c r="F609" s="89"/>
      <c r="G609" s="89"/>
      <c r="H609" s="14"/>
      <c r="I609" s="1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>
      <c r="A610" s="71">
        <v>45939</v>
      </c>
      <c r="B610" s="24">
        <v>685</v>
      </c>
      <c r="C610" s="24"/>
      <c r="D610" s="24" t="s">
        <v>409</v>
      </c>
      <c r="E610" s="8">
        <f t="shared" si="2"/>
        <v>69530.900000000023</v>
      </c>
      <c r="F610" s="89"/>
      <c r="G610" s="89"/>
      <c r="H610" s="14"/>
      <c r="I610" s="1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>
      <c r="A611" s="71">
        <v>45939</v>
      </c>
      <c r="B611" s="24">
        <f>288+400</f>
        <v>688</v>
      </c>
      <c r="C611" s="24"/>
      <c r="D611" s="24" t="s">
        <v>132</v>
      </c>
      <c r="E611" s="8">
        <f t="shared" si="2"/>
        <v>68842.900000000023</v>
      </c>
      <c r="F611" s="89"/>
      <c r="G611" s="89"/>
      <c r="H611" s="14"/>
      <c r="I611" s="14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>
      <c r="A612" s="71">
        <v>45942</v>
      </c>
      <c r="B612" s="24">
        <f>870+100+10</f>
        <v>980</v>
      </c>
      <c r="C612" s="24"/>
      <c r="D612" s="24" t="s">
        <v>132</v>
      </c>
      <c r="E612" s="8">
        <f t="shared" si="2"/>
        <v>67862.900000000023</v>
      </c>
      <c r="F612" s="89"/>
      <c r="G612" s="89"/>
      <c r="H612" s="14"/>
      <c r="I612" s="14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>
      <c r="A613" s="71">
        <v>45942</v>
      </c>
      <c r="B613" s="24">
        <v>72</v>
      </c>
      <c r="C613" s="24"/>
      <c r="D613" s="24" t="s">
        <v>132</v>
      </c>
      <c r="E613" s="8">
        <f t="shared" si="2"/>
        <v>67790.900000000023</v>
      </c>
      <c r="F613" s="89"/>
      <c r="G613" s="89"/>
      <c r="H613" s="14"/>
      <c r="I613" s="14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>
      <c r="A614" s="71">
        <v>45943</v>
      </c>
      <c r="B614" s="24">
        <v>100</v>
      </c>
      <c r="C614" s="24"/>
      <c r="D614" s="24" t="s">
        <v>220</v>
      </c>
      <c r="E614" s="8">
        <f t="shared" si="2"/>
        <v>67690.900000000023</v>
      </c>
      <c r="F614" s="89"/>
      <c r="G614" s="89"/>
      <c r="H614" s="14"/>
      <c r="I614" s="14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>
      <c r="A615" s="71">
        <v>45946</v>
      </c>
      <c r="B615" s="24"/>
      <c r="C615" s="24">
        <v>100</v>
      </c>
      <c r="D615" s="11" t="s">
        <v>60</v>
      </c>
      <c r="E615" s="8">
        <f t="shared" si="2"/>
        <v>67790.900000000023</v>
      </c>
      <c r="F615" s="89"/>
      <c r="G615" s="89"/>
      <c r="H615" s="14"/>
      <c r="I615" s="1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>
      <c r="A616" s="71">
        <v>45946</v>
      </c>
      <c r="B616" s="24">
        <v>100</v>
      </c>
      <c r="C616" s="24"/>
      <c r="D616" s="24" t="s">
        <v>220</v>
      </c>
      <c r="E616" s="8">
        <f t="shared" si="2"/>
        <v>67690.900000000023</v>
      </c>
      <c r="F616" s="89"/>
      <c r="G616" s="89"/>
      <c r="H616" s="14"/>
      <c r="I616" s="1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>
      <c r="A617" s="71">
        <v>45946</v>
      </c>
      <c r="B617" s="24">
        <v>100</v>
      </c>
      <c r="C617" s="24"/>
      <c r="D617" s="24" t="s">
        <v>410</v>
      </c>
      <c r="E617" s="8">
        <f t="shared" si="2"/>
        <v>67590.900000000023</v>
      </c>
      <c r="F617" s="89"/>
      <c r="G617" s="89"/>
      <c r="H617" s="14"/>
      <c r="I617" s="1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>
      <c r="A618" s="71">
        <v>45946</v>
      </c>
      <c r="B618" s="24">
        <v>120</v>
      </c>
      <c r="C618" s="24"/>
      <c r="D618" s="24" t="s">
        <v>411</v>
      </c>
      <c r="E618" s="8">
        <f t="shared" si="2"/>
        <v>67470.900000000023</v>
      </c>
      <c r="F618" s="89"/>
      <c r="G618" s="89"/>
      <c r="H618" s="14"/>
      <c r="I618" s="1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>
      <c r="A619" s="24" t="s">
        <v>412</v>
      </c>
      <c r="B619" s="24"/>
      <c r="C619" s="24">
        <v>1085</v>
      </c>
      <c r="D619" s="24" t="s">
        <v>60</v>
      </c>
      <c r="E619" s="8">
        <f t="shared" si="2"/>
        <v>68555.900000000023</v>
      </c>
      <c r="F619" s="89"/>
      <c r="G619" s="89"/>
      <c r="H619" s="14"/>
      <c r="I619" s="1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>
      <c r="A620" s="24" t="s">
        <v>412</v>
      </c>
      <c r="B620" s="24">
        <v>500</v>
      </c>
      <c r="C620" s="24"/>
      <c r="D620" s="24" t="s">
        <v>413</v>
      </c>
      <c r="E620" s="8">
        <f t="shared" si="2"/>
        <v>68055.900000000023</v>
      </c>
      <c r="F620" s="89"/>
      <c r="G620" s="89"/>
      <c r="H620" s="14"/>
      <c r="I620" s="1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>
      <c r="A621" s="24" t="s">
        <v>412</v>
      </c>
      <c r="B621" s="24">
        <v>600</v>
      </c>
      <c r="C621" s="24"/>
      <c r="D621" s="24" t="s">
        <v>414</v>
      </c>
      <c r="E621" s="8">
        <f t="shared" si="2"/>
        <v>67455.900000000023</v>
      </c>
      <c r="F621" s="89"/>
      <c r="G621" s="89"/>
      <c r="H621" s="14"/>
      <c r="I621" s="14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spans="1:29" ht="15.75" customHeight="1">
      <c r="A622" s="71">
        <v>45949</v>
      </c>
      <c r="B622" s="24"/>
      <c r="C622" s="24">
        <f>232674.5+5000</f>
        <v>237674.5</v>
      </c>
      <c r="D622" s="110" t="s">
        <v>415</v>
      </c>
      <c r="E622" s="8">
        <f t="shared" si="2"/>
        <v>305130.40000000002</v>
      </c>
      <c r="F622" s="89"/>
      <c r="G622" s="89"/>
      <c r="H622" s="14"/>
      <c r="I622" s="14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spans="1:29" ht="15.75" customHeight="1">
      <c r="A623" s="71">
        <v>45949</v>
      </c>
      <c r="B623" s="24">
        <v>42613</v>
      </c>
      <c r="C623" s="24"/>
      <c r="D623" s="24" t="s">
        <v>416</v>
      </c>
      <c r="E623" s="8">
        <f t="shared" si="2"/>
        <v>262517.40000000002</v>
      </c>
      <c r="F623" s="89"/>
      <c r="G623" s="89"/>
      <c r="H623" s="14"/>
      <c r="I623" s="1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>
      <c r="A624" s="71">
        <v>45949</v>
      </c>
      <c r="B624" s="24">
        <v>150000</v>
      </c>
      <c r="C624" s="24"/>
      <c r="D624" s="24" t="s">
        <v>417</v>
      </c>
      <c r="E624" s="8">
        <f t="shared" si="2"/>
        <v>112517.40000000002</v>
      </c>
      <c r="F624" s="89"/>
      <c r="G624" s="89"/>
      <c r="H624" s="14"/>
      <c r="I624" s="1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>
      <c r="A625" s="71">
        <v>45949</v>
      </c>
      <c r="B625" s="24">
        <v>40061.5</v>
      </c>
      <c r="C625" s="24"/>
      <c r="D625" s="102" t="s">
        <v>280</v>
      </c>
      <c r="E625" s="8">
        <f t="shared" si="2"/>
        <v>72455.900000000023</v>
      </c>
      <c r="F625" s="89"/>
      <c r="G625" s="89"/>
      <c r="H625" s="14"/>
      <c r="I625" s="14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>
      <c r="A626" s="24" t="s">
        <v>418</v>
      </c>
      <c r="B626" s="24"/>
      <c r="C626" s="24">
        <v>15051</v>
      </c>
      <c r="D626" s="111" t="s">
        <v>60</v>
      </c>
      <c r="E626" s="8">
        <f t="shared" si="2"/>
        <v>87506.900000000023</v>
      </c>
      <c r="F626" s="89"/>
      <c r="G626" s="89"/>
      <c r="H626" s="14"/>
      <c r="I626" s="14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>
      <c r="A627" s="71">
        <v>45949</v>
      </c>
      <c r="B627" s="24">
        <v>4051</v>
      </c>
      <c r="C627" s="24"/>
      <c r="D627" s="24" t="s">
        <v>254</v>
      </c>
      <c r="E627" s="8">
        <f t="shared" si="2"/>
        <v>83455.900000000023</v>
      </c>
      <c r="F627" s="89"/>
      <c r="G627" s="89"/>
      <c r="H627" s="14"/>
      <c r="I627" s="14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>
      <c r="A628" s="71">
        <v>45949</v>
      </c>
      <c r="B628" s="24">
        <v>70</v>
      </c>
      <c r="C628" s="24"/>
      <c r="D628" s="24" t="s">
        <v>419</v>
      </c>
      <c r="E628" s="8">
        <f t="shared" si="2"/>
        <v>83385.900000000023</v>
      </c>
      <c r="F628" s="89"/>
      <c r="G628" s="89"/>
      <c r="H628" s="14"/>
      <c r="I628" s="1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>
      <c r="A629" s="71">
        <v>45949</v>
      </c>
      <c r="B629" s="24">
        <v>1500</v>
      </c>
      <c r="C629" s="24"/>
      <c r="D629" s="24" t="s">
        <v>420</v>
      </c>
      <c r="E629" s="8">
        <f t="shared" si="2"/>
        <v>81885.900000000023</v>
      </c>
      <c r="F629" s="89"/>
      <c r="G629" s="89"/>
      <c r="H629" s="14"/>
      <c r="I629" s="1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>
      <c r="A630" s="71">
        <v>45949</v>
      </c>
      <c r="B630" s="24">
        <v>1000</v>
      </c>
      <c r="C630" s="24"/>
      <c r="D630" s="24" t="s">
        <v>169</v>
      </c>
      <c r="E630" s="8">
        <f t="shared" si="2"/>
        <v>80885.900000000023</v>
      </c>
      <c r="F630" s="89"/>
      <c r="G630" s="89"/>
      <c r="H630" s="14"/>
      <c r="I630" s="1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>
      <c r="A631" s="71">
        <v>45949</v>
      </c>
      <c r="B631" s="24">
        <v>48</v>
      </c>
      <c r="C631" s="24"/>
      <c r="D631" s="24" t="s">
        <v>132</v>
      </c>
      <c r="E631" s="8">
        <f t="shared" si="2"/>
        <v>80837.900000000023</v>
      </c>
      <c r="F631" s="89"/>
      <c r="G631" s="89"/>
      <c r="H631" s="14"/>
      <c r="I631" s="1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>
      <c r="A632" s="24" t="s">
        <v>418</v>
      </c>
      <c r="B632" s="24"/>
      <c r="C632" s="24">
        <v>10000</v>
      </c>
      <c r="D632" s="11" t="s">
        <v>60</v>
      </c>
      <c r="E632" s="8">
        <f t="shared" si="2"/>
        <v>90837.900000000023</v>
      </c>
      <c r="F632" s="89"/>
      <c r="G632" s="89"/>
      <c r="H632" s="14"/>
      <c r="I632" s="1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>
      <c r="A633" s="24" t="s">
        <v>418</v>
      </c>
      <c r="B633" s="24">
        <v>10000</v>
      </c>
      <c r="C633" s="24"/>
      <c r="D633" s="24" t="s">
        <v>421</v>
      </c>
      <c r="E633" s="8">
        <f t="shared" si="2"/>
        <v>80837.900000000023</v>
      </c>
      <c r="F633" s="89"/>
      <c r="G633" s="89"/>
      <c r="H633" s="14"/>
      <c r="I633" s="1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>
      <c r="A634" s="71">
        <v>42297</v>
      </c>
      <c r="B634" s="24"/>
      <c r="C634" s="24">
        <v>148</v>
      </c>
      <c r="D634" s="11" t="s">
        <v>94</v>
      </c>
      <c r="E634" s="8">
        <f t="shared" si="2"/>
        <v>80985.900000000023</v>
      </c>
      <c r="F634" s="89"/>
      <c r="G634" s="89"/>
      <c r="H634" s="14"/>
      <c r="I634" s="1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>
      <c r="A635" s="71">
        <v>45950</v>
      </c>
      <c r="B635" s="24">
        <v>148</v>
      </c>
      <c r="C635" s="24"/>
      <c r="D635" s="24" t="s">
        <v>132</v>
      </c>
      <c r="E635" s="8">
        <f t="shared" si="2"/>
        <v>80837.900000000023</v>
      </c>
      <c r="F635" s="89"/>
      <c r="G635" s="89"/>
      <c r="H635" s="14"/>
      <c r="I635" s="1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>
      <c r="A636" s="71">
        <v>45950</v>
      </c>
      <c r="B636" s="24">
        <f>469+400+60+192+200</f>
        <v>1321</v>
      </c>
      <c r="C636" s="24"/>
      <c r="D636" s="102" t="s">
        <v>132</v>
      </c>
      <c r="E636" s="8">
        <f t="shared" si="2"/>
        <v>79516.900000000023</v>
      </c>
      <c r="F636" s="89"/>
      <c r="G636" s="89"/>
      <c r="H636" s="14"/>
      <c r="I636" s="1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>
      <c r="A637" s="71">
        <v>45950</v>
      </c>
      <c r="B637" s="24"/>
      <c r="C637" s="24">
        <v>498</v>
      </c>
      <c r="D637" s="11" t="s">
        <v>94</v>
      </c>
      <c r="E637" s="8">
        <f t="shared" si="2"/>
        <v>80014.900000000023</v>
      </c>
      <c r="F637" s="89"/>
      <c r="G637" s="89"/>
      <c r="H637" s="14"/>
      <c r="I637" s="1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>
      <c r="A638" s="71">
        <v>45950</v>
      </c>
      <c r="B638" s="24">
        <v>498</v>
      </c>
      <c r="C638" s="24"/>
      <c r="D638" s="24" t="s">
        <v>422</v>
      </c>
      <c r="E638" s="8">
        <f t="shared" si="2"/>
        <v>79516.900000000023</v>
      </c>
      <c r="F638" s="89"/>
      <c r="G638" s="89"/>
      <c r="H638" s="14"/>
      <c r="I638" s="14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>
      <c r="A639" s="71">
        <v>45951</v>
      </c>
      <c r="B639" s="24">
        <f>195+90+100</f>
        <v>385</v>
      </c>
      <c r="C639" s="24"/>
      <c r="D639" s="24" t="s">
        <v>132</v>
      </c>
      <c r="E639" s="8">
        <f t="shared" si="2"/>
        <v>79131.900000000023</v>
      </c>
      <c r="F639" s="89"/>
      <c r="G639" s="89"/>
      <c r="H639" s="14"/>
      <c r="I639" s="14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>
      <c r="A640" s="71">
        <v>45951</v>
      </c>
      <c r="B640" s="24">
        <v>130</v>
      </c>
      <c r="C640" s="24"/>
      <c r="D640" s="24" t="s">
        <v>241</v>
      </c>
      <c r="E640" s="8">
        <f t="shared" si="2"/>
        <v>79001.900000000023</v>
      </c>
      <c r="F640" s="89"/>
      <c r="G640" s="89"/>
      <c r="H640" s="14"/>
      <c r="I640" s="14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>
      <c r="A641" s="71">
        <v>45951</v>
      </c>
      <c r="B641" s="24">
        <v>100</v>
      </c>
      <c r="C641" s="24"/>
      <c r="D641" s="24" t="s">
        <v>238</v>
      </c>
      <c r="E641" s="8">
        <f t="shared" si="2"/>
        <v>78901.900000000023</v>
      </c>
      <c r="F641" s="89"/>
      <c r="G641" s="89"/>
      <c r="H641" s="14"/>
      <c r="I641" s="14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>
      <c r="A642" s="71">
        <v>45952</v>
      </c>
      <c r="B642" s="24">
        <v>1000</v>
      </c>
      <c r="C642" s="24"/>
      <c r="D642" s="24" t="s">
        <v>423</v>
      </c>
      <c r="E642" s="8">
        <f t="shared" si="2"/>
        <v>77901.900000000023</v>
      </c>
      <c r="F642" s="89"/>
      <c r="G642" s="89"/>
      <c r="H642" s="14"/>
      <c r="I642" s="14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>
      <c r="A643" s="71">
        <v>45952</v>
      </c>
      <c r="B643" s="24"/>
      <c r="C643" s="24">
        <v>100</v>
      </c>
      <c r="D643" s="11" t="s">
        <v>94</v>
      </c>
      <c r="E643" s="8">
        <f t="shared" si="2"/>
        <v>78001.900000000023</v>
      </c>
      <c r="F643" s="89"/>
      <c r="G643" s="89"/>
      <c r="H643" s="14"/>
      <c r="I643" s="1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>
      <c r="A644" s="71">
        <v>45952</v>
      </c>
      <c r="B644" s="24">
        <v>100</v>
      </c>
      <c r="C644" s="24"/>
      <c r="D644" s="24" t="s">
        <v>146</v>
      </c>
      <c r="E644" s="8">
        <f t="shared" si="2"/>
        <v>77901.900000000023</v>
      </c>
      <c r="F644" s="89"/>
      <c r="G644" s="89"/>
      <c r="H644" s="14"/>
      <c r="I644" s="1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>
      <c r="A645" s="24" t="s">
        <v>424</v>
      </c>
      <c r="B645" s="24"/>
      <c r="C645" s="24">
        <v>55279</v>
      </c>
      <c r="D645" s="11" t="s">
        <v>60</v>
      </c>
      <c r="E645" s="8">
        <f t="shared" si="2"/>
        <v>133180.90000000002</v>
      </c>
      <c r="F645" s="89"/>
      <c r="G645" s="89"/>
      <c r="H645" s="14"/>
      <c r="I645" s="1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>
      <c r="A646" s="24" t="s">
        <v>424</v>
      </c>
      <c r="B646" s="24">
        <v>5279</v>
      </c>
      <c r="C646" s="24"/>
      <c r="D646" s="24" t="s">
        <v>425</v>
      </c>
      <c r="E646" s="8">
        <f t="shared" si="2"/>
        <v>127901.90000000002</v>
      </c>
      <c r="F646" s="89"/>
      <c r="G646" s="89"/>
      <c r="H646" s="14"/>
      <c r="I646" s="1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>
      <c r="A647" s="24" t="s">
        <v>424</v>
      </c>
      <c r="B647" s="24"/>
      <c r="C647" s="24">
        <v>11060</v>
      </c>
      <c r="D647" s="11" t="s">
        <v>60</v>
      </c>
      <c r="E647" s="8">
        <f t="shared" si="2"/>
        <v>138961.90000000002</v>
      </c>
      <c r="F647" s="89"/>
      <c r="G647" s="89"/>
      <c r="H647" s="14"/>
      <c r="I647" s="1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>
      <c r="A648" s="24" t="s">
        <v>424</v>
      </c>
      <c r="B648" s="24">
        <v>11060</v>
      </c>
      <c r="C648" s="24"/>
      <c r="D648" s="24" t="s">
        <v>426</v>
      </c>
      <c r="E648" s="8">
        <f t="shared" si="2"/>
        <v>127901.90000000002</v>
      </c>
      <c r="F648" s="89"/>
      <c r="G648" s="89"/>
      <c r="H648" s="14"/>
      <c r="I648" s="1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>
      <c r="A649" s="71">
        <v>45953</v>
      </c>
      <c r="B649" s="24">
        <v>1880</v>
      </c>
      <c r="C649" s="24"/>
      <c r="D649" s="24" t="s">
        <v>427</v>
      </c>
      <c r="E649" s="8">
        <f t="shared" si="2"/>
        <v>126021.90000000002</v>
      </c>
      <c r="F649" s="89"/>
      <c r="G649" s="89"/>
      <c r="H649" s="14"/>
      <c r="I649" s="1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>
      <c r="A650" s="71">
        <v>45953</v>
      </c>
      <c r="B650" s="24">
        <f>26700+20</f>
        <v>26720</v>
      </c>
      <c r="C650" s="24"/>
      <c r="D650" s="24" t="s">
        <v>428</v>
      </c>
      <c r="E650" s="8">
        <f t="shared" si="2"/>
        <v>99301.900000000023</v>
      </c>
      <c r="F650" s="89"/>
      <c r="G650" s="89"/>
      <c r="H650" s="14"/>
      <c r="I650" s="1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>
      <c r="A651" s="71">
        <v>45956</v>
      </c>
      <c r="B651" s="24">
        <v>1000</v>
      </c>
      <c r="C651" s="24"/>
      <c r="D651" s="24" t="s">
        <v>169</v>
      </c>
      <c r="E651" s="8">
        <f t="shared" si="2"/>
        <v>98301.900000000023</v>
      </c>
      <c r="F651" s="89"/>
      <c r="G651" s="89"/>
      <c r="H651" s="14"/>
      <c r="I651" s="1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>
      <c r="A652" s="71">
        <v>45956</v>
      </c>
      <c r="B652" s="24">
        <v>95</v>
      </c>
      <c r="C652" s="24"/>
      <c r="D652" s="24" t="s">
        <v>146</v>
      </c>
      <c r="E652" s="8">
        <f t="shared" si="2"/>
        <v>98206.900000000023</v>
      </c>
      <c r="F652" s="89"/>
      <c r="G652" s="89"/>
      <c r="H652" s="14"/>
      <c r="I652" s="14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spans="1:29" ht="15.75" customHeight="1">
      <c r="A653" s="71">
        <v>45956</v>
      </c>
      <c r="B653" s="24">
        <v>1000</v>
      </c>
      <c r="C653" s="24"/>
      <c r="D653" s="24" t="s">
        <v>429</v>
      </c>
      <c r="E653" s="8">
        <f t="shared" si="2"/>
        <v>97206.900000000023</v>
      </c>
      <c r="F653" s="89"/>
      <c r="G653" s="89"/>
      <c r="H653" s="14"/>
      <c r="I653" s="14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>
      <c r="A654" s="112">
        <v>45956</v>
      </c>
      <c r="B654" s="113">
        <v>10</v>
      </c>
      <c r="C654" s="114"/>
      <c r="D654" s="113" t="s">
        <v>132</v>
      </c>
      <c r="E654" s="8">
        <f t="shared" si="2"/>
        <v>97196.900000000023</v>
      </c>
      <c r="F654" s="89"/>
      <c r="G654" s="89"/>
      <c r="H654" s="14"/>
      <c r="I654" s="1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>
      <c r="A655" s="115">
        <v>45957</v>
      </c>
      <c r="B655" s="116">
        <f>750+290+200</f>
        <v>1240</v>
      </c>
      <c r="C655" s="117"/>
      <c r="D655" s="116" t="s">
        <v>132</v>
      </c>
      <c r="E655" s="8">
        <f t="shared" si="2"/>
        <v>95956.900000000023</v>
      </c>
      <c r="F655" s="89"/>
      <c r="G655" s="89"/>
      <c r="H655" s="14"/>
      <c r="I655" s="1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>
      <c r="A656" s="71">
        <v>45957</v>
      </c>
      <c r="B656" s="24">
        <v>5000</v>
      </c>
      <c r="C656" s="24"/>
      <c r="D656" s="24" t="s">
        <v>430</v>
      </c>
      <c r="E656" s="8">
        <f t="shared" si="2"/>
        <v>90956.900000000023</v>
      </c>
      <c r="F656" s="89"/>
      <c r="G656" s="89"/>
      <c r="H656" s="14"/>
      <c r="I656" s="1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>
      <c r="A657" s="71">
        <v>45957</v>
      </c>
      <c r="B657" s="24">
        <v>95</v>
      </c>
      <c r="C657" s="24"/>
      <c r="D657" s="24" t="s">
        <v>431</v>
      </c>
      <c r="E657" s="8">
        <f t="shared" si="2"/>
        <v>90861.900000000023</v>
      </c>
      <c r="F657" s="89"/>
      <c r="G657" s="89"/>
      <c r="H657" s="14"/>
      <c r="I657" s="14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>
      <c r="A658" s="71">
        <v>45958</v>
      </c>
      <c r="B658" s="24">
        <f>120+50</f>
        <v>170</v>
      </c>
      <c r="C658" s="24"/>
      <c r="D658" s="24" t="s">
        <v>132</v>
      </c>
      <c r="E658" s="8">
        <f t="shared" si="2"/>
        <v>90691.900000000023</v>
      </c>
      <c r="F658" s="89"/>
      <c r="G658" s="89"/>
      <c r="H658" s="14"/>
      <c r="I658" s="14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>
      <c r="A659" s="71">
        <v>45958</v>
      </c>
      <c r="B659" s="24"/>
      <c r="C659" s="24">
        <v>1000</v>
      </c>
      <c r="D659" s="11" t="s">
        <v>60</v>
      </c>
      <c r="E659" s="8">
        <f t="shared" si="2"/>
        <v>91691.900000000023</v>
      </c>
      <c r="F659" s="89"/>
      <c r="G659" s="89"/>
      <c r="H659" s="14"/>
      <c r="I659" s="14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spans="1:29" ht="15.75" customHeight="1">
      <c r="A660" s="71">
        <v>45958</v>
      </c>
      <c r="B660" s="24">
        <v>22020</v>
      </c>
      <c r="C660" s="24"/>
      <c r="D660" s="35" t="s">
        <v>432</v>
      </c>
      <c r="E660" s="8">
        <f t="shared" si="2"/>
        <v>69671.900000000023</v>
      </c>
      <c r="F660" s="89"/>
      <c r="G660" s="89"/>
      <c r="H660" s="14"/>
      <c r="I660" s="1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>
      <c r="A661" s="71">
        <v>45958</v>
      </c>
      <c r="B661" s="24">
        <v>300</v>
      </c>
      <c r="C661" s="24"/>
      <c r="D661" s="24" t="s">
        <v>433</v>
      </c>
      <c r="E661" s="8">
        <f t="shared" si="2"/>
        <v>69371.900000000023</v>
      </c>
      <c r="F661" s="89"/>
      <c r="G661" s="89"/>
      <c r="H661" s="14"/>
      <c r="I661" s="1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>
      <c r="A662" s="71">
        <v>45960</v>
      </c>
      <c r="B662" s="24">
        <v>95</v>
      </c>
      <c r="C662" s="24"/>
      <c r="D662" s="24" t="s">
        <v>146</v>
      </c>
      <c r="E662" s="8">
        <f t="shared" si="2"/>
        <v>69276.900000000023</v>
      </c>
      <c r="F662" s="89"/>
      <c r="G662" s="89"/>
      <c r="H662" s="14"/>
      <c r="I662" s="1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>
      <c r="A663" s="24" t="s">
        <v>434</v>
      </c>
      <c r="B663" s="24"/>
      <c r="C663" s="24">
        <v>1500</v>
      </c>
      <c r="D663" s="11" t="s">
        <v>60</v>
      </c>
      <c r="E663" s="8">
        <f t="shared" si="2"/>
        <v>70776.900000000023</v>
      </c>
      <c r="F663" s="89"/>
      <c r="G663" s="89"/>
      <c r="H663" s="14"/>
      <c r="I663" s="1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>
      <c r="A664" s="24" t="s">
        <v>434</v>
      </c>
      <c r="B664" s="24">
        <v>500</v>
      </c>
      <c r="C664" s="24"/>
      <c r="D664" s="24" t="s">
        <v>435</v>
      </c>
      <c r="E664" s="8">
        <f t="shared" si="2"/>
        <v>70276.900000000023</v>
      </c>
      <c r="F664" s="89"/>
      <c r="G664" s="89"/>
      <c r="H664" s="14"/>
      <c r="I664" s="1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>
      <c r="A665" s="24" t="s">
        <v>434</v>
      </c>
      <c r="B665" s="24">
        <v>1000</v>
      </c>
      <c r="C665" s="24"/>
      <c r="D665" s="24" t="s">
        <v>436</v>
      </c>
      <c r="E665" s="8">
        <f t="shared" si="2"/>
        <v>69276.900000000023</v>
      </c>
      <c r="F665" s="89"/>
      <c r="G665" s="89"/>
      <c r="H665" s="14"/>
      <c r="I665" s="1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>
      <c r="A666" s="71">
        <v>45963</v>
      </c>
      <c r="B666" s="24">
        <v>288</v>
      </c>
      <c r="C666" s="24"/>
      <c r="D666" s="24" t="s">
        <v>132</v>
      </c>
      <c r="E666" s="8">
        <f t="shared" si="2"/>
        <v>68988.900000000023</v>
      </c>
      <c r="F666" s="89"/>
      <c r="G666" s="89"/>
      <c r="H666" s="14"/>
      <c r="I666" s="1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>
      <c r="A667" s="71">
        <v>45963</v>
      </c>
      <c r="B667" s="24"/>
      <c r="C667" s="24">
        <v>500</v>
      </c>
      <c r="D667" s="11" t="s">
        <v>60</v>
      </c>
      <c r="E667" s="8">
        <f t="shared" si="2"/>
        <v>69488.900000000023</v>
      </c>
      <c r="F667" s="89"/>
      <c r="G667" s="89"/>
      <c r="H667" s="14"/>
      <c r="I667" s="1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>
      <c r="A668" s="71">
        <v>45963</v>
      </c>
      <c r="B668" s="24">
        <v>480</v>
      </c>
      <c r="C668" s="24"/>
      <c r="D668" s="24" t="s">
        <v>437</v>
      </c>
      <c r="E668" s="8">
        <f t="shared" si="2"/>
        <v>69008.900000000023</v>
      </c>
      <c r="F668" s="89"/>
      <c r="G668" s="89"/>
      <c r="H668" s="14"/>
      <c r="I668" s="1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>
      <c r="A669" s="71">
        <v>45964</v>
      </c>
      <c r="B669" s="24">
        <v>260</v>
      </c>
      <c r="C669" s="24"/>
      <c r="D669" s="24" t="s">
        <v>438</v>
      </c>
      <c r="E669" s="8">
        <f t="shared" si="2"/>
        <v>68748.900000000023</v>
      </c>
      <c r="F669" s="89"/>
      <c r="G669" s="89"/>
      <c r="H669" s="14"/>
      <c r="I669" s="1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>
      <c r="A670" s="71">
        <v>45964</v>
      </c>
      <c r="B670" s="24">
        <v>40</v>
      </c>
      <c r="C670" s="24"/>
      <c r="D670" s="24" t="s">
        <v>439</v>
      </c>
      <c r="E670" s="8">
        <f t="shared" si="2"/>
        <v>68708.900000000023</v>
      </c>
      <c r="F670" s="89"/>
      <c r="G670" s="89"/>
      <c r="H670" s="14"/>
      <c r="I670" s="1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>
      <c r="A671" s="71">
        <v>45964</v>
      </c>
      <c r="B671" s="24">
        <v>95</v>
      </c>
      <c r="C671" s="24"/>
      <c r="D671" s="24" t="s">
        <v>146</v>
      </c>
      <c r="E671" s="8">
        <f t="shared" si="2"/>
        <v>68613.900000000023</v>
      </c>
      <c r="F671" s="89"/>
      <c r="G671" s="89"/>
      <c r="H671" s="14"/>
      <c r="I671" s="14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spans="1:29" ht="15.75" customHeight="1">
      <c r="A672" s="71">
        <v>45964</v>
      </c>
      <c r="B672" s="24">
        <v>10</v>
      </c>
      <c r="C672" s="24"/>
      <c r="D672" s="24" t="s">
        <v>132</v>
      </c>
      <c r="E672" s="8">
        <f t="shared" si="2"/>
        <v>68603.900000000023</v>
      </c>
      <c r="F672" s="89"/>
      <c r="G672" s="89"/>
      <c r="H672" s="14"/>
      <c r="I672" s="1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>
      <c r="A673" s="71">
        <v>45966</v>
      </c>
      <c r="B673" s="24">
        <v>1000</v>
      </c>
      <c r="C673" s="24"/>
      <c r="D673" s="24" t="s">
        <v>169</v>
      </c>
      <c r="E673" s="8">
        <f t="shared" si="2"/>
        <v>67603.900000000023</v>
      </c>
      <c r="F673" s="89"/>
      <c r="G673" s="89"/>
      <c r="H673" s="14"/>
      <c r="I673" s="1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>
      <c r="A674" s="71">
        <v>45966</v>
      </c>
      <c r="B674" s="24">
        <v>90</v>
      </c>
      <c r="C674" s="24"/>
      <c r="D674" s="24" t="s">
        <v>440</v>
      </c>
      <c r="E674" s="8">
        <f t="shared" si="2"/>
        <v>67513.900000000023</v>
      </c>
      <c r="F674" s="89"/>
      <c r="G674" s="89"/>
      <c r="H674" s="14"/>
      <c r="I674" s="14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>
      <c r="A675" s="267">
        <v>45970</v>
      </c>
      <c r="B675" s="256"/>
      <c r="C675" s="256">
        <v>73000</v>
      </c>
      <c r="D675" s="268" t="s">
        <v>441</v>
      </c>
      <c r="E675" s="8">
        <f t="shared" si="2"/>
        <v>140513.90000000002</v>
      </c>
      <c r="F675" s="89"/>
      <c r="G675" s="89"/>
      <c r="H675" s="14"/>
      <c r="I675" s="1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>
      <c r="A676" s="257"/>
      <c r="B676" s="257"/>
      <c r="C676" s="257"/>
      <c r="D676" s="257"/>
      <c r="E676" s="8">
        <f t="shared" si="2"/>
        <v>140513.90000000002</v>
      </c>
      <c r="F676" s="89"/>
      <c r="G676" s="89"/>
      <c r="H676" s="14"/>
      <c r="I676" s="1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>
      <c r="A677" s="71">
        <v>45970</v>
      </c>
      <c r="B677" s="24">
        <v>300</v>
      </c>
      <c r="C677" s="24"/>
      <c r="D677" s="24" t="s">
        <v>442</v>
      </c>
      <c r="E677" s="8">
        <f t="shared" si="2"/>
        <v>140213.90000000002</v>
      </c>
      <c r="F677" s="89"/>
      <c r="G677" s="89"/>
      <c r="H677" s="14"/>
      <c r="I677" s="1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>
      <c r="A678" s="71">
        <v>45970</v>
      </c>
      <c r="B678" s="24">
        <v>91</v>
      </c>
      <c r="C678" s="24"/>
      <c r="D678" s="24" t="s">
        <v>196</v>
      </c>
      <c r="E678" s="8">
        <f t="shared" si="2"/>
        <v>140122.90000000002</v>
      </c>
      <c r="F678" s="89"/>
      <c r="G678" s="89"/>
      <c r="H678" s="14"/>
      <c r="I678" s="1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>
      <c r="A679" s="71">
        <v>45970</v>
      </c>
      <c r="B679" s="24">
        <v>100</v>
      </c>
      <c r="C679" s="24"/>
      <c r="D679" s="24" t="s">
        <v>238</v>
      </c>
      <c r="E679" s="8">
        <f t="shared" si="2"/>
        <v>140022.90000000002</v>
      </c>
      <c r="F679" s="89"/>
      <c r="G679" s="89"/>
      <c r="H679" s="14"/>
      <c r="I679" s="1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>
      <c r="A680" s="71">
        <v>45971</v>
      </c>
      <c r="B680" s="24">
        <v>500</v>
      </c>
      <c r="C680" s="24"/>
      <c r="D680" s="24" t="s">
        <v>443</v>
      </c>
      <c r="E680" s="8">
        <f t="shared" si="2"/>
        <v>139522.90000000002</v>
      </c>
      <c r="F680" s="89"/>
      <c r="G680" s="89"/>
      <c r="H680" s="14"/>
      <c r="I680" s="1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>
      <c r="A681" s="71">
        <v>45971</v>
      </c>
      <c r="B681" s="24">
        <v>170</v>
      </c>
      <c r="C681" s="24"/>
      <c r="D681" s="24" t="s">
        <v>241</v>
      </c>
      <c r="E681" s="8">
        <f t="shared" si="2"/>
        <v>139352.90000000002</v>
      </c>
      <c r="F681" s="89"/>
      <c r="G681" s="89"/>
      <c r="H681" s="14"/>
      <c r="I681" s="1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>
      <c r="A682" s="71">
        <v>45972</v>
      </c>
      <c r="B682" s="24">
        <f>725+192+115+375</f>
        <v>1407</v>
      </c>
      <c r="C682" s="24"/>
      <c r="D682" s="24" t="s">
        <v>132</v>
      </c>
      <c r="E682" s="8">
        <f t="shared" si="2"/>
        <v>137945.90000000002</v>
      </c>
      <c r="F682" s="89"/>
      <c r="G682" s="89"/>
      <c r="H682" s="14"/>
      <c r="I682" s="1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>
      <c r="A683" s="71">
        <v>45972</v>
      </c>
      <c r="B683" s="24">
        <v>91</v>
      </c>
      <c r="C683" s="24"/>
      <c r="D683" s="24" t="s">
        <v>196</v>
      </c>
      <c r="E683" s="8">
        <f t="shared" si="2"/>
        <v>137854.90000000002</v>
      </c>
      <c r="F683" s="89"/>
      <c r="G683" s="89"/>
      <c r="H683" s="14"/>
      <c r="I683" s="1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>
      <c r="A684" s="71">
        <v>45973</v>
      </c>
      <c r="B684" s="24"/>
      <c r="C684" s="24"/>
      <c r="D684" s="24" t="s">
        <v>280</v>
      </c>
      <c r="E684" s="8">
        <f t="shared" si="2"/>
        <v>137854.90000000002</v>
      </c>
      <c r="F684" s="89"/>
      <c r="G684" s="89"/>
      <c r="H684" s="14"/>
      <c r="I684" s="1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>
      <c r="A685" s="71">
        <v>45973</v>
      </c>
      <c r="B685" s="24"/>
      <c r="C685" s="24">
        <f>175500+10000</f>
        <v>185500</v>
      </c>
      <c r="D685" s="110" t="s">
        <v>444</v>
      </c>
      <c r="E685" s="8">
        <f t="shared" si="2"/>
        <v>323354.90000000002</v>
      </c>
      <c r="F685" s="89"/>
      <c r="G685" s="89"/>
      <c r="H685" s="14"/>
      <c r="I685" s="14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>
      <c r="A686" s="71">
        <v>45973</v>
      </c>
      <c r="B686" s="24">
        <v>109308</v>
      </c>
      <c r="C686" s="24"/>
      <c r="D686" s="35" t="s">
        <v>445</v>
      </c>
      <c r="E686" s="8">
        <f t="shared" si="2"/>
        <v>214046.90000000002</v>
      </c>
      <c r="F686" s="89"/>
      <c r="G686" s="89"/>
      <c r="H686" s="14"/>
      <c r="I686" s="14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spans="1:29" ht="15.75" customHeight="1">
      <c r="A687" s="71"/>
      <c r="B687" s="24"/>
      <c r="C687" s="24"/>
      <c r="D687" s="24"/>
      <c r="E687" s="8">
        <f t="shared" si="2"/>
        <v>214046.90000000002</v>
      </c>
      <c r="F687" s="89"/>
      <c r="G687" s="89"/>
      <c r="H687" s="14"/>
      <c r="I687" s="14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>
      <c r="A688" s="71"/>
      <c r="B688" s="24"/>
      <c r="C688" s="24"/>
      <c r="D688" s="24"/>
      <c r="E688" s="8">
        <f t="shared" si="2"/>
        <v>214046.90000000002</v>
      </c>
      <c r="F688" s="89"/>
      <c r="G688" s="89"/>
      <c r="H688" s="14"/>
      <c r="I688" s="14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>
      <c r="A689" s="71">
        <v>45973</v>
      </c>
      <c r="B689" s="24">
        <v>55000</v>
      </c>
      <c r="C689" s="24"/>
      <c r="D689" s="35" t="s">
        <v>446</v>
      </c>
      <c r="E689" s="8">
        <f t="shared" si="2"/>
        <v>159046.90000000002</v>
      </c>
      <c r="F689" s="89"/>
      <c r="G689" s="89"/>
      <c r="H689" s="14"/>
      <c r="I689" s="14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>
      <c r="A690" s="71">
        <v>45973</v>
      </c>
      <c r="B690" s="24">
        <v>11000</v>
      </c>
      <c r="C690" s="24"/>
      <c r="D690" s="24" t="s">
        <v>447</v>
      </c>
      <c r="E690" s="8">
        <f t="shared" si="2"/>
        <v>148046.90000000002</v>
      </c>
      <c r="F690" s="89"/>
      <c r="G690" s="89"/>
      <c r="H690" s="14"/>
      <c r="I690" s="14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>
      <c r="A691" s="71">
        <v>45973</v>
      </c>
      <c r="B691" s="24">
        <v>57600</v>
      </c>
      <c r="C691" s="24"/>
      <c r="D691" s="24" t="s">
        <v>448</v>
      </c>
      <c r="E691" s="8">
        <f t="shared" si="2"/>
        <v>90446.900000000023</v>
      </c>
      <c r="F691" s="89"/>
      <c r="G691" s="89"/>
      <c r="H691" s="14"/>
      <c r="I691" s="1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>
      <c r="A692" s="71">
        <v>45973</v>
      </c>
      <c r="B692" s="24">
        <v>2500</v>
      </c>
      <c r="C692" s="24"/>
      <c r="D692" s="24" t="s">
        <v>449</v>
      </c>
      <c r="E692" s="8">
        <f t="shared" si="2"/>
        <v>87946.900000000023</v>
      </c>
      <c r="F692" s="89"/>
      <c r="G692" s="89"/>
      <c r="H692" s="14"/>
      <c r="I692" s="1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>
      <c r="A693" s="71">
        <v>45973</v>
      </c>
      <c r="B693" s="24">
        <v>6000</v>
      </c>
      <c r="C693" s="24"/>
      <c r="D693" s="24" t="s">
        <v>450</v>
      </c>
      <c r="E693" s="8">
        <f t="shared" si="2"/>
        <v>81946.900000000023</v>
      </c>
      <c r="F693" s="89"/>
      <c r="G693" s="89"/>
      <c r="H693" s="14"/>
      <c r="I693" s="1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>
      <c r="A694" s="71">
        <v>45973</v>
      </c>
      <c r="B694" s="24">
        <v>500</v>
      </c>
      <c r="C694" s="24"/>
      <c r="D694" s="24" t="s">
        <v>451</v>
      </c>
      <c r="E694" s="8">
        <f t="shared" si="2"/>
        <v>81446.900000000023</v>
      </c>
      <c r="F694" s="89"/>
      <c r="G694" s="89"/>
      <c r="H694" s="14"/>
      <c r="I694" s="1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>
      <c r="A695" s="71">
        <v>45973</v>
      </c>
      <c r="B695" s="24">
        <v>265</v>
      </c>
      <c r="C695" s="24"/>
      <c r="D695" s="24" t="s">
        <v>132</v>
      </c>
      <c r="E695" s="8">
        <f t="shared" si="2"/>
        <v>81181.900000000023</v>
      </c>
      <c r="F695" s="89"/>
      <c r="G695" s="89"/>
      <c r="H695" s="14"/>
      <c r="I695" s="14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spans="1:29" ht="15.75" customHeight="1">
      <c r="A696" s="71">
        <v>45974</v>
      </c>
      <c r="B696" s="24">
        <v>90</v>
      </c>
      <c r="C696" s="24"/>
      <c r="D696" s="24" t="s">
        <v>146</v>
      </c>
      <c r="E696" s="8">
        <f t="shared" si="2"/>
        <v>81091.900000000023</v>
      </c>
      <c r="F696" s="89"/>
      <c r="G696" s="89"/>
      <c r="H696" s="14"/>
      <c r="I696" s="1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>
      <c r="A697" s="71">
        <v>45974</v>
      </c>
      <c r="B697" s="24"/>
      <c r="C697" s="24">
        <v>1195</v>
      </c>
      <c r="D697" s="24" t="s">
        <v>452</v>
      </c>
      <c r="E697" s="8">
        <f t="shared" si="2"/>
        <v>82286.900000000023</v>
      </c>
      <c r="F697" s="89"/>
      <c r="G697" s="89"/>
      <c r="H697" s="14"/>
      <c r="I697" s="1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>
      <c r="A698" s="71">
        <v>45974</v>
      </c>
      <c r="B698" s="24">
        <v>1195</v>
      </c>
      <c r="C698" s="24"/>
      <c r="D698" s="24" t="s">
        <v>453</v>
      </c>
      <c r="E698" s="8">
        <f t="shared" si="2"/>
        <v>81091.900000000023</v>
      </c>
      <c r="F698" s="89"/>
      <c r="G698" s="89"/>
      <c r="H698" s="14"/>
      <c r="I698" s="14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spans="1:29" ht="15.75" customHeight="1">
      <c r="A699" s="71">
        <v>45976</v>
      </c>
      <c r="B699" s="24">
        <f>90+180</f>
        <v>270</v>
      </c>
      <c r="C699" s="24"/>
      <c r="D699" s="24" t="s">
        <v>132</v>
      </c>
      <c r="E699" s="8">
        <f t="shared" si="2"/>
        <v>80821.900000000023</v>
      </c>
      <c r="F699" s="89"/>
      <c r="G699" s="89"/>
      <c r="H699" s="14"/>
      <c r="I699" s="14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spans="1:29" ht="15.75" customHeight="1">
      <c r="A700" s="71">
        <v>45977</v>
      </c>
      <c r="B700" s="24">
        <f>270+55+50</f>
        <v>375</v>
      </c>
      <c r="C700" s="24"/>
      <c r="D700" s="24" t="s">
        <v>132</v>
      </c>
      <c r="E700" s="8">
        <f t="shared" si="2"/>
        <v>80446.900000000023</v>
      </c>
      <c r="F700" s="89"/>
      <c r="G700" s="89"/>
      <c r="H700" s="14"/>
      <c r="I700" s="14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spans="1:29" ht="15.75" customHeight="1">
      <c r="A701" s="24" t="s">
        <v>454</v>
      </c>
      <c r="B701" s="24"/>
      <c r="C701" s="24">
        <v>280250</v>
      </c>
      <c r="D701" s="94" t="s">
        <v>455</v>
      </c>
      <c r="E701" s="8">
        <f t="shared" si="2"/>
        <v>360696.9</v>
      </c>
      <c r="F701" s="89"/>
      <c r="G701" s="89"/>
      <c r="H701" s="14"/>
      <c r="I701" s="14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>
      <c r="A702" s="24" t="s">
        <v>454</v>
      </c>
      <c r="B702" s="24">
        <v>15000</v>
      </c>
      <c r="C702" s="24"/>
      <c r="D702" s="24" t="s">
        <v>456</v>
      </c>
      <c r="E702" s="8">
        <f t="shared" si="2"/>
        <v>345696.9</v>
      </c>
      <c r="F702" s="89"/>
      <c r="G702" s="89"/>
      <c r="H702" s="14"/>
      <c r="I702" s="14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>
      <c r="A703" s="71">
        <v>45977</v>
      </c>
      <c r="B703" s="24">
        <v>90</v>
      </c>
      <c r="C703" s="24"/>
      <c r="D703" s="24" t="s">
        <v>457</v>
      </c>
      <c r="E703" s="8">
        <f t="shared" si="2"/>
        <v>345606.9</v>
      </c>
      <c r="F703" s="89"/>
      <c r="G703" s="89"/>
      <c r="H703" s="14"/>
      <c r="I703" s="14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>
      <c r="A704" s="71">
        <v>45977</v>
      </c>
      <c r="B704" s="24">
        <v>600</v>
      </c>
      <c r="C704" s="24"/>
      <c r="D704" s="24" t="s">
        <v>458</v>
      </c>
      <c r="E704" s="8">
        <f t="shared" si="2"/>
        <v>345006.9</v>
      </c>
      <c r="F704" s="89"/>
      <c r="G704" s="89"/>
      <c r="H704" s="14"/>
      <c r="I704" s="14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>
      <c r="A705" s="71">
        <v>45977</v>
      </c>
      <c r="B705" s="24">
        <v>100</v>
      </c>
      <c r="C705" s="24"/>
      <c r="D705" s="24" t="s">
        <v>459</v>
      </c>
      <c r="E705" s="8">
        <f t="shared" si="2"/>
        <v>344906.9</v>
      </c>
      <c r="F705" s="89"/>
      <c r="G705" s="89"/>
      <c r="H705" s="14"/>
      <c r="I705" s="14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>
      <c r="A706" s="71">
        <v>45977</v>
      </c>
      <c r="B706" s="24">
        <v>165</v>
      </c>
      <c r="C706" s="24"/>
      <c r="D706" s="24" t="s">
        <v>132</v>
      </c>
      <c r="E706" s="8">
        <f t="shared" si="2"/>
        <v>344741.9</v>
      </c>
      <c r="F706" s="89"/>
      <c r="G706" s="89"/>
      <c r="H706" s="14"/>
      <c r="I706" s="1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>
      <c r="A707" s="71">
        <v>45977</v>
      </c>
      <c r="B707" s="24">
        <v>19520</v>
      </c>
      <c r="C707" s="24"/>
      <c r="D707" s="24" t="s">
        <v>460</v>
      </c>
      <c r="E707" s="8">
        <f t="shared" si="2"/>
        <v>325221.90000000002</v>
      </c>
      <c r="F707" s="89"/>
      <c r="G707" s="89"/>
      <c r="H707" s="14"/>
      <c r="I707" s="1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>
      <c r="A708" s="71">
        <v>45977</v>
      </c>
      <c r="B708" s="24">
        <v>8590</v>
      </c>
      <c r="C708" s="24"/>
      <c r="D708" s="24" t="s">
        <v>461</v>
      </c>
      <c r="E708" s="8">
        <f t="shared" si="2"/>
        <v>316631.90000000002</v>
      </c>
      <c r="F708" s="89"/>
      <c r="G708" s="89"/>
      <c r="H708" s="14"/>
      <c r="I708" s="1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>
      <c r="A709" s="71">
        <v>45977</v>
      </c>
      <c r="B709" s="24">
        <v>8800</v>
      </c>
      <c r="C709" s="24"/>
      <c r="D709" s="24" t="s">
        <v>462</v>
      </c>
      <c r="E709" s="8">
        <f t="shared" si="2"/>
        <v>307831.90000000002</v>
      </c>
      <c r="F709" s="89"/>
      <c r="G709" s="89"/>
      <c r="H709" s="14"/>
      <c r="I709" s="1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>
      <c r="A710" s="71">
        <v>45977</v>
      </c>
      <c r="B710" s="24">
        <v>53000</v>
      </c>
      <c r="C710" s="24"/>
      <c r="D710" s="24" t="s">
        <v>463</v>
      </c>
      <c r="E710" s="8">
        <f t="shared" si="2"/>
        <v>254831.90000000002</v>
      </c>
      <c r="F710" s="89"/>
      <c r="G710" s="89"/>
      <c r="H710" s="14"/>
      <c r="I710" s="1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>
      <c r="A711" s="71">
        <v>45977</v>
      </c>
      <c r="B711" s="24">
        <v>85000</v>
      </c>
      <c r="C711" s="24"/>
      <c r="D711" s="35" t="s">
        <v>464</v>
      </c>
      <c r="E711" s="8">
        <f t="shared" si="2"/>
        <v>169831.90000000002</v>
      </c>
      <c r="F711" s="89"/>
      <c r="G711" s="89"/>
      <c r="H711" s="14"/>
      <c r="I711" s="1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>
      <c r="A712" s="71">
        <v>45977</v>
      </c>
      <c r="B712" s="24">
        <v>23000</v>
      </c>
      <c r="C712" s="24"/>
      <c r="D712" s="24" t="s">
        <v>465</v>
      </c>
      <c r="E712" s="8">
        <f t="shared" si="2"/>
        <v>146831.90000000002</v>
      </c>
      <c r="F712" s="89"/>
      <c r="G712" s="89"/>
      <c r="H712" s="14"/>
      <c r="I712" s="1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>
      <c r="A713" s="71">
        <v>45977</v>
      </c>
      <c r="B713" s="24">
        <v>5750</v>
      </c>
      <c r="C713" s="24"/>
      <c r="D713" s="24" t="s">
        <v>466</v>
      </c>
      <c r="E713" s="8">
        <f t="shared" si="2"/>
        <v>141081.90000000002</v>
      </c>
      <c r="F713" s="89"/>
      <c r="G713" s="89"/>
      <c r="H713" s="14"/>
      <c r="I713" s="1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>
      <c r="A714" s="71">
        <v>45977</v>
      </c>
      <c r="B714" s="24">
        <v>800</v>
      </c>
      <c r="C714" s="24"/>
      <c r="D714" s="24" t="s">
        <v>467</v>
      </c>
      <c r="E714" s="8">
        <f t="shared" si="2"/>
        <v>140281.90000000002</v>
      </c>
      <c r="F714" s="89"/>
      <c r="G714" s="89"/>
      <c r="H714" s="14"/>
      <c r="I714" s="1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>
      <c r="A715" s="71">
        <v>45978</v>
      </c>
      <c r="B715" s="24">
        <v>520</v>
      </c>
      <c r="C715" s="24"/>
      <c r="D715" s="24" t="s">
        <v>132</v>
      </c>
      <c r="E715" s="8">
        <f t="shared" si="2"/>
        <v>139761.90000000002</v>
      </c>
      <c r="F715" s="89"/>
      <c r="G715" s="89"/>
      <c r="H715" s="14"/>
      <c r="I715" s="14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spans="1:29" ht="15.75" customHeight="1">
      <c r="A716" s="71">
        <v>45978</v>
      </c>
      <c r="B716" s="24">
        <v>91</v>
      </c>
      <c r="C716" s="24"/>
      <c r="D716" s="24" t="s">
        <v>146</v>
      </c>
      <c r="E716" s="8">
        <f t="shared" si="2"/>
        <v>139670.90000000002</v>
      </c>
      <c r="F716" s="89"/>
      <c r="G716" s="89"/>
      <c r="H716" s="14"/>
      <c r="I716" s="14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spans="1:29" ht="15.75" customHeight="1">
      <c r="A717" s="71">
        <v>45978</v>
      </c>
      <c r="B717" s="24">
        <v>48</v>
      </c>
      <c r="C717" s="24"/>
      <c r="D717" s="24" t="s">
        <v>132</v>
      </c>
      <c r="E717" s="8">
        <f t="shared" si="2"/>
        <v>139622.90000000002</v>
      </c>
      <c r="F717" s="89"/>
      <c r="G717" s="89"/>
      <c r="H717" s="14"/>
      <c r="I717" s="14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>
      <c r="A718" s="24" t="s">
        <v>468</v>
      </c>
      <c r="B718" s="24">
        <v>2000</v>
      </c>
      <c r="C718" s="24"/>
      <c r="D718" s="24" t="s">
        <v>469</v>
      </c>
      <c r="E718" s="8">
        <f t="shared" si="2"/>
        <v>137622.90000000002</v>
      </c>
      <c r="F718" s="89"/>
      <c r="G718" s="89"/>
      <c r="H718" s="14"/>
      <c r="I718" s="14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>
      <c r="A719" s="24" t="s">
        <v>468</v>
      </c>
      <c r="B719" s="24">
        <v>500</v>
      </c>
      <c r="C719" s="24"/>
      <c r="D719" s="24" t="s">
        <v>470</v>
      </c>
      <c r="E719" s="8">
        <f t="shared" si="2"/>
        <v>137122.90000000002</v>
      </c>
      <c r="F719" s="89"/>
      <c r="G719" s="89"/>
      <c r="H719" s="14"/>
      <c r="I719" s="14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>
      <c r="A720" s="24" t="s">
        <v>468</v>
      </c>
      <c r="B720" s="24">
        <v>185</v>
      </c>
      <c r="C720" s="24"/>
      <c r="D720" s="24" t="s">
        <v>471</v>
      </c>
      <c r="E720" s="8">
        <f t="shared" si="2"/>
        <v>136937.90000000002</v>
      </c>
      <c r="F720" s="89"/>
      <c r="G720" s="89"/>
      <c r="H720" s="14"/>
      <c r="I720" s="1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>
      <c r="A721" s="24"/>
      <c r="B721" s="24"/>
      <c r="C721" s="24"/>
      <c r="D721" s="24"/>
      <c r="E721" s="8">
        <f t="shared" si="2"/>
        <v>136937.90000000002</v>
      </c>
      <c r="F721" s="89"/>
      <c r="G721" s="89"/>
      <c r="H721" s="14"/>
      <c r="I721" s="1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>
      <c r="A722" s="24"/>
      <c r="B722" s="7"/>
      <c r="C722" s="24"/>
      <c r="D722" s="24"/>
      <c r="E722" s="8">
        <f t="shared" si="2"/>
        <v>136937.90000000002</v>
      </c>
      <c r="F722" s="89"/>
      <c r="G722" s="89"/>
      <c r="H722" s="14"/>
      <c r="I722" s="1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>
      <c r="A723" s="24"/>
      <c r="B723" s="7"/>
      <c r="C723" s="24"/>
      <c r="D723" s="24"/>
      <c r="E723" s="8">
        <f t="shared" si="2"/>
        <v>136937.90000000002</v>
      </c>
      <c r="F723" s="89"/>
      <c r="G723" s="89"/>
      <c r="H723" s="14"/>
      <c r="I723" s="1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>
      <c r="A724" s="24"/>
      <c r="B724" s="24"/>
      <c r="C724" s="24"/>
      <c r="D724" s="24"/>
      <c r="E724" s="8">
        <f t="shared" si="2"/>
        <v>136937.90000000002</v>
      </c>
      <c r="F724" s="89"/>
      <c r="G724" s="89"/>
      <c r="H724" s="14"/>
      <c r="I724" s="1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>
      <c r="A725" s="24"/>
      <c r="B725" s="24"/>
      <c r="C725" s="24"/>
      <c r="D725" s="24"/>
      <c r="E725" s="8">
        <f t="shared" si="2"/>
        <v>136937.90000000002</v>
      </c>
      <c r="F725" s="89"/>
      <c r="G725" s="89"/>
      <c r="H725" s="14"/>
      <c r="I725" s="14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spans="1:29" ht="15.75" customHeight="1">
      <c r="A726" s="24"/>
      <c r="B726" s="24"/>
      <c r="C726" s="24"/>
      <c r="D726" s="24"/>
      <c r="E726" s="8">
        <f t="shared" si="2"/>
        <v>136937.90000000002</v>
      </c>
      <c r="F726" s="89"/>
      <c r="G726" s="89"/>
      <c r="H726" s="14"/>
      <c r="I726" s="14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spans="1:29" ht="15.75" customHeight="1">
      <c r="A727" s="24"/>
      <c r="B727" s="24"/>
      <c r="C727" s="24"/>
      <c r="D727" s="24"/>
      <c r="E727" s="8">
        <f t="shared" si="2"/>
        <v>136937.90000000002</v>
      </c>
      <c r="F727" s="89"/>
      <c r="G727" s="89"/>
      <c r="H727" s="14"/>
      <c r="I727" s="1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>
      <c r="A728" s="24"/>
      <c r="B728" s="24"/>
      <c r="C728" s="24"/>
      <c r="D728" s="24"/>
      <c r="E728" s="8">
        <f t="shared" si="2"/>
        <v>136937.90000000002</v>
      </c>
      <c r="F728" s="89"/>
      <c r="G728" s="89"/>
      <c r="H728" s="14"/>
      <c r="I728" s="1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>
      <c r="A729" s="24"/>
      <c r="B729" s="24"/>
      <c r="C729" s="24"/>
      <c r="D729" s="24"/>
      <c r="E729" s="8">
        <f t="shared" si="2"/>
        <v>136937.90000000002</v>
      </c>
      <c r="F729" s="89"/>
      <c r="G729" s="89"/>
      <c r="H729" s="14"/>
      <c r="I729" s="1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>
      <c r="A730" s="24"/>
      <c r="B730" s="24"/>
      <c r="C730" s="24"/>
      <c r="D730" s="24"/>
      <c r="E730" s="8">
        <f t="shared" si="2"/>
        <v>136937.90000000002</v>
      </c>
      <c r="F730" s="89"/>
      <c r="G730" s="89"/>
      <c r="H730" s="14"/>
      <c r="I730" s="14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>
      <c r="A731" s="24"/>
      <c r="B731" s="24"/>
      <c r="C731" s="24"/>
      <c r="D731" s="24"/>
      <c r="E731" s="8">
        <f t="shared" si="2"/>
        <v>136937.90000000002</v>
      </c>
      <c r="F731" s="89"/>
      <c r="G731" s="89"/>
      <c r="H731" s="14"/>
      <c r="I731" s="14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>
      <c r="A732" s="24"/>
      <c r="B732" s="24"/>
      <c r="C732" s="24"/>
      <c r="D732" s="24"/>
      <c r="E732" s="8">
        <f t="shared" si="2"/>
        <v>136937.90000000002</v>
      </c>
      <c r="F732" s="89"/>
      <c r="G732" s="89"/>
      <c r="H732" s="14"/>
      <c r="I732" s="14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>
      <c r="A733" s="24"/>
      <c r="B733" s="24"/>
      <c r="C733" s="24"/>
      <c r="D733" s="24"/>
      <c r="E733" s="8">
        <f t="shared" si="2"/>
        <v>136937.90000000002</v>
      </c>
      <c r="F733" s="89"/>
      <c r="G733" s="89"/>
      <c r="H733" s="14"/>
      <c r="I733" s="14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>
      <c r="A734" s="24"/>
      <c r="B734" s="24"/>
      <c r="C734" s="24"/>
      <c r="D734" s="24"/>
      <c r="E734" s="8">
        <f t="shared" si="2"/>
        <v>136937.90000000002</v>
      </c>
      <c r="F734" s="89"/>
      <c r="G734" s="89"/>
      <c r="H734" s="14"/>
      <c r="I734" s="1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>
      <c r="A735" s="24"/>
      <c r="B735" s="24"/>
      <c r="C735" s="24"/>
      <c r="D735" s="24"/>
      <c r="E735" s="8">
        <f t="shared" si="2"/>
        <v>136937.90000000002</v>
      </c>
      <c r="F735" s="89"/>
      <c r="G735" s="89"/>
      <c r="H735" s="14"/>
      <c r="I735" s="1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>
      <c r="A736" s="24"/>
      <c r="B736" s="24"/>
      <c r="C736" s="24"/>
      <c r="D736" s="24"/>
      <c r="E736" s="8">
        <f t="shared" si="2"/>
        <v>136937.90000000002</v>
      </c>
      <c r="F736" s="89"/>
      <c r="G736" s="89"/>
      <c r="H736" s="14"/>
      <c r="I736" s="1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>
      <c r="A737" s="24"/>
      <c r="B737" s="24"/>
      <c r="C737" s="24"/>
      <c r="D737" s="24"/>
      <c r="E737" s="8">
        <f t="shared" si="2"/>
        <v>136937.90000000002</v>
      </c>
      <c r="F737" s="89"/>
      <c r="G737" s="89"/>
      <c r="H737" s="14"/>
      <c r="I737" s="1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>
      <c r="A738" s="24"/>
      <c r="B738" s="24"/>
      <c r="C738" s="24"/>
      <c r="D738" s="24"/>
      <c r="E738" s="8">
        <f t="shared" si="2"/>
        <v>136937.90000000002</v>
      </c>
      <c r="F738" s="89"/>
      <c r="G738" s="89"/>
      <c r="H738" s="14"/>
      <c r="I738" s="1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>
      <c r="A739" s="24"/>
      <c r="B739" s="24"/>
      <c r="C739" s="24"/>
      <c r="D739" s="24"/>
      <c r="E739" s="8">
        <f t="shared" si="2"/>
        <v>136937.90000000002</v>
      </c>
      <c r="F739" s="89"/>
      <c r="G739" s="89"/>
      <c r="H739" s="14"/>
      <c r="I739" s="1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>
      <c r="A740" s="24"/>
      <c r="B740" s="24"/>
      <c r="C740" s="24"/>
      <c r="D740" s="24"/>
      <c r="E740" s="8">
        <f t="shared" si="2"/>
        <v>136937.90000000002</v>
      </c>
      <c r="F740" s="89"/>
      <c r="G740" s="89"/>
      <c r="H740" s="14"/>
      <c r="I740" s="1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>
      <c r="A741" s="24"/>
      <c r="B741" s="24"/>
      <c r="C741" s="24"/>
      <c r="D741" s="24"/>
      <c r="E741" s="8">
        <f t="shared" si="2"/>
        <v>136937.90000000002</v>
      </c>
      <c r="F741" s="89"/>
      <c r="G741" s="89"/>
      <c r="H741" s="14"/>
      <c r="I741" s="1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>
      <c r="A742" s="24"/>
      <c r="B742" s="24"/>
      <c r="C742" s="24"/>
      <c r="D742" s="24"/>
      <c r="E742" s="8">
        <f t="shared" si="2"/>
        <v>136937.90000000002</v>
      </c>
      <c r="F742" s="89"/>
      <c r="G742" s="89"/>
      <c r="H742" s="14"/>
      <c r="I742" s="14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spans="1:29" ht="15.75" customHeight="1">
      <c r="A743" s="24"/>
      <c r="B743" s="24"/>
      <c r="C743" s="24"/>
      <c r="D743" s="24"/>
      <c r="E743" s="8">
        <f t="shared" si="2"/>
        <v>136937.90000000002</v>
      </c>
      <c r="F743" s="89"/>
      <c r="G743" s="89"/>
      <c r="H743" s="14"/>
      <c r="I743" s="1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>
      <c r="A744" s="24"/>
      <c r="B744" s="24"/>
      <c r="C744" s="24"/>
      <c r="D744" s="24"/>
      <c r="E744" s="8">
        <f t="shared" si="2"/>
        <v>136937.90000000002</v>
      </c>
      <c r="F744" s="89"/>
      <c r="G744" s="89"/>
      <c r="H744" s="14"/>
      <c r="I744" s="1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>
      <c r="A745" s="24"/>
      <c r="B745" s="24"/>
      <c r="C745" s="24"/>
      <c r="D745" s="24"/>
      <c r="E745" s="8">
        <f t="shared" si="2"/>
        <v>136937.90000000002</v>
      </c>
      <c r="F745" s="89"/>
      <c r="G745" s="89"/>
      <c r="H745" s="14"/>
      <c r="I745" s="14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>
      <c r="A746" s="24"/>
      <c r="B746" s="24"/>
      <c r="C746" s="24"/>
      <c r="D746" s="24"/>
      <c r="E746" s="8">
        <f t="shared" si="2"/>
        <v>136937.90000000002</v>
      </c>
      <c r="F746" s="89"/>
      <c r="G746" s="89"/>
      <c r="H746" s="14"/>
      <c r="I746" s="14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>
      <c r="A747" s="24"/>
      <c r="B747" s="24"/>
      <c r="C747" s="24"/>
      <c r="D747" s="24"/>
      <c r="E747" s="8">
        <f t="shared" si="2"/>
        <v>136937.90000000002</v>
      </c>
      <c r="F747" s="89"/>
      <c r="G747" s="89"/>
      <c r="H747" s="14"/>
      <c r="I747" s="14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>
      <c r="A748" s="24"/>
      <c r="B748" s="24"/>
      <c r="C748" s="24"/>
      <c r="D748" s="24"/>
      <c r="E748" s="8">
        <f t="shared" si="2"/>
        <v>136937.90000000002</v>
      </c>
      <c r="F748" s="89"/>
      <c r="G748" s="89"/>
      <c r="H748" s="14"/>
      <c r="I748" s="14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>
      <c r="A749" s="24"/>
      <c r="B749" s="24"/>
      <c r="C749" s="24"/>
      <c r="D749" s="24"/>
      <c r="E749" s="8">
        <f t="shared" si="2"/>
        <v>136937.90000000002</v>
      </c>
      <c r="F749" s="89"/>
      <c r="G749" s="89"/>
      <c r="H749" s="14"/>
      <c r="I749" s="14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>
      <c r="A750" s="24"/>
      <c r="B750" s="24"/>
      <c r="C750" s="24"/>
      <c r="D750" s="24"/>
      <c r="E750" s="8">
        <f t="shared" si="2"/>
        <v>136937.90000000002</v>
      </c>
      <c r="F750" s="89"/>
      <c r="G750" s="89"/>
      <c r="H750" s="14"/>
      <c r="I750" s="1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>
      <c r="A751" s="24"/>
      <c r="B751" s="24"/>
      <c r="C751" s="24"/>
      <c r="D751" s="24"/>
      <c r="E751" s="8">
        <f t="shared" si="2"/>
        <v>136937.90000000002</v>
      </c>
      <c r="F751" s="89"/>
      <c r="G751" s="89"/>
      <c r="H751" s="14"/>
      <c r="I751" s="1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>
      <c r="A752" s="24"/>
      <c r="B752" s="24"/>
      <c r="C752" s="24"/>
      <c r="D752" s="24"/>
      <c r="E752" s="8">
        <f t="shared" si="2"/>
        <v>136937.90000000002</v>
      </c>
      <c r="F752" s="89"/>
      <c r="G752" s="89"/>
      <c r="H752" s="14"/>
      <c r="I752" s="1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>
      <c r="A753" s="24"/>
      <c r="B753" s="24"/>
      <c r="C753" s="24"/>
      <c r="D753" s="24"/>
      <c r="E753" s="8">
        <f t="shared" si="2"/>
        <v>136937.90000000002</v>
      </c>
      <c r="F753" s="89"/>
      <c r="G753" s="89"/>
      <c r="H753" s="14"/>
      <c r="I753" s="1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>
      <c r="A754" s="24"/>
      <c r="B754" s="24"/>
      <c r="C754" s="24"/>
      <c r="D754" s="24"/>
      <c r="E754" s="8">
        <f t="shared" si="2"/>
        <v>136937.90000000002</v>
      </c>
      <c r="F754" s="89"/>
      <c r="G754" s="89"/>
      <c r="H754" s="14"/>
      <c r="I754" s="1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>
      <c r="A755" s="24"/>
      <c r="B755" s="24"/>
      <c r="C755" s="24"/>
      <c r="D755" s="24"/>
      <c r="E755" s="8">
        <f t="shared" si="2"/>
        <v>136937.90000000002</v>
      </c>
      <c r="F755" s="89"/>
      <c r="G755" s="89"/>
      <c r="H755" s="14"/>
      <c r="I755" s="1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>
      <c r="A756" s="24"/>
      <c r="B756" s="24"/>
      <c r="C756" s="24"/>
      <c r="D756" s="24"/>
      <c r="E756" s="8">
        <f t="shared" si="2"/>
        <v>136937.90000000002</v>
      </c>
      <c r="F756" s="89"/>
      <c r="G756" s="89"/>
      <c r="H756" s="14"/>
      <c r="I756" s="1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>
      <c r="A757" s="24"/>
      <c r="B757" s="24"/>
      <c r="C757" s="24"/>
      <c r="D757" s="24"/>
      <c r="E757" s="8">
        <f t="shared" si="2"/>
        <v>136937.90000000002</v>
      </c>
      <c r="F757" s="89"/>
      <c r="G757" s="89"/>
      <c r="H757" s="14"/>
      <c r="I757" s="1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>
      <c r="A758" s="24"/>
      <c r="B758" s="24"/>
      <c r="C758" s="24"/>
      <c r="D758" s="24"/>
      <c r="E758" s="8">
        <f t="shared" si="2"/>
        <v>136937.90000000002</v>
      </c>
      <c r="F758" s="89"/>
      <c r="G758" s="89"/>
      <c r="H758" s="14"/>
      <c r="I758" s="1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>
      <c r="A759" s="24"/>
      <c r="B759" s="24"/>
      <c r="C759" s="24"/>
      <c r="D759" s="24"/>
      <c r="E759" s="8">
        <f t="shared" si="2"/>
        <v>136937.90000000002</v>
      </c>
      <c r="F759" s="89"/>
      <c r="G759" s="89"/>
      <c r="H759" s="14"/>
      <c r="I759" s="1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>
      <c r="A760" s="71"/>
      <c r="B760" s="24"/>
      <c r="C760" s="24"/>
      <c r="D760" s="24"/>
      <c r="E760" s="8">
        <f t="shared" si="2"/>
        <v>136937.90000000002</v>
      </c>
      <c r="F760" s="89"/>
      <c r="G760" s="89"/>
      <c r="H760" s="14"/>
      <c r="I760" s="14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>
      <c r="A761" s="71"/>
      <c r="B761" s="24"/>
      <c r="C761" s="24"/>
      <c r="D761" s="24"/>
      <c r="E761" s="8">
        <f t="shared" si="2"/>
        <v>136937.90000000002</v>
      </c>
      <c r="F761" s="89"/>
      <c r="G761" s="89"/>
      <c r="H761" s="14"/>
      <c r="I761" s="14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>
      <c r="A762" s="71"/>
      <c r="B762" s="24"/>
      <c r="C762" s="24"/>
      <c r="D762" s="24"/>
      <c r="E762" s="8">
        <f t="shared" si="2"/>
        <v>136937.90000000002</v>
      </c>
      <c r="F762" s="89"/>
      <c r="G762" s="89"/>
      <c r="H762" s="14"/>
      <c r="I762" s="14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>
      <c r="A763" s="71"/>
      <c r="B763" s="24"/>
      <c r="C763" s="24"/>
      <c r="D763" s="24"/>
      <c r="E763" s="8">
        <f t="shared" si="2"/>
        <v>136937.90000000002</v>
      </c>
      <c r="F763" s="89"/>
      <c r="G763" s="89"/>
      <c r="H763" s="14"/>
      <c r="I763" s="14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>
      <c r="A764" s="71"/>
      <c r="B764" s="24"/>
      <c r="C764" s="24"/>
      <c r="D764" s="24"/>
      <c r="E764" s="8">
        <f t="shared" si="2"/>
        <v>136937.90000000002</v>
      </c>
      <c r="F764" s="89"/>
      <c r="G764" s="89"/>
      <c r="H764" s="14"/>
      <c r="I764" s="14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>
      <c r="A765" s="24"/>
      <c r="B765" s="24"/>
      <c r="C765" s="24"/>
      <c r="D765" s="24"/>
      <c r="E765" s="8">
        <f t="shared" si="2"/>
        <v>136937.90000000002</v>
      </c>
      <c r="F765" s="89"/>
      <c r="G765" s="89"/>
      <c r="H765" s="14"/>
      <c r="I765" s="14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spans="1:29" ht="15.75" customHeight="1">
      <c r="A766" s="71"/>
      <c r="B766" s="24"/>
      <c r="C766" s="24"/>
      <c r="D766" s="24"/>
      <c r="E766" s="8">
        <f t="shared" si="2"/>
        <v>136937.90000000002</v>
      </c>
      <c r="F766" s="89"/>
      <c r="G766" s="89"/>
      <c r="H766" s="14"/>
      <c r="I766" s="1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>
      <c r="A767" s="24"/>
      <c r="B767" s="24"/>
      <c r="C767" s="24"/>
      <c r="D767" s="24"/>
      <c r="E767" s="8">
        <f t="shared" si="2"/>
        <v>136937.90000000002</v>
      </c>
      <c r="F767" s="89"/>
      <c r="G767" s="89"/>
      <c r="H767" s="14"/>
      <c r="I767" s="1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>
      <c r="A768" s="24"/>
      <c r="B768" s="24"/>
      <c r="C768" s="24"/>
      <c r="D768" s="24"/>
      <c r="E768" s="8">
        <f t="shared" si="2"/>
        <v>136937.90000000002</v>
      </c>
      <c r="F768" s="89"/>
      <c r="G768" s="89"/>
      <c r="H768" s="14"/>
      <c r="I768" s="1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>
      <c r="A769" s="24"/>
      <c r="B769" s="24"/>
      <c r="C769" s="24"/>
      <c r="D769" s="24"/>
      <c r="E769" s="8">
        <f t="shared" ref="E769:E1023" si="3">E768+C769-B769</f>
        <v>136937.90000000002</v>
      </c>
      <c r="F769" s="89"/>
      <c r="G769" s="89"/>
      <c r="H769" s="14"/>
      <c r="I769" s="1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>
      <c r="A770" s="24"/>
      <c r="B770" s="24"/>
      <c r="C770" s="24"/>
      <c r="D770" s="24"/>
      <c r="E770" s="8">
        <f t="shared" si="3"/>
        <v>136937.90000000002</v>
      </c>
      <c r="F770" s="89"/>
      <c r="G770" s="89"/>
      <c r="H770" s="14"/>
      <c r="I770" s="1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>
      <c r="A771" s="24"/>
      <c r="B771" s="24"/>
      <c r="C771" s="24"/>
      <c r="D771" s="24"/>
      <c r="E771" s="8">
        <f t="shared" si="3"/>
        <v>136937.90000000002</v>
      </c>
      <c r="F771" s="89"/>
      <c r="G771" s="89"/>
      <c r="H771" s="14"/>
      <c r="I771" s="1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>
      <c r="A772" s="24"/>
      <c r="B772" s="24"/>
      <c r="C772" s="24"/>
      <c r="D772" s="24"/>
      <c r="E772" s="8">
        <f t="shared" si="3"/>
        <v>136937.90000000002</v>
      </c>
      <c r="F772" s="89"/>
      <c r="G772" s="89"/>
      <c r="H772" s="14"/>
      <c r="I772" s="1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>
      <c r="A773" s="24"/>
      <c r="B773" s="24"/>
      <c r="C773" s="24"/>
      <c r="D773" s="24"/>
      <c r="E773" s="8">
        <f t="shared" si="3"/>
        <v>136937.90000000002</v>
      </c>
      <c r="F773" s="89"/>
      <c r="G773" s="89"/>
      <c r="H773" s="14"/>
      <c r="I773" s="1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>
      <c r="A774" s="24"/>
      <c r="B774" s="24"/>
      <c r="C774" s="24"/>
      <c r="D774" s="24"/>
      <c r="E774" s="8">
        <f t="shared" si="3"/>
        <v>136937.90000000002</v>
      </c>
      <c r="F774" s="89"/>
      <c r="G774" s="89"/>
      <c r="H774" s="14"/>
      <c r="I774" s="14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spans="1:29" ht="15.75" customHeight="1">
      <c r="A775" s="24"/>
      <c r="B775" s="24"/>
      <c r="C775" s="24"/>
      <c r="D775" s="24"/>
      <c r="E775" s="8">
        <f t="shared" si="3"/>
        <v>136937.90000000002</v>
      </c>
      <c r="F775" s="89"/>
      <c r="G775" s="89"/>
      <c r="H775" s="14"/>
      <c r="I775" s="14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>
      <c r="A776" s="24"/>
      <c r="B776" s="24"/>
      <c r="C776" s="24"/>
      <c r="D776" s="24"/>
      <c r="E776" s="8">
        <f t="shared" si="3"/>
        <v>136937.90000000002</v>
      </c>
      <c r="F776" s="89"/>
      <c r="G776" s="89"/>
      <c r="H776" s="14"/>
      <c r="I776" s="14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>
      <c r="A777" s="24"/>
      <c r="B777" s="24"/>
      <c r="C777" s="24"/>
      <c r="D777" s="24"/>
      <c r="E777" s="8">
        <f t="shared" si="3"/>
        <v>136937.90000000002</v>
      </c>
      <c r="F777" s="89"/>
      <c r="G777" s="89"/>
      <c r="H777" s="14"/>
      <c r="I777" s="14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>
      <c r="A778" s="24"/>
      <c r="B778" s="24"/>
      <c r="C778" s="24"/>
      <c r="D778" s="24"/>
      <c r="E778" s="8">
        <f t="shared" si="3"/>
        <v>136937.90000000002</v>
      </c>
      <c r="F778" s="89"/>
      <c r="G778" s="89"/>
      <c r="H778" s="14"/>
      <c r="I778" s="14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>
      <c r="A779" s="24"/>
      <c r="B779" s="24"/>
      <c r="C779" s="24"/>
      <c r="D779" s="24"/>
      <c r="E779" s="8">
        <f t="shared" si="3"/>
        <v>136937.90000000002</v>
      </c>
      <c r="F779" s="89"/>
      <c r="G779" s="89"/>
      <c r="H779" s="14"/>
      <c r="I779" s="14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>
      <c r="A780" s="24"/>
      <c r="B780" s="24"/>
      <c r="C780" s="24"/>
      <c r="D780" s="24"/>
      <c r="E780" s="8">
        <f t="shared" si="3"/>
        <v>136937.90000000002</v>
      </c>
      <c r="F780" s="89"/>
      <c r="G780" s="89"/>
      <c r="H780" s="14"/>
      <c r="I780" s="1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>
      <c r="A781" s="24"/>
      <c r="B781" s="24"/>
      <c r="C781" s="24"/>
      <c r="D781" s="24"/>
      <c r="E781" s="8">
        <f t="shared" si="3"/>
        <v>136937.90000000002</v>
      </c>
      <c r="F781" s="89"/>
      <c r="G781" s="89"/>
      <c r="H781" s="14"/>
      <c r="I781" s="1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>
      <c r="A782" s="24"/>
      <c r="B782" s="24"/>
      <c r="C782" s="24"/>
      <c r="D782" s="24"/>
      <c r="E782" s="8">
        <f t="shared" si="3"/>
        <v>136937.90000000002</v>
      </c>
      <c r="F782" s="89"/>
      <c r="G782" s="89"/>
      <c r="H782" s="14"/>
      <c r="I782" s="1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>
      <c r="A783" s="24"/>
      <c r="B783" s="24"/>
      <c r="C783" s="24"/>
      <c r="D783" s="24"/>
      <c r="E783" s="8">
        <f t="shared" si="3"/>
        <v>136937.90000000002</v>
      </c>
      <c r="F783" s="89"/>
      <c r="G783" s="89"/>
      <c r="H783" s="14"/>
      <c r="I783" s="1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>
      <c r="A784" s="24"/>
      <c r="B784" s="24"/>
      <c r="C784" s="24"/>
      <c r="D784" s="24"/>
      <c r="E784" s="8">
        <f t="shared" si="3"/>
        <v>136937.90000000002</v>
      </c>
      <c r="F784" s="89"/>
      <c r="G784" s="89"/>
      <c r="H784" s="14"/>
      <c r="I784" s="1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>
      <c r="A785" s="24"/>
      <c r="B785" s="24"/>
      <c r="C785" s="24"/>
      <c r="D785" s="24"/>
      <c r="E785" s="8">
        <f t="shared" si="3"/>
        <v>136937.90000000002</v>
      </c>
      <c r="F785" s="89"/>
      <c r="G785" s="89"/>
      <c r="H785" s="14"/>
      <c r="I785" s="1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>
      <c r="A786" s="24"/>
      <c r="B786" s="24"/>
      <c r="C786" s="24"/>
      <c r="D786" s="24"/>
      <c r="E786" s="8">
        <f t="shared" si="3"/>
        <v>136937.90000000002</v>
      </c>
      <c r="F786" s="89"/>
      <c r="G786" s="89"/>
      <c r="H786" s="14"/>
      <c r="I786" s="1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>
      <c r="A787" s="24"/>
      <c r="B787" s="24"/>
      <c r="C787" s="24"/>
      <c r="D787" s="24"/>
      <c r="E787" s="8">
        <f t="shared" si="3"/>
        <v>136937.90000000002</v>
      </c>
      <c r="F787" s="89"/>
      <c r="G787" s="89"/>
      <c r="H787" s="14"/>
      <c r="I787" s="1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>
      <c r="A788" s="24"/>
      <c r="B788" s="24"/>
      <c r="C788" s="24"/>
      <c r="D788" s="24"/>
      <c r="E788" s="8">
        <f t="shared" si="3"/>
        <v>136937.90000000002</v>
      </c>
      <c r="F788" s="89"/>
      <c r="G788" s="89"/>
      <c r="H788" s="14"/>
      <c r="I788" s="1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>
      <c r="A789" s="24"/>
      <c r="B789" s="24"/>
      <c r="C789" s="24"/>
      <c r="D789" s="24"/>
      <c r="E789" s="8">
        <f t="shared" si="3"/>
        <v>136937.90000000002</v>
      </c>
      <c r="F789" s="89"/>
      <c r="G789" s="89"/>
      <c r="H789" s="14"/>
      <c r="I789" s="1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>
      <c r="A790" s="24"/>
      <c r="B790" s="24"/>
      <c r="C790" s="24"/>
      <c r="D790" s="24"/>
      <c r="E790" s="8">
        <f t="shared" si="3"/>
        <v>136937.90000000002</v>
      </c>
      <c r="F790" s="89"/>
      <c r="G790" s="89"/>
      <c r="H790" s="14"/>
      <c r="I790" s="14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>
      <c r="A791" s="24"/>
      <c r="B791" s="24"/>
      <c r="C791" s="24"/>
      <c r="D791" s="24"/>
      <c r="E791" s="8">
        <f t="shared" si="3"/>
        <v>136937.90000000002</v>
      </c>
      <c r="F791" s="89"/>
      <c r="G791" s="89"/>
      <c r="H791" s="14"/>
      <c r="I791" s="14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>
      <c r="A792" s="24"/>
      <c r="B792" s="24"/>
      <c r="C792" s="24"/>
      <c r="D792" s="24"/>
      <c r="E792" s="8">
        <f t="shared" si="3"/>
        <v>136937.90000000002</v>
      </c>
      <c r="F792" s="89"/>
      <c r="G792" s="89"/>
      <c r="H792" s="14"/>
      <c r="I792" s="14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>
      <c r="A793" s="24"/>
      <c r="B793" s="24"/>
      <c r="C793" s="24"/>
      <c r="D793" s="24"/>
      <c r="E793" s="8">
        <f t="shared" si="3"/>
        <v>136937.90000000002</v>
      </c>
      <c r="F793" s="89"/>
      <c r="G793" s="89"/>
      <c r="H793" s="14"/>
      <c r="I793" s="14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>
      <c r="A794" s="24"/>
      <c r="B794" s="24"/>
      <c r="C794" s="24"/>
      <c r="D794" s="24"/>
      <c r="E794" s="8">
        <f t="shared" si="3"/>
        <v>136937.90000000002</v>
      </c>
      <c r="F794" s="89"/>
      <c r="G794" s="89"/>
      <c r="H794" s="14"/>
      <c r="I794" s="14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>
      <c r="A795" s="24"/>
      <c r="B795" s="24"/>
      <c r="C795" s="24"/>
      <c r="D795" s="24"/>
      <c r="E795" s="8">
        <f t="shared" si="3"/>
        <v>136937.90000000002</v>
      </c>
      <c r="F795" s="89"/>
      <c r="G795" s="89"/>
      <c r="H795" s="14"/>
      <c r="I795" s="1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>
      <c r="A796" s="24"/>
      <c r="B796" s="24"/>
      <c r="C796" s="24"/>
      <c r="D796" s="24"/>
      <c r="E796" s="8">
        <f t="shared" si="3"/>
        <v>136937.90000000002</v>
      </c>
      <c r="F796" s="89"/>
      <c r="G796" s="89"/>
      <c r="H796" s="14"/>
      <c r="I796" s="1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>
      <c r="A797" s="24"/>
      <c r="B797" s="24"/>
      <c r="C797" s="24"/>
      <c r="D797" s="24"/>
      <c r="E797" s="8">
        <f t="shared" si="3"/>
        <v>136937.90000000002</v>
      </c>
      <c r="F797" s="89"/>
      <c r="G797" s="89"/>
      <c r="H797" s="14"/>
      <c r="I797" s="1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>
      <c r="A798" s="24"/>
      <c r="B798" s="24"/>
      <c r="C798" s="24"/>
      <c r="D798" s="24"/>
      <c r="E798" s="8">
        <f t="shared" si="3"/>
        <v>136937.90000000002</v>
      </c>
      <c r="F798" s="89"/>
      <c r="G798" s="89"/>
      <c r="H798" s="14"/>
      <c r="I798" s="1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>
      <c r="A799" s="24"/>
      <c r="B799" s="24"/>
      <c r="C799" s="24"/>
      <c r="D799" s="24"/>
      <c r="E799" s="8">
        <f t="shared" si="3"/>
        <v>136937.90000000002</v>
      </c>
      <c r="F799" s="89"/>
      <c r="G799" s="89"/>
      <c r="H799" s="14"/>
      <c r="I799" s="1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>
      <c r="A800" s="24"/>
      <c r="B800" s="24"/>
      <c r="C800" s="24"/>
      <c r="D800" s="24"/>
      <c r="E800" s="8">
        <f t="shared" si="3"/>
        <v>136937.90000000002</v>
      </c>
      <c r="F800" s="89"/>
      <c r="G800" s="89"/>
      <c r="H800" s="14"/>
      <c r="I800" s="1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>
      <c r="A801" s="24"/>
      <c r="B801" s="24"/>
      <c r="C801" s="24"/>
      <c r="D801" s="24"/>
      <c r="E801" s="8">
        <f t="shared" si="3"/>
        <v>136937.90000000002</v>
      </c>
      <c r="F801" s="89"/>
      <c r="G801" s="89"/>
      <c r="H801" s="14"/>
      <c r="I801" s="14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spans="1:29" ht="15.75" customHeight="1">
      <c r="A802" s="24"/>
      <c r="B802" s="24"/>
      <c r="C802" s="24"/>
      <c r="D802" s="24"/>
      <c r="E802" s="8">
        <f t="shared" si="3"/>
        <v>136937.90000000002</v>
      </c>
      <c r="F802" s="89"/>
      <c r="G802" s="89"/>
      <c r="H802" s="14"/>
      <c r="I802" s="1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>
      <c r="A803" s="24"/>
      <c r="B803" s="24"/>
      <c r="C803" s="24"/>
      <c r="D803" s="24"/>
      <c r="E803" s="8">
        <f t="shared" si="3"/>
        <v>136937.90000000002</v>
      </c>
      <c r="F803" s="89"/>
      <c r="G803" s="89"/>
      <c r="H803" s="14"/>
      <c r="I803" s="1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>
      <c r="A804" s="71"/>
      <c r="B804" s="24"/>
      <c r="C804" s="24"/>
      <c r="D804" s="24"/>
      <c r="E804" s="8">
        <f t="shared" si="3"/>
        <v>136937.90000000002</v>
      </c>
      <c r="F804" s="89"/>
      <c r="G804" s="89"/>
      <c r="H804" s="14"/>
      <c r="I804" s="1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>
      <c r="A805" s="71"/>
      <c r="B805" s="24"/>
      <c r="C805" s="24"/>
      <c r="D805" s="24"/>
      <c r="E805" s="8">
        <f t="shared" si="3"/>
        <v>136937.90000000002</v>
      </c>
      <c r="F805" s="89"/>
      <c r="G805" s="89"/>
      <c r="H805" s="14"/>
      <c r="I805" s="14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>
      <c r="A806" s="71"/>
      <c r="B806" s="24"/>
      <c r="C806" s="24"/>
      <c r="D806" s="24"/>
      <c r="E806" s="8">
        <f t="shared" si="3"/>
        <v>136937.90000000002</v>
      </c>
      <c r="F806" s="89"/>
      <c r="G806" s="89"/>
      <c r="H806" s="14"/>
      <c r="I806" s="14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>
      <c r="A807" s="71"/>
      <c r="B807" s="24"/>
      <c r="C807" s="24"/>
      <c r="D807" s="24"/>
      <c r="E807" s="8">
        <f t="shared" si="3"/>
        <v>136937.90000000002</v>
      </c>
      <c r="F807" s="89"/>
      <c r="G807" s="89"/>
      <c r="H807" s="14"/>
      <c r="I807" s="14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>
      <c r="A808" s="71"/>
      <c r="B808" s="24"/>
      <c r="C808" s="24"/>
      <c r="D808" s="24"/>
      <c r="E808" s="8">
        <f t="shared" si="3"/>
        <v>136937.90000000002</v>
      </c>
      <c r="F808" s="89"/>
      <c r="G808" s="89"/>
      <c r="H808" s="14"/>
      <c r="I808" s="14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>
      <c r="A809" s="24"/>
      <c r="B809" s="24"/>
      <c r="C809" s="24"/>
      <c r="D809" s="24"/>
      <c r="E809" s="8">
        <f t="shared" si="3"/>
        <v>136937.90000000002</v>
      </c>
      <c r="F809" s="89"/>
      <c r="G809" s="89"/>
      <c r="H809" s="14"/>
      <c r="I809" s="14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>
      <c r="A810" s="71"/>
      <c r="B810" s="24"/>
      <c r="C810" s="24"/>
      <c r="D810" s="24"/>
      <c r="E810" s="8">
        <f t="shared" si="3"/>
        <v>136937.90000000002</v>
      </c>
      <c r="F810" s="89"/>
      <c r="G810" s="89"/>
      <c r="H810" s="14"/>
      <c r="I810" s="14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spans="1:29" ht="15.75" customHeight="1">
      <c r="A811" s="71"/>
      <c r="B811" s="24"/>
      <c r="C811" s="24"/>
      <c r="D811" s="24"/>
      <c r="E811" s="8">
        <f t="shared" si="3"/>
        <v>136937.90000000002</v>
      </c>
      <c r="F811" s="89"/>
      <c r="G811" s="89"/>
      <c r="H811" s="14"/>
      <c r="I811" s="1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>
      <c r="A812" s="24"/>
      <c r="B812" s="24"/>
      <c r="C812" s="24"/>
      <c r="D812" s="24"/>
      <c r="E812" s="8">
        <f t="shared" si="3"/>
        <v>136937.90000000002</v>
      </c>
      <c r="F812" s="89"/>
      <c r="G812" s="89"/>
      <c r="H812" s="14"/>
      <c r="I812" s="1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>
      <c r="A813" s="71"/>
      <c r="B813" s="24"/>
      <c r="C813" s="24"/>
      <c r="D813" s="24"/>
      <c r="E813" s="8">
        <f t="shared" si="3"/>
        <v>136937.90000000002</v>
      </c>
      <c r="F813" s="89"/>
      <c r="G813" s="89"/>
      <c r="H813" s="14"/>
      <c r="I813" s="1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>
      <c r="A814" s="71"/>
      <c r="B814" s="24"/>
      <c r="C814" s="24"/>
      <c r="D814" s="24"/>
      <c r="E814" s="8">
        <f t="shared" si="3"/>
        <v>136937.90000000002</v>
      </c>
      <c r="F814" s="89"/>
      <c r="G814" s="89"/>
      <c r="H814" s="14"/>
      <c r="I814" s="14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spans="1:29" ht="15.75" customHeight="1">
      <c r="A815" s="24"/>
      <c r="B815" s="24"/>
      <c r="C815" s="24"/>
      <c r="D815" s="24"/>
      <c r="E815" s="8">
        <f t="shared" si="3"/>
        <v>136937.90000000002</v>
      </c>
      <c r="F815" s="89"/>
      <c r="G815" s="89"/>
      <c r="H815" s="14"/>
      <c r="I815" s="1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>
      <c r="A816" s="24"/>
      <c r="B816" s="24"/>
      <c r="C816" s="24"/>
      <c r="D816" s="24"/>
      <c r="E816" s="8">
        <f t="shared" si="3"/>
        <v>136937.90000000002</v>
      </c>
      <c r="F816" s="89"/>
      <c r="G816" s="89"/>
      <c r="H816" s="14"/>
      <c r="I816" s="1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>
      <c r="A817" s="24"/>
      <c r="B817" s="24"/>
      <c r="C817" s="24"/>
      <c r="D817" s="24"/>
      <c r="E817" s="8">
        <f t="shared" si="3"/>
        <v>136937.90000000002</v>
      </c>
      <c r="F817" s="89"/>
      <c r="G817" s="89"/>
      <c r="H817" s="14"/>
      <c r="I817" s="1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>
      <c r="A818" s="24"/>
      <c r="B818" s="24"/>
      <c r="C818" s="24"/>
      <c r="D818" s="24"/>
      <c r="E818" s="8">
        <f t="shared" si="3"/>
        <v>136937.90000000002</v>
      </c>
      <c r="F818" s="89"/>
      <c r="G818" s="89"/>
      <c r="H818" s="14"/>
      <c r="I818" s="1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>
      <c r="A819" s="24"/>
      <c r="B819" s="24"/>
      <c r="C819" s="24"/>
      <c r="D819" s="24"/>
      <c r="E819" s="8">
        <f t="shared" si="3"/>
        <v>136937.90000000002</v>
      </c>
      <c r="F819" s="89"/>
      <c r="G819" s="89"/>
      <c r="H819" s="14"/>
      <c r="I819" s="1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>
      <c r="A820" s="24"/>
      <c r="B820" s="24"/>
      <c r="C820" s="24"/>
      <c r="D820" s="24"/>
      <c r="E820" s="8">
        <f t="shared" si="3"/>
        <v>136937.90000000002</v>
      </c>
      <c r="F820" s="89"/>
      <c r="G820" s="89"/>
      <c r="H820" s="14"/>
      <c r="I820" s="14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>
      <c r="A821" s="24"/>
      <c r="B821" s="24"/>
      <c r="C821" s="24"/>
      <c r="D821" s="24"/>
      <c r="E821" s="8">
        <f t="shared" si="3"/>
        <v>136937.90000000002</v>
      </c>
      <c r="F821" s="89"/>
      <c r="G821" s="89"/>
      <c r="H821" s="14"/>
      <c r="I821" s="14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>
      <c r="A822" s="24"/>
      <c r="B822" s="24"/>
      <c r="C822" s="24"/>
      <c r="D822" s="24"/>
      <c r="E822" s="8">
        <f t="shared" si="3"/>
        <v>136937.90000000002</v>
      </c>
      <c r="F822" s="89"/>
      <c r="G822" s="89"/>
      <c r="H822" s="14"/>
      <c r="I822" s="14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>
      <c r="A823" s="24"/>
      <c r="B823" s="24"/>
      <c r="C823" s="24"/>
      <c r="D823" s="24"/>
      <c r="E823" s="8">
        <f t="shared" si="3"/>
        <v>136937.90000000002</v>
      </c>
      <c r="F823" s="89"/>
      <c r="G823" s="89"/>
      <c r="H823" s="14"/>
      <c r="I823" s="14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>
      <c r="A824" s="24"/>
      <c r="B824" s="24"/>
      <c r="C824" s="24"/>
      <c r="D824" s="24"/>
      <c r="E824" s="8">
        <f t="shared" si="3"/>
        <v>136937.90000000002</v>
      </c>
      <c r="F824" s="89"/>
      <c r="G824" s="89"/>
      <c r="H824" s="14"/>
      <c r="I824" s="14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>
      <c r="A825" s="24"/>
      <c r="B825" s="24"/>
      <c r="C825" s="24"/>
      <c r="D825" s="24"/>
      <c r="E825" s="8">
        <f t="shared" si="3"/>
        <v>136937.90000000002</v>
      </c>
      <c r="F825" s="89"/>
      <c r="G825" s="89"/>
      <c r="H825" s="14"/>
      <c r="I825" s="1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>
      <c r="A826" s="24"/>
      <c r="B826" s="24"/>
      <c r="C826" s="24"/>
      <c r="D826" s="24"/>
      <c r="E826" s="8">
        <f t="shared" si="3"/>
        <v>136937.90000000002</v>
      </c>
      <c r="F826" s="89"/>
      <c r="G826" s="89"/>
      <c r="H826" s="14"/>
      <c r="I826" s="1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>
      <c r="A827" s="24"/>
      <c r="B827" s="24"/>
      <c r="C827" s="24"/>
      <c r="D827" s="24"/>
      <c r="E827" s="8">
        <f t="shared" si="3"/>
        <v>136937.90000000002</v>
      </c>
      <c r="F827" s="89"/>
      <c r="G827" s="89"/>
      <c r="H827" s="14"/>
      <c r="I827" s="1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>
      <c r="A828" s="24"/>
      <c r="B828" s="24"/>
      <c r="C828" s="24"/>
      <c r="D828" s="24"/>
      <c r="E828" s="8">
        <f t="shared" si="3"/>
        <v>136937.90000000002</v>
      </c>
      <c r="F828" s="89"/>
      <c r="G828" s="89"/>
      <c r="H828" s="14"/>
      <c r="I828" s="1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>
      <c r="A829" s="24"/>
      <c r="B829" s="24"/>
      <c r="C829" s="24"/>
      <c r="D829" s="24"/>
      <c r="E829" s="8">
        <f t="shared" si="3"/>
        <v>136937.90000000002</v>
      </c>
      <c r="F829" s="89"/>
      <c r="G829" s="89"/>
      <c r="H829" s="14"/>
      <c r="I829" s="14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spans="1:29" ht="15.75" customHeight="1">
      <c r="A830" s="24"/>
      <c r="B830" s="24"/>
      <c r="C830" s="24"/>
      <c r="D830" s="24"/>
      <c r="E830" s="8">
        <f t="shared" si="3"/>
        <v>136937.90000000002</v>
      </c>
      <c r="F830" s="89"/>
      <c r="G830" s="89"/>
      <c r="H830" s="14"/>
      <c r="I830" s="1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>
      <c r="A831" s="24"/>
      <c r="B831" s="24"/>
      <c r="C831" s="24"/>
      <c r="D831" s="24"/>
      <c r="E831" s="8">
        <f t="shared" si="3"/>
        <v>136937.90000000002</v>
      </c>
      <c r="F831" s="89"/>
      <c r="G831" s="89"/>
      <c r="H831" s="14"/>
      <c r="I831" s="1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>
      <c r="A832" s="71"/>
      <c r="B832" s="24"/>
      <c r="C832" s="24"/>
      <c r="D832" s="24"/>
      <c r="E832" s="8">
        <f t="shared" si="3"/>
        <v>136937.90000000002</v>
      </c>
      <c r="F832" s="89"/>
      <c r="G832" s="89"/>
      <c r="H832" s="14"/>
      <c r="I832" s="1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>
      <c r="A833" s="71"/>
      <c r="B833" s="24"/>
      <c r="C833" s="24"/>
      <c r="D833" s="24"/>
      <c r="E833" s="8">
        <f t="shared" si="3"/>
        <v>136937.90000000002</v>
      </c>
      <c r="F833" s="89"/>
      <c r="G833" s="89"/>
      <c r="H833" s="14"/>
      <c r="I833" s="1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>
      <c r="A834" s="71"/>
      <c r="B834" s="24"/>
      <c r="C834" s="24"/>
      <c r="D834" s="24"/>
      <c r="E834" s="8">
        <f t="shared" si="3"/>
        <v>136937.90000000002</v>
      </c>
      <c r="F834" s="89"/>
      <c r="G834" s="89"/>
      <c r="H834" s="14"/>
      <c r="I834" s="1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>
      <c r="A835" s="71"/>
      <c r="B835" s="24"/>
      <c r="C835" s="24"/>
      <c r="D835" s="24"/>
      <c r="E835" s="8">
        <f t="shared" si="3"/>
        <v>136937.90000000002</v>
      </c>
      <c r="F835" s="89"/>
      <c r="G835" s="89"/>
      <c r="H835" s="14"/>
      <c r="I835" s="14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>
      <c r="A836" s="24"/>
      <c r="B836" s="24"/>
      <c r="C836" s="24"/>
      <c r="D836" s="24"/>
      <c r="E836" s="8">
        <f t="shared" si="3"/>
        <v>136937.90000000002</v>
      </c>
      <c r="F836" s="89"/>
      <c r="G836" s="89"/>
      <c r="H836" s="14"/>
      <c r="I836" s="14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>
      <c r="A837" s="24"/>
      <c r="B837" s="24"/>
      <c r="C837" s="24"/>
      <c r="D837" s="24"/>
      <c r="E837" s="8">
        <f t="shared" si="3"/>
        <v>136937.90000000002</v>
      </c>
      <c r="F837" s="89"/>
      <c r="G837" s="89"/>
      <c r="H837" s="14"/>
      <c r="I837" s="14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>
      <c r="A838" s="24"/>
      <c r="B838" s="24"/>
      <c r="C838" s="24"/>
      <c r="D838" s="24"/>
      <c r="E838" s="8">
        <f t="shared" si="3"/>
        <v>136937.90000000002</v>
      </c>
      <c r="F838" s="89"/>
      <c r="G838" s="89"/>
      <c r="H838" s="14"/>
      <c r="I838" s="14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>
      <c r="A839" s="24"/>
      <c r="B839" s="24"/>
      <c r="C839" s="24"/>
      <c r="D839" s="24"/>
      <c r="E839" s="8">
        <f t="shared" si="3"/>
        <v>136937.90000000002</v>
      </c>
      <c r="F839" s="89"/>
      <c r="G839" s="89"/>
      <c r="H839" s="14"/>
      <c r="I839" s="14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>
      <c r="A840" s="24"/>
      <c r="B840" s="24"/>
      <c r="C840" s="24"/>
      <c r="D840" s="24"/>
      <c r="E840" s="8">
        <f t="shared" si="3"/>
        <v>136937.90000000002</v>
      </c>
      <c r="F840" s="89"/>
      <c r="G840" s="89"/>
      <c r="H840" s="14"/>
      <c r="I840" s="14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>
      <c r="A841" s="24"/>
      <c r="B841" s="24"/>
      <c r="C841" s="24"/>
      <c r="D841" s="24"/>
      <c r="E841" s="8">
        <f t="shared" si="3"/>
        <v>136937.90000000002</v>
      </c>
      <c r="F841" s="89"/>
      <c r="G841" s="89"/>
      <c r="H841" s="14"/>
      <c r="I841" s="1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>
      <c r="A842" s="24"/>
      <c r="B842" s="24"/>
      <c r="C842" s="24"/>
      <c r="D842" s="24"/>
      <c r="E842" s="8">
        <f t="shared" si="3"/>
        <v>136937.90000000002</v>
      </c>
      <c r="F842" s="89"/>
      <c r="G842" s="89"/>
      <c r="H842" s="14"/>
      <c r="I842" s="1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>
      <c r="A843" s="24"/>
      <c r="B843" s="24"/>
      <c r="C843" s="24"/>
      <c r="D843" s="24"/>
      <c r="E843" s="8">
        <f t="shared" si="3"/>
        <v>136937.90000000002</v>
      </c>
      <c r="F843" s="89"/>
      <c r="G843" s="89"/>
      <c r="H843" s="14"/>
      <c r="I843" s="1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>
      <c r="A844" s="24"/>
      <c r="B844" s="24"/>
      <c r="C844" s="24"/>
      <c r="D844" s="24"/>
      <c r="E844" s="8">
        <f t="shared" si="3"/>
        <v>136937.90000000002</v>
      </c>
      <c r="F844" s="89"/>
      <c r="G844" s="89"/>
      <c r="H844" s="14"/>
      <c r="I844" s="1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>
      <c r="A845" s="24"/>
      <c r="B845" s="24"/>
      <c r="C845" s="24"/>
      <c r="D845" s="24"/>
      <c r="E845" s="8">
        <f t="shared" si="3"/>
        <v>136937.90000000002</v>
      </c>
      <c r="F845" s="89"/>
      <c r="G845" s="89"/>
      <c r="H845" s="14"/>
      <c r="I845" s="14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spans="1:29" ht="15.75" customHeight="1">
      <c r="A846" s="24"/>
      <c r="B846" s="24"/>
      <c r="C846" s="24"/>
      <c r="D846" s="24"/>
      <c r="E846" s="8">
        <f t="shared" si="3"/>
        <v>136937.90000000002</v>
      </c>
      <c r="F846" s="89"/>
      <c r="G846" s="89"/>
      <c r="H846" s="14"/>
      <c r="I846" s="1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>
      <c r="A847" s="24"/>
      <c r="B847" s="24"/>
      <c r="C847" s="24"/>
      <c r="D847" s="24"/>
      <c r="E847" s="8">
        <f t="shared" si="3"/>
        <v>136937.90000000002</v>
      </c>
      <c r="F847" s="89"/>
      <c r="G847" s="89"/>
      <c r="H847" s="14"/>
      <c r="I847" s="1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>
      <c r="A848" s="24"/>
      <c r="B848" s="24"/>
      <c r="C848" s="24"/>
      <c r="D848" s="24"/>
      <c r="E848" s="8">
        <f t="shared" si="3"/>
        <v>136937.90000000002</v>
      </c>
      <c r="F848" s="89"/>
      <c r="G848" s="89"/>
      <c r="H848" s="14"/>
      <c r="I848" s="1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>
      <c r="A849" s="24"/>
      <c r="B849" s="24"/>
      <c r="C849" s="24"/>
      <c r="D849" s="24"/>
      <c r="E849" s="8">
        <f t="shared" si="3"/>
        <v>136937.90000000002</v>
      </c>
      <c r="F849" s="89"/>
      <c r="G849" s="89"/>
      <c r="H849" s="14"/>
      <c r="I849" s="1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>
      <c r="A850" s="24"/>
      <c r="B850" s="24"/>
      <c r="C850" s="24"/>
      <c r="D850" s="24"/>
      <c r="E850" s="8">
        <f t="shared" si="3"/>
        <v>136937.90000000002</v>
      </c>
      <c r="F850" s="89"/>
      <c r="G850" s="89"/>
      <c r="H850" s="14"/>
      <c r="I850" s="1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>
      <c r="A851" s="24"/>
      <c r="B851" s="24"/>
      <c r="C851" s="24"/>
      <c r="D851" s="24"/>
      <c r="E851" s="8">
        <f t="shared" si="3"/>
        <v>136937.90000000002</v>
      </c>
      <c r="F851" s="89"/>
      <c r="G851" s="89"/>
      <c r="H851" s="14"/>
      <c r="I851" s="14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>
      <c r="A852" s="24"/>
      <c r="B852" s="24"/>
      <c r="C852" s="24"/>
      <c r="D852" s="24"/>
      <c r="E852" s="8">
        <f t="shared" si="3"/>
        <v>136937.90000000002</v>
      </c>
      <c r="F852" s="89"/>
      <c r="G852" s="89"/>
      <c r="H852" s="14"/>
      <c r="I852" s="14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>
      <c r="A853" s="24"/>
      <c r="B853" s="24"/>
      <c r="C853" s="24"/>
      <c r="D853" s="24"/>
      <c r="E853" s="8">
        <f t="shared" si="3"/>
        <v>136937.90000000002</v>
      </c>
      <c r="F853" s="89"/>
      <c r="G853" s="89"/>
      <c r="H853" s="14"/>
      <c r="I853" s="14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>
      <c r="A854" s="24"/>
      <c r="B854" s="24"/>
      <c r="C854" s="24"/>
      <c r="D854" s="24"/>
      <c r="E854" s="8">
        <f t="shared" si="3"/>
        <v>136937.90000000002</v>
      </c>
      <c r="F854" s="89"/>
      <c r="G854" s="89"/>
      <c r="H854" s="14"/>
      <c r="I854" s="14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>
      <c r="A855" s="24"/>
      <c r="B855" s="24"/>
      <c r="C855" s="24"/>
      <c r="D855" s="24"/>
      <c r="E855" s="8">
        <f t="shared" si="3"/>
        <v>136937.90000000002</v>
      </c>
      <c r="F855" s="89"/>
      <c r="G855" s="89"/>
      <c r="H855" s="14"/>
      <c r="I855" s="1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>
      <c r="A856" s="24"/>
      <c r="B856" s="24"/>
      <c r="C856" s="24"/>
      <c r="D856" s="24"/>
      <c r="E856" s="8">
        <f t="shared" si="3"/>
        <v>136937.90000000002</v>
      </c>
      <c r="F856" s="89"/>
      <c r="G856" s="89"/>
      <c r="H856" s="14"/>
      <c r="I856" s="1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>
      <c r="A857" s="24"/>
      <c r="B857" s="24"/>
      <c r="C857" s="24"/>
      <c r="D857" s="24"/>
      <c r="E857" s="8">
        <f t="shared" si="3"/>
        <v>136937.90000000002</v>
      </c>
      <c r="F857" s="89"/>
      <c r="G857" s="89"/>
      <c r="H857" s="14"/>
      <c r="I857" s="1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>
      <c r="A858" s="24"/>
      <c r="B858" s="24"/>
      <c r="C858" s="24"/>
      <c r="D858" s="24"/>
      <c r="E858" s="8">
        <f t="shared" si="3"/>
        <v>136937.90000000002</v>
      </c>
      <c r="F858" s="89"/>
      <c r="G858" s="89"/>
      <c r="H858" s="14"/>
      <c r="I858" s="1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>
      <c r="A859" s="24"/>
      <c r="B859" s="24"/>
      <c r="C859" s="24"/>
      <c r="D859" s="24"/>
      <c r="E859" s="8">
        <f t="shared" si="3"/>
        <v>136937.90000000002</v>
      </c>
      <c r="F859" s="89"/>
      <c r="G859" s="89"/>
      <c r="H859" s="14"/>
      <c r="I859" s="1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>
      <c r="A860" s="24"/>
      <c r="B860" s="24"/>
      <c r="C860" s="24"/>
      <c r="D860" s="24"/>
      <c r="E860" s="8">
        <f t="shared" si="3"/>
        <v>136937.90000000002</v>
      </c>
      <c r="F860" s="89"/>
      <c r="G860" s="89"/>
      <c r="H860" s="14"/>
      <c r="I860" s="1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>
      <c r="A861" s="24"/>
      <c r="B861" s="24"/>
      <c r="C861" s="24"/>
      <c r="D861" s="24"/>
      <c r="E861" s="8">
        <f t="shared" si="3"/>
        <v>136937.90000000002</v>
      </c>
      <c r="F861" s="89"/>
      <c r="G861" s="89"/>
      <c r="H861" s="14"/>
      <c r="I861" s="1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>
      <c r="A862" s="24"/>
      <c r="B862" s="108"/>
      <c r="C862" s="24"/>
      <c r="D862" s="24"/>
      <c r="E862" s="8">
        <f t="shared" si="3"/>
        <v>136937.90000000002</v>
      </c>
      <c r="F862" s="89"/>
      <c r="G862" s="89"/>
      <c r="H862" s="14"/>
      <c r="I862" s="1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>
      <c r="A863" s="24"/>
      <c r="B863" s="24"/>
      <c r="C863" s="24"/>
      <c r="D863" s="24"/>
      <c r="E863" s="8">
        <f t="shared" si="3"/>
        <v>136937.90000000002</v>
      </c>
      <c r="F863" s="89"/>
      <c r="G863" s="89"/>
      <c r="H863" s="14"/>
      <c r="I863" s="1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>
      <c r="A864" s="24"/>
      <c r="B864" s="24"/>
      <c r="C864" s="24"/>
      <c r="D864" s="24"/>
      <c r="E864" s="8">
        <f t="shared" si="3"/>
        <v>136937.90000000002</v>
      </c>
      <c r="F864" s="89"/>
      <c r="G864" s="89"/>
      <c r="H864" s="14"/>
      <c r="I864" s="14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spans="1:29" ht="15.75" customHeight="1">
      <c r="A865" s="24"/>
      <c r="B865" s="108"/>
      <c r="C865" s="24"/>
      <c r="D865" s="24"/>
      <c r="E865" s="8">
        <f t="shared" si="3"/>
        <v>136937.90000000002</v>
      </c>
      <c r="F865" s="89"/>
      <c r="G865" s="89"/>
      <c r="H865" s="14"/>
      <c r="I865" s="14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>
      <c r="A866" s="24"/>
      <c r="B866" s="108"/>
      <c r="C866" s="24"/>
      <c r="D866" s="24"/>
      <c r="E866" s="8">
        <f t="shared" si="3"/>
        <v>136937.90000000002</v>
      </c>
      <c r="F866" s="89"/>
      <c r="G866" s="89"/>
      <c r="H866" s="14"/>
      <c r="I866" s="14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>
      <c r="A867" s="24"/>
      <c r="B867" s="108"/>
      <c r="C867" s="24"/>
      <c r="D867" s="24"/>
      <c r="E867" s="8">
        <f t="shared" si="3"/>
        <v>136937.90000000002</v>
      </c>
      <c r="F867" s="89"/>
      <c r="G867" s="89"/>
      <c r="H867" s="14"/>
      <c r="I867" s="14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>
      <c r="A868" s="24"/>
      <c r="B868" s="108"/>
      <c r="C868" s="24"/>
      <c r="D868" s="24"/>
      <c r="E868" s="8">
        <f t="shared" si="3"/>
        <v>136937.90000000002</v>
      </c>
      <c r="F868" s="89"/>
      <c r="G868" s="89"/>
      <c r="H868" s="14"/>
      <c r="I868" s="14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>
      <c r="A869" s="24"/>
      <c r="B869" s="108"/>
      <c r="C869" s="24"/>
      <c r="D869" s="24"/>
      <c r="E869" s="8">
        <f t="shared" si="3"/>
        <v>136937.90000000002</v>
      </c>
      <c r="F869" s="89"/>
      <c r="G869" s="89"/>
      <c r="H869" s="14"/>
      <c r="I869" s="14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>
      <c r="A870" s="24"/>
      <c r="B870" s="108"/>
      <c r="C870" s="24"/>
      <c r="D870" s="24"/>
      <c r="E870" s="8">
        <f t="shared" si="3"/>
        <v>136937.90000000002</v>
      </c>
      <c r="F870" s="89"/>
      <c r="G870" s="89"/>
      <c r="H870" s="14"/>
      <c r="I870" s="1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>
      <c r="A871" s="24"/>
      <c r="B871" s="108"/>
      <c r="C871" s="24"/>
      <c r="D871" s="24"/>
      <c r="E871" s="8">
        <f t="shared" si="3"/>
        <v>136937.90000000002</v>
      </c>
      <c r="F871" s="89"/>
      <c r="G871" s="89"/>
      <c r="H871" s="14"/>
      <c r="I871" s="1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>
      <c r="A872" s="24"/>
      <c r="B872" s="108"/>
      <c r="C872" s="24"/>
      <c r="D872" s="24"/>
      <c r="E872" s="8">
        <f t="shared" si="3"/>
        <v>136937.90000000002</v>
      </c>
      <c r="F872" s="89"/>
      <c r="G872" s="89"/>
      <c r="H872" s="14"/>
      <c r="I872" s="1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>
      <c r="A873" s="24"/>
      <c r="B873" s="24"/>
      <c r="C873" s="24"/>
      <c r="D873" s="24"/>
      <c r="E873" s="8">
        <f t="shared" si="3"/>
        <v>136937.90000000002</v>
      </c>
      <c r="F873" s="89"/>
      <c r="G873" s="89"/>
      <c r="H873" s="14"/>
      <c r="I873" s="1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>
      <c r="A874" s="24"/>
      <c r="B874" s="24"/>
      <c r="C874" s="24"/>
      <c r="D874" s="24"/>
      <c r="E874" s="8">
        <f t="shared" si="3"/>
        <v>136937.90000000002</v>
      </c>
      <c r="F874" s="89"/>
      <c r="G874" s="89"/>
      <c r="H874" s="14"/>
      <c r="I874" s="1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>
      <c r="A875" s="24"/>
      <c r="B875" s="24"/>
      <c r="C875" s="24"/>
      <c r="D875" s="24"/>
      <c r="E875" s="8">
        <f t="shared" si="3"/>
        <v>136937.90000000002</v>
      </c>
      <c r="F875" s="89"/>
      <c r="G875" s="89"/>
      <c r="H875" s="14"/>
      <c r="I875" s="14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spans="1:29" ht="15.75" customHeight="1">
      <c r="A876" s="24"/>
      <c r="B876" s="24"/>
      <c r="C876" s="24"/>
      <c r="D876" s="24"/>
      <c r="E876" s="8">
        <f t="shared" si="3"/>
        <v>136937.90000000002</v>
      </c>
      <c r="F876" s="89"/>
      <c r="G876" s="89"/>
      <c r="H876" s="14"/>
      <c r="I876" s="1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>
      <c r="A877" s="24"/>
      <c r="B877" s="24"/>
      <c r="C877" s="24"/>
      <c r="D877" s="24"/>
      <c r="E877" s="8">
        <f t="shared" si="3"/>
        <v>136937.90000000002</v>
      </c>
      <c r="F877" s="89"/>
      <c r="G877" s="89"/>
      <c r="H877" s="14"/>
      <c r="I877" s="1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>
      <c r="A878" s="24"/>
      <c r="B878" s="24"/>
      <c r="C878" s="24"/>
      <c r="D878" s="24"/>
      <c r="E878" s="8">
        <f t="shared" si="3"/>
        <v>136937.90000000002</v>
      </c>
      <c r="F878" s="89"/>
      <c r="G878" s="89"/>
      <c r="H878" s="14"/>
      <c r="I878" s="1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>
      <c r="A879" s="24"/>
      <c r="B879" s="24"/>
      <c r="C879" s="24"/>
      <c r="D879" s="24"/>
      <c r="E879" s="8">
        <f t="shared" si="3"/>
        <v>136937.90000000002</v>
      </c>
      <c r="F879" s="89"/>
      <c r="G879" s="89"/>
      <c r="H879" s="14"/>
      <c r="I879" s="1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>
      <c r="A880" s="24"/>
      <c r="B880" s="24"/>
      <c r="C880" s="24"/>
      <c r="D880" s="24"/>
      <c r="E880" s="8">
        <f t="shared" si="3"/>
        <v>136937.90000000002</v>
      </c>
      <c r="F880" s="89"/>
      <c r="G880" s="89"/>
      <c r="H880" s="14"/>
      <c r="I880" s="14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>
      <c r="A881" s="24"/>
      <c r="B881" s="24"/>
      <c r="C881" s="24"/>
      <c r="D881" s="24"/>
      <c r="E881" s="8">
        <f t="shared" si="3"/>
        <v>136937.90000000002</v>
      </c>
      <c r="F881" s="89"/>
      <c r="G881" s="89"/>
      <c r="H881" s="14"/>
      <c r="I881" s="14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spans="1:29" ht="15.75" customHeight="1">
      <c r="A882" s="24"/>
      <c r="B882" s="24"/>
      <c r="C882" s="24"/>
      <c r="D882" s="24"/>
      <c r="E882" s="8">
        <f t="shared" si="3"/>
        <v>136937.90000000002</v>
      </c>
      <c r="F882" s="89"/>
      <c r="G882" s="89"/>
      <c r="H882" s="14"/>
      <c r="I882" s="14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spans="1:29" ht="15.75" customHeight="1">
      <c r="A883" s="24"/>
      <c r="B883" s="24"/>
      <c r="C883" s="24"/>
      <c r="D883" s="24"/>
      <c r="E883" s="8">
        <f t="shared" si="3"/>
        <v>136937.90000000002</v>
      </c>
      <c r="F883" s="89"/>
      <c r="G883" s="89"/>
      <c r="H883" s="14"/>
      <c r="I883" s="14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spans="1:29" ht="15.75" customHeight="1">
      <c r="A884" s="24"/>
      <c r="B884" s="24"/>
      <c r="C884" s="24"/>
      <c r="D884" s="24"/>
      <c r="E884" s="8">
        <f t="shared" si="3"/>
        <v>136937.90000000002</v>
      </c>
      <c r="F884" s="89"/>
      <c r="G884" s="89"/>
      <c r="H884" s="14"/>
      <c r="I884" s="1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>
      <c r="A885" s="24"/>
      <c r="B885" s="24"/>
      <c r="C885" s="24"/>
      <c r="D885" s="24"/>
      <c r="E885" s="8">
        <f t="shared" si="3"/>
        <v>136937.90000000002</v>
      </c>
      <c r="F885" s="89"/>
      <c r="G885" s="89"/>
      <c r="H885" s="14"/>
      <c r="I885" s="1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>
      <c r="A886" s="71"/>
      <c r="B886" s="24"/>
      <c r="C886" s="24"/>
      <c r="D886" s="24"/>
      <c r="E886" s="8">
        <f t="shared" si="3"/>
        <v>136937.90000000002</v>
      </c>
      <c r="F886" s="89"/>
      <c r="G886" s="89"/>
      <c r="H886" s="14"/>
      <c r="I886" s="1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>
      <c r="A887" s="24"/>
      <c r="B887" s="24"/>
      <c r="C887" s="24"/>
      <c r="D887" s="24"/>
      <c r="E887" s="8">
        <f t="shared" si="3"/>
        <v>136937.90000000002</v>
      </c>
      <c r="F887" s="89"/>
      <c r="G887" s="89"/>
      <c r="H887" s="14"/>
      <c r="I887" s="1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>
      <c r="A888" s="24"/>
      <c r="B888" s="24"/>
      <c r="C888" s="24"/>
      <c r="D888" s="24"/>
      <c r="E888" s="8">
        <f t="shared" si="3"/>
        <v>136937.90000000002</v>
      </c>
      <c r="F888" s="89"/>
      <c r="G888" s="89"/>
      <c r="H888" s="14"/>
      <c r="I888" s="1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>
      <c r="A889" s="24"/>
      <c r="B889" s="24"/>
      <c r="C889" s="24"/>
      <c r="D889" s="24"/>
      <c r="E889" s="8">
        <f t="shared" si="3"/>
        <v>136937.90000000002</v>
      </c>
      <c r="F889" s="89"/>
      <c r="G889" s="89"/>
      <c r="H889" s="14"/>
      <c r="I889" s="14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spans="1:29" ht="15.75" customHeight="1">
      <c r="A890" s="24"/>
      <c r="B890" s="24"/>
      <c r="C890" s="24"/>
      <c r="D890" s="24"/>
      <c r="E890" s="8">
        <f t="shared" si="3"/>
        <v>136937.90000000002</v>
      </c>
      <c r="F890" s="89"/>
      <c r="G890" s="89"/>
      <c r="H890" s="14"/>
      <c r="I890" s="1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>
      <c r="A891" s="24"/>
      <c r="B891" s="24"/>
      <c r="C891" s="24"/>
      <c r="D891" s="24"/>
      <c r="E891" s="8">
        <f t="shared" si="3"/>
        <v>136937.90000000002</v>
      </c>
      <c r="F891" s="89"/>
      <c r="G891" s="89"/>
      <c r="H891" s="14"/>
      <c r="I891" s="1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>
      <c r="A892" s="24"/>
      <c r="B892" s="24"/>
      <c r="C892" s="24"/>
      <c r="D892" s="24"/>
      <c r="E892" s="8">
        <f t="shared" si="3"/>
        <v>136937.90000000002</v>
      </c>
      <c r="F892" s="89"/>
      <c r="G892" s="89"/>
      <c r="H892" s="14"/>
      <c r="I892" s="1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>
      <c r="A893" s="24"/>
      <c r="B893" s="24"/>
      <c r="C893" s="24"/>
      <c r="D893" s="24"/>
      <c r="E893" s="8">
        <f t="shared" si="3"/>
        <v>136937.90000000002</v>
      </c>
      <c r="F893" s="89"/>
      <c r="G893" s="89"/>
      <c r="H893" s="14"/>
      <c r="I893" s="1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>
      <c r="A894" s="24"/>
      <c r="B894" s="24"/>
      <c r="C894" s="24"/>
      <c r="D894" s="24"/>
      <c r="E894" s="8">
        <f t="shared" si="3"/>
        <v>136937.90000000002</v>
      </c>
      <c r="F894" s="89"/>
      <c r="G894" s="89"/>
      <c r="H894" s="14"/>
      <c r="I894" s="14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>
      <c r="A895" s="24"/>
      <c r="B895" s="24"/>
      <c r="C895" s="24"/>
      <c r="D895" s="24"/>
      <c r="E895" s="8">
        <f t="shared" si="3"/>
        <v>136937.90000000002</v>
      </c>
      <c r="F895" s="89"/>
      <c r="G895" s="89"/>
      <c r="H895" s="14"/>
      <c r="I895" s="14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spans="1:29" ht="15.75" customHeight="1">
      <c r="A896" s="24"/>
      <c r="B896" s="24"/>
      <c r="C896" s="24"/>
      <c r="D896" s="24"/>
      <c r="E896" s="8">
        <f t="shared" si="3"/>
        <v>136937.90000000002</v>
      </c>
      <c r="F896" s="89"/>
      <c r="G896" s="89"/>
      <c r="H896" s="14"/>
      <c r="I896" s="14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>
      <c r="A897" s="24"/>
      <c r="B897" s="24"/>
      <c r="C897" s="24"/>
      <c r="D897" s="24"/>
      <c r="E897" s="8">
        <f t="shared" si="3"/>
        <v>136937.90000000002</v>
      </c>
      <c r="F897" s="89"/>
      <c r="G897" s="89"/>
      <c r="H897" s="14"/>
      <c r="I897" s="14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>
      <c r="A898" s="24"/>
      <c r="B898" s="24"/>
      <c r="C898" s="118"/>
      <c r="D898" s="24"/>
      <c r="E898" s="8">
        <f t="shared" si="3"/>
        <v>136937.90000000002</v>
      </c>
      <c r="F898" s="89"/>
      <c r="G898" s="89"/>
      <c r="H898" s="14"/>
      <c r="I898" s="14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spans="1:29" ht="15.75" customHeight="1">
      <c r="A899" s="24"/>
      <c r="B899" s="24"/>
      <c r="C899" s="118"/>
      <c r="D899" s="24"/>
      <c r="E899" s="8">
        <f t="shared" si="3"/>
        <v>136937.90000000002</v>
      </c>
      <c r="F899" s="89"/>
      <c r="G899" s="89"/>
      <c r="H899" s="14"/>
      <c r="I899" s="14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spans="1:29" ht="15.75" customHeight="1">
      <c r="A900" s="24"/>
      <c r="B900" s="24"/>
      <c r="C900" s="119"/>
      <c r="D900" s="24"/>
      <c r="E900" s="8">
        <f t="shared" si="3"/>
        <v>136937.90000000002</v>
      </c>
      <c r="F900" s="89"/>
      <c r="G900" s="89"/>
      <c r="H900" s="14"/>
      <c r="I900" s="14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spans="1:29" ht="15.75" customHeight="1">
      <c r="A901" s="24"/>
      <c r="B901" s="24"/>
      <c r="C901" s="24"/>
      <c r="D901" s="24"/>
      <c r="E901" s="8">
        <f t="shared" si="3"/>
        <v>136937.90000000002</v>
      </c>
      <c r="F901" s="89"/>
      <c r="G901" s="89"/>
      <c r="H901" s="14"/>
      <c r="I901" s="1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>
      <c r="A902" s="24"/>
      <c r="B902" s="24"/>
      <c r="C902" s="24"/>
      <c r="D902" s="24"/>
      <c r="E902" s="8">
        <f t="shared" si="3"/>
        <v>136937.90000000002</v>
      </c>
      <c r="F902" s="89"/>
      <c r="G902" s="89"/>
      <c r="H902" s="14"/>
      <c r="I902" s="1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>
      <c r="A903" s="24"/>
      <c r="B903" s="24"/>
      <c r="C903" s="24"/>
      <c r="D903" s="24"/>
      <c r="E903" s="8">
        <f t="shared" si="3"/>
        <v>136937.90000000002</v>
      </c>
      <c r="F903" s="89"/>
      <c r="G903" s="89"/>
      <c r="H903" s="14"/>
      <c r="I903" s="1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>
      <c r="A904" s="24"/>
      <c r="B904" s="24"/>
      <c r="C904" s="24"/>
      <c r="D904" s="24"/>
      <c r="E904" s="8">
        <f t="shared" si="3"/>
        <v>136937.90000000002</v>
      </c>
      <c r="F904" s="89"/>
      <c r="G904" s="89"/>
      <c r="H904" s="14"/>
      <c r="I904" s="1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>
      <c r="A905" s="24"/>
      <c r="B905" s="24"/>
      <c r="C905" s="24"/>
      <c r="D905" s="24"/>
      <c r="E905" s="8">
        <f t="shared" si="3"/>
        <v>136937.90000000002</v>
      </c>
      <c r="F905" s="89"/>
      <c r="G905" s="89"/>
      <c r="H905" s="14"/>
      <c r="I905" s="1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>
      <c r="A906" s="24"/>
      <c r="B906" s="24"/>
      <c r="C906" s="24"/>
      <c r="D906" s="24"/>
      <c r="E906" s="8">
        <f t="shared" si="3"/>
        <v>136937.90000000002</v>
      </c>
      <c r="F906" s="89"/>
      <c r="G906" s="89"/>
      <c r="H906" s="14"/>
      <c r="I906" s="1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>
      <c r="A907" s="24"/>
      <c r="B907" s="24"/>
      <c r="C907" s="24"/>
      <c r="D907" s="24"/>
      <c r="E907" s="8">
        <f t="shared" si="3"/>
        <v>136937.90000000002</v>
      </c>
      <c r="F907" s="89"/>
      <c r="G907" s="89"/>
      <c r="H907" s="14"/>
      <c r="I907" s="14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spans="1:29" ht="15.75" customHeight="1">
      <c r="A908" s="24"/>
      <c r="B908" s="24"/>
      <c r="C908" s="24"/>
      <c r="D908" s="24"/>
      <c r="E908" s="8">
        <f t="shared" si="3"/>
        <v>136937.90000000002</v>
      </c>
      <c r="F908" s="89"/>
      <c r="G908" s="89"/>
      <c r="H908" s="14"/>
      <c r="I908" s="14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>
      <c r="A909" s="24"/>
      <c r="B909" s="24"/>
      <c r="C909" s="24"/>
      <c r="D909" s="24"/>
      <c r="E909" s="8">
        <f t="shared" si="3"/>
        <v>136937.90000000002</v>
      </c>
      <c r="F909" s="89"/>
      <c r="G909" s="89"/>
      <c r="H909" s="14"/>
      <c r="I909" s="14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>
      <c r="A910" s="24"/>
      <c r="B910" s="24"/>
      <c r="C910" s="24"/>
      <c r="D910" s="24"/>
      <c r="E910" s="8">
        <f t="shared" si="3"/>
        <v>136937.90000000002</v>
      </c>
      <c r="F910" s="89"/>
      <c r="G910" s="89"/>
      <c r="H910" s="14"/>
      <c r="I910" s="14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>
      <c r="A911" s="24"/>
      <c r="B911" s="24"/>
      <c r="C911" s="24"/>
      <c r="D911" s="24"/>
      <c r="E911" s="8">
        <f t="shared" si="3"/>
        <v>136937.90000000002</v>
      </c>
      <c r="F911" s="89"/>
      <c r="G911" s="89"/>
      <c r="H911" s="14"/>
      <c r="I911" s="14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>
      <c r="A912" s="71"/>
      <c r="B912" s="24"/>
      <c r="C912" s="24"/>
      <c r="D912" s="24"/>
      <c r="E912" s="8">
        <f t="shared" si="3"/>
        <v>136937.90000000002</v>
      </c>
      <c r="F912" s="89"/>
      <c r="G912" s="89"/>
      <c r="H912" s="14"/>
      <c r="I912" s="14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>
      <c r="A913" s="24"/>
      <c r="B913" s="24"/>
      <c r="C913" s="24"/>
      <c r="D913" s="24"/>
      <c r="E913" s="8">
        <f t="shared" si="3"/>
        <v>136937.90000000002</v>
      </c>
      <c r="F913" s="89"/>
      <c r="G913" s="89"/>
      <c r="H913" s="14"/>
      <c r="I913" s="1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>
      <c r="A914" s="24"/>
      <c r="B914" s="24"/>
      <c r="C914" s="24"/>
      <c r="D914" s="24"/>
      <c r="E914" s="8">
        <f t="shared" si="3"/>
        <v>136937.90000000002</v>
      </c>
      <c r="F914" s="89"/>
      <c r="G914" s="89"/>
      <c r="H914" s="14"/>
      <c r="I914" s="1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>
      <c r="A915" s="24"/>
      <c r="B915" s="24"/>
      <c r="C915" s="24"/>
      <c r="D915" s="24"/>
      <c r="E915" s="8">
        <f t="shared" si="3"/>
        <v>136937.90000000002</v>
      </c>
      <c r="F915" s="89"/>
      <c r="G915" s="89"/>
      <c r="H915" s="14"/>
      <c r="I915" s="1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>
      <c r="A916" s="24"/>
      <c r="B916" s="24"/>
      <c r="C916" s="24"/>
      <c r="D916" s="24"/>
      <c r="E916" s="8">
        <f t="shared" si="3"/>
        <v>136937.90000000002</v>
      </c>
      <c r="F916" s="89"/>
      <c r="G916" s="89"/>
      <c r="H916" s="14"/>
      <c r="I916" s="1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>
      <c r="A917" s="24"/>
      <c r="B917" s="24"/>
      <c r="C917" s="24"/>
      <c r="D917" s="24"/>
      <c r="E917" s="8">
        <f t="shared" si="3"/>
        <v>136937.90000000002</v>
      </c>
      <c r="F917" s="89"/>
      <c r="G917" s="89"/>
      <c r="H917" s="14"/>
      <c r="I917" s="1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>
      <c r="A918" s="24"/>
      <c r="B918" s="24"/>
      <c r="C918" s="24"/>
      <c r="D918" s="24"/>
      <c r="E918" s="8">
        <f t="shared" si="3"/>
        <v>136937.90000000002</v>
      </c>
      <c r="F918" s="89"/>
      <c r="G918" s="89"/>
      <c r="H918" s="14"/>
      <c r="I918" s="14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spans="1:29" ht="15.75" customHeight="1">
      <c r="A919" s="24"/>
      <c r="B919" s="120"/>
      <c r="C919" s="24"/>
      <c r="D919" s="24"/>
      <c r="E919" s="8">
        <f t="shared" si="3"/>
        <v>136937.90000000002</v>
      </c>
      <c r="F919" s="89"/>
      <c r="G919" s="89"/>
      <c r="H919" s="14"/>
      <c r="I919" s="1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>
      <c r="A920" s="24"/>
      <c r="B920" s="24"/>
      <c r="C920" s="24"/>
      <c r="D920" s="24"/>
      <c r="E920" s="8">
        <f t="shared" si="3"/>
        <v>136937.90000000002</v>
      </c>
      <c r="F920" s="89"/>
      <c r="G920" s="89"/>
      <c r="H920" s="14"/>
      <c r="I920" s="1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>
      <c r="A921" s="71"/>
      <c r="B921" s="24"/>
      <c r="C921" s="24"/>
      <c r="D921" s="24"/>
      <c r="E921" s="8">
        <f t="shared" si="3"/>
        <v>136937.90000000002</v>
      </c>
      <c r="F921" s="89"/>
      <c r="G921" s="89"/>
      <c r="H921" s="14"/>
      <c r="I921" s="1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>
      <c r="A922" s="71"/>
      <c r="B922" s="24"/>
      <c r="C922" s="24"/>
      <c r="D922" s="24"/>
      <c r="E922" s="8">
        <f t="shared" si="3"/>
        <v>136937.90000000002</v>
      </c>
      <c r="F922" s="89"/>
      <c r="G922" s="89"/>
      <c r="H922" s="14"/>
      <c r="I922" s="1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>
      <c r="A923" s="71"/>
      <c r="B923" s="24"/>
      <c r="C923" s="24"/>
      <c r="D923" s="24"/>
      <c r="E923" s="8">
        <f t="shared" si="3"/>
        <v>136937.90000000002</v>
      </c>
      <c r="F923" s="89"/>
      <c r="G923" s="89"/>
      <c r="H923" s="14"/>
      <c r="I923" s="14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>
      <c r="A924" s="24"/>
      <c r="B924" s="24"/>
      <c r="C924" s="24"/>
      <c r="D924" s="24"/>
      <c r="E924" s="8">
        <f t="shared" si="3"/>
        <v>136937.90000000002</v>
      </c>
      <c r="F924" s="89"/>
      <c r="G924" s="89"/>
      <c r="H924" s="14"/>
      <c r="I924" s="14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>
      <c r="A925" s="24"/>
      <c r="B925" s="24"/>
      <c r="C925" s="24"/>
      <c r="D925" s="24"/>
      <c r="E925" s="8">
        <f t="shared" si="3"/>
        <v>136937.90000000002</v>
      </c>
      <c r="F925" s="89"/>
      <c r="G925" s="89"/>
      <c r="H925" s="14"/>
      <c r="I925" s="14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>
      <c r="A926" s="24"/>
      <c r="B926" s="24"/>
      <c r="C926" s="24"/>
      <c r="D926" s="24"/>
      <c r="E926" s="8">
        <f t="shared" si="3"/>
        <v>136937.90000000002</v>
      </c>
      <c r="F926" s="89"/>
      <c r="G926" s="89"/>
      <c r="H926" s="14"/>
      <c r="I926" s="14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>
      <c r="A927" s="24"/>
      <c r="B927" s="24"/>
      <c r="C927" s="24"/>
      <c r="D927" s="24"/>
      <c r="E927" s="8">
        <f t="shared" si="3"/>
        <v>136937.90000000002</v>
      </c>
      <c r="F927" s="89"/>
      <c r="G927" s="89"/>
      <c r="H927" s="14"/>
      <c r="I927" s="14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>
      <c r="A928" s="24"/>
      <c r="B928" s="24"/>
      <c r="C928" s="24"/>
      <c r="D928" s="24"/>
      <c r="E928" s="8">
        <f t="shared" si="3"/>
        <v>136937.90000000002</v>
      </c>
      <c r="F928" s="89"/>
      <c r="G928" s="89"/>
      <c r="H928" s="14"/>
      <c r="I928" s="1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>
      <c r="A929" s="24"/>
      <c r="B929" s="24"/>
      <c r="C929" s="24"/>
      <c r="D929" s="24"/>
      <c r="E929" s="8">
        <f t="shared" si="3"/>
        <v>136937.90000000002</v>
      </c>
      <c r="F929" s="89"/>
      <c r="G929" s="89"/>
      <c r="H929" s="14"/>
      <c r="I929" s="1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>
      <c r="A930" s="24"/>
      <c r="B930" s="24"/>
      <c r="C930" s="24"/>
      <c r="D930" s="24"/>
      <c r="E930" s="8">
        <f t="shared" si="3"/>
        <v>136937.90000000002</v>
      </c>
      <c r="F930" s="89"/>
      <c r="G930" s="89"/>
      <c r="H930" s="14"/>
      <c r="I930" s="1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>
      <c r="A931" s="24"/>
      <c r="B931" s="24"/>
      <c r="C931" s="24"/>
      <c r="D931" s="24"/>
      <c r="E931" s="8">
        <f t="shared" si="3"/>
        <v>136937.90000000002</v>
      </c>
      <c r="F931" s="89"/>
      <c r="G931" s="89"/>
      <c r="H931" s="14"/>
      <c r="I931" s="1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>
      <c r="A932" s="24"/>
      <c r="B932" s="24"/>
      <c r="C932" s="24"/>
      <c r="D932" s="24"/>
      <c r="E932" s="8">
        <f t="shared" si="3"/>
        <v>136937.90000000002</v>
      </c>
      <c r="F932" s="89"/>
      <c r="G932" s="89"/>
      <c r="H932" s="14"/>
      <c r="I932" s="1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>
      <c r="A933" s="24"/>
      <c r="B933" s="24"/>
      <c r="C933" s="24"/>
      <c r="D933" s="24"/>
      <c r="E933" s="8">
        <f t="shared" si="3"/>
        <v>136937.90000000002</v>
      </c>
      <c r="F933" s="89"/>
      <c r="G933" s="89"/>
      <c r="H933" s="14"/>
      <c r="I933" s="1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>
      <c r="A934" s="24"/>
      <c r="B934" s="24"/>
      <c r="C934" s="24"/>
      <c r="D934" s="24"/>
      <c r="E934" s="8">
        <f t="shared" si="3"/>
        <v>136937.90000000002</v>
      </c>
      <c r="F934" s="89"/>
      <c r="G934" s="89"/>
      <c r="H934" s="14"/>
      <c r="I934" s="14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>
      <c r="A935" s="24"/>
      <c r="B935" s="108"/>
      <c r="C935" s="24"/>
      <c r="D935" s="24"/>
      <c r="E935" s="8">
        <f t="shared" si="3"/>
        <v>136937.90000000002</v>
      </c>
      <c r="F935" s="89"/>
      <c r="G935" s="89"/>
      <c r="H935" s="14"/>
      <c r="I935" s="14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>
      <c r="A936" s="24"/>
      <c r="B936" s="24"/>
      <c r="C936" s="24"/>
      <c r="D936" s="24"/>
      <c r="E936" s="8">
        <f t="shared" si="3"/>
        <v>136937.90000000002</v>
      </c>
      <c r="F936" s="89"/>
      <c r="G936" s="89"/>
      <c r="H936" s="14"/>
      <c r="I936" s="14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>
      <c r="A937" s="24"/>
      <c r="B937" s="24"/>
      <c r="C937" s="24"/>
      <c r="D937" s="24"/>
      <c r="E937" s="8">
        <f t="shared" si="3"/>
        <v>136937.90000000002</v>
      </c>
      <c r="F937" s="89"/>
      <c r="G937" s="89"/>
      <c r="H937" s="14"/>
      <c r="I937" s="14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>
      <c r="A938" s="24"/>
      <c r="B938" s="24"/>
      <c r="C938" s="24"/>
      <c r="D938" s="24"/>
      <c r="E938" s="8">
        <f t="shared" si="3"/>
        <v>136937.90000000002</v>
      </c>
      <c r="F938" s="89"/>
      <c r="G938" s="89"/>
      <c r="H938" s="14"/>
      <c r="I938" s="14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>
      <c r="A939" s="24"/>
      <c r="B939" s="24"/>
      <c r="C939" s="24"/>
      <c r="D939" s="24"/>
      <c r="E939" s="8">
        <f t="shared" si="3"/>
        <v>136937.90000000002</v>
      </c>
      <c r="F939" s="89"/>
      <c r="G939" s="89"/>
      <c r="H939" s="14"/>
      <c r="I939" s="14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>
      <c r="A940" s="24"/>
      <c r="B940" s="24"/>
      <c r="C940" s="24"/>
      <c r="D940" s="24"/>
      <c r="E940" s="8">
        <f t="shared" si="3"/>
        <v>136937.90000000002</v>
      </c>
      <c r="F940" s="89"/>
      <c r="G940" s="89"/>
      <c r="H940" s="14"/>
      <c r="I940" s="14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>
      <c r="A941" s="24"/>
      <c r="B941" s="24"/>
      <c r="C941" s="24"/>
      <c r="D941" s="24"/>
      <c r="E941" s="8">
        <f t="shared" si="3"/>
        <v>136937.90000000002</v>
      </c>
      <c r="F941" s="89"/>
      <c r="G941" s="89"/>
      <c r="H941" s="14"/>
      <c r="I941" s="14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>
      <c r="A942" s="24"/>
      <c r="B942" s="24"/>
      <c r="C942" s="24"/>
      <c r="D942" s="24"/>
      <c r="E942" s="8">
        <f t="shared" si="3"/>
        <v>136937.90000000002</v>
      </c>
      <c r="F942" s="89"/>
      <c r="G942" s="89"/>
      <c r="H942" s="14"/>
      <c r="I942" s="14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>
      <c r="A943" s="24"/>
      <c r="B943" s="24"/>
      <c r="C943" s="24"/>
      <c r="D943" s="24"/>
      <c r="E943" s="8">
        <f t="shared" si="3"/>
        <v>136937.90000000002</v>
      </c>
      <c r="F943" s="89"/>
      <c r="G943" s="89"/>
      <c r="H943" s="14"/>
      <c r="I943" s="14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spans="1:29" ht="15.75" customHeight="1">
      <c r="A944" s="24"/>
      <c r="B944" s="24"/>
      <c r="C944" s="24"/>
      <c r="D944" s="24"/>
      <c r="E944" s="8">
        <f t="shared" si="3"/>
        <v>136937.90000000002</v>
      </c>
      <c r="F944" s="89"/>
      <c r="G944" s="89"/>
      <c r="H944" s="14"/>
      <c r="I944" s="14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>
      <c r="A945" s="24"/>
      <c r="B945" s="24"/>
      <c r="C945" s="24"/>
      <c r="D945" s="24"/>
      <c r="E945" s="8">
        <f t="shared" si="3"/>
        <v>136937.90000000002</v>
      </c>
      <c r="F945" s="89"/>
      <c r="G945" s="89"/>
      <c r="H945" s="14"/>
      <c r="I945" s="14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>
      <c r="A946" s="24"/>
      <c r="B946" s="24"/>
      <c r="C946" s="24"/>
      <c r="D946" s="24"/>
      <c r="E946" s="8">
        <f t="shared" si="3"/>
        <v>136937.90000000002</v>
      </c>
      <c r="F946" s="89"/>
      <c r="G946" s="89"/>
      <c r="H946" s="14"/>
      <c r="I946" s="14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>
      <c r="A947" s="24"/>
      <c r="B947" s="24"/>
      <c r="C947" s="24"/>
      <c r="D947" s="24"/>
      <c r="E947" s="8">
        <f t="shared" si="3"/>
        <v>136937.90000000002</v>
      </c>
      <c r="F947" s="89"/>
      <c r="G947" s="89"/>
      <c r="H947" s="14"/>
      <c r="I947" s="14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>
      <c r="A948" s="24"/>
      <c r="B948" s="24"/>
      <c r="C948" s="24"/>
      <c r="D948" s="24"/>
      <c r="E948" s="8">
        <f t="shared" si="3"/>
        <v>136937.90000000002</v>
      </c>
      <c r="F948" s="89"/>
      <c r="G948" s="89"/>
      <c r="H948" s="14"/>
      <c r="I948" s="14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>
      <c r="A949" s="24"/>
      <c r="B949" s="24"/>
      <c r="C949" s="24"/>
      <c r="D949" s="24"/>
      <c r="E949" s="8">
        <f t="shared" si="3"/>
        <v>136937.90000000002</v>
      </c>
      <c r="F949" s="89"/>
      <c r="G949" s="89"/>
      <c r="H949" s="14"/>
      <c r="I949" s="14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>
      <c r="A950" s="24"/>
      <c r="B950" s="24"/>
      <c r="C950" s="24"/>
      <c r="D950" s="24"/>
      <c r="E950" s="8">
        <f t="shared" si="3"/>
        <v>136937.90000000002</v>
      </c>
      <c r="F950" s="89"/>
      <c r="G950" s="89"/>
      <c r="H950" s="14"/>
      <c r="I950" s="14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>
      <c r="A951" s="24"/>
      <c r="B951" s="24"/>
      <c r="C951" s="24"/>
      <c r="D951" s="24"/>
      <c r="E951" s="8">
        <f t="shared" si="3"/>
        <v>136937.90000000002</v>
      </c>
      <c r="F951" s="89"/>
      <c r="G951" s="89"/>
      <c r="H951" s="14"/>
      <c r="I951" s="14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>
      <c r="A952" s="24"/>
      <c r="B952" s="24"/>
      <c r="C952" s="24"/>
      <c r="D952" s="24"/>
      <c r="E952" s="8">
        <f t="shared" si="3"/>
        <v>136937.90000000002</v>
      </c>
      <c r="F952" s="89"/>
      <c r="G952" s="89"/>
      <c r="H952" s="14"/>
      <c r="I952" s="14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>
      <c r="A953" s="24"/>
      <c r="B953" s="24"/>
      <c r="C953" s="24"/>
      <c r="D953" s="24"/>
      <c r="E953" s="8">
        <f t="shared" si="3"/>
        <v>136937.90000000002</v>
      </c>
      <c r="F953" s="89"/>
      <c r="G953" s="89"/>
      <c r="H953" s="14"/>
      <c r="I953" s="14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>
      <c r="A954" s="24"/>
      <c r="B954" s="24"/>
      <c r="C954" s="24"/>
      <c r="D954" s="24"/>
      <c r="E954" s="8">
        <f t="shared" si="3"/>
        <v>136937.90000000002</v>
      </c>
      <c r="F954" s="89"/>
      <c r="G954" s="89"/>
      <c r="H954" s="14"/>
      <c r="I954" s="14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>
      <c r="A955" s="24"/>
      <c r="B955" s="24"/>
      <c r="C955" s="24"/>
      <c r="D955" s="24"/>
      <c r="E955" s="8">
        <f t="shared" si="3"/>
        <v>136937.90000000002</v>
      </c>
      <c r="F955" s="89"/>
      <c r="G955" s="89"/>
      <c r="H955" s="14"/>
      <c r="I955" s="14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>
      <c r="A956" s="24"/>
      <c r="B956" s="24"/>
      <c r="C956" s="24"/>
      <c r="D956" s="24"/>
      <c r="E956" s="8">
        <f t="shared" si="3"/>
        <v>136937.90000000002</v>
      </c>
      <c r="F956" s="89"/>
      <c r="G956" s="89"/>
      <c r="H956" s="14"/>
      <c r="I956" s="14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>
      <c r="A957" s="24"/>
      <c r="B957" s="24"/>
      <c r="C957" s="24"/>
      <c r="D957" s="24"/>
      <c r="E957" s="8">
        <f t="shared" si="3"/>
        <v>136937.90000000002</v>
      </c>
      <c r="F957" s="89"/>
      <c r="G957" s="89"/>
      <c r="H957" s="14"/>
      <c r="I957" s="14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>
      <c r="A958" s="24"/>
      <c r="B958" s="24"/>
      <c r="C958" s="24"/>
      <c r="D958" s="24"/>
      <c r="E958" s="8">
        <f t="shared" si="3"/>
        <v>136937.90000000002</v>
      </c>
      <c r="F958" s="89"/>
      <c r="G958" s="89"/>
      <c r="H958" s="14"/>
      <c r="I958" s="14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>
      <c r="A959" s="24"/>
      <c r="B959" s="24"/>
      <c r="C959" s="24"/>
      <c r="D959" s="24"/>
      <c r="E959" s="8">
        <f t="shared" si="3"/>
        <v>136937.90000000002</v>
      </c>
      <c r="F959" s="89"/>
      <c r="G959" s="89"/>
      <c r="H959" s="14"/>
      <c r="I959" s="14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>
      <c r="A960" s="24"/>
      <c r="B960" s="24"/>
      <c r="C960" s="24"/>
      <c r="D960" s="24"/>
      <c r="E960" s="8">
        <f t="shared" si="3"/>
        <v>136937.90000000002</v>
      </c>
      <c r="F960" s="89"/>
      <c r="G960" s="89"/>
      <c r="H960" s="14"/>
      <c r="I960" s="14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>
      <c r="A961" s="24"/>
      <c r="B961" s="24"/>
      <c r="C961" s="24"/>
      <c r="D961" s="24"/>
      <c r="E961" s="8">
        <f t="shared" si="3"/>
        <v>136937.90000000002</v>
      </c>
      <c r="F961" s="89"/>
      <c r="G961" s="89"/>
      <c r="H961" s="14"/>
      <c r="I961" s="14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>
      <c r="A962" s="24"/>
      <c r="B962" s="24"/>
      <c r="C962" s="24"/>
      <c r="D962" s="24"/>
      <c r="E962" s="8">
        <f t="shared" si="3"/>
        <v>136937.90000000002</v>
      </c>
      <c r="F962" s="89"/>
      <c r="G962" s="89"/>
      <c r="H962" s="14"/>
      <c r="I962" s="14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>
      <c r="A963" s="24"/>
      <c r="B963" s="24"/>
      <c r="C963" s="24"/>
      <c r="D963" s="24"/>
      <c r="E963" s="8">
        <f t="shared" si="3"/>
        <v>136937.90000000002</v>
      </c>
      <c r="F963" s="89"/>
      <c r="G963" s="89"/>
      <c r="H963" s="14"/>
      <c r="I963" s="14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>
      <c r="A964" s="24"/>
      <c r="B964" s="24"/>
      <c r="C964" s="24"/>
      <c r="D964" s="24"/>
      <c r="E964" s="8">
        <f t="shared" si="3"/>
        <v>136937.90000000002</v>
      </c>
      <c r="F964" s="89"/>
      <c r="G964" s="89"/>
      <c r="H964" s="14"/>
      <c r="I964" s="14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>
      <c r="A965" s="24"/>
      <c r="B965" s="24"/>
      <c r="C965" s="24"/>
      <c r="D965" s="24"/>
      <c r="E965" s="8">
        <f t="shared" si="3"/>
        <v>136937.90000000002</v>
      </c>
      <c r="F965" s="89"/>
      <c r="G965" s="89"/>
      <c r="H965" s="14"/>
      <c r="I965" s="14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>
      <c r="A966" s="24"/>
      <c r="B966" s="24"/>
      <c r="C966" s="24"/>
      <c r="D966" s="24"/>
      <c r="E966" s="8">
        <f t="shared" si="3"/>
        <v>136937.90000000002</v>
      </c>
      <c r="F966" s="89"/>
      <c r="G966" s="89"/>
      <c r="H966" s="14"/>
      <c r="I966" s="14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>
      <c r="A967" s="24"/>
      <c r="B967" s="24"/>
      <c r="C967" s="24"/>
      <c r="D967" s="24"/>
      <c r="E967" s="8">
        <f t="shared" si="3"/>
        <v>136937.90000000002</v>
      </c>
      <c r="F967" s="89"/>
      <c r="G967" s="89"/>
      <c r="H967" s="14"/>
      <c r="I967" s="14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>
      <c r="A968" s="24"/>
      <c r="B968" s="24"/>
      <c r="C968" s="24"/>
      <c r="D968" s="24"/>
      <c r="E968" s="8">
        <f t="shared" si="3"/>
        <v>136937.90000000002</v>
      </c>
      <c r="F968" s="89"/>
      <c r="G968" s="89"/>
      <c r="H968" s="14"/>
      <c r="I968" s="14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>
      <c r="A969" s="24"/>
      <c r="B969" s="24"/>
      <c r="C969" s="24"/>
      <c r="D969" s="24"/>
      <c r="E969" s="8">
        <f t="shared" si="3"/>
        <v>136937.90000000002</v>
      </c>
      <c r="F969" s="89"/>
      <c r="G969" s="89"/>
      <c r="H969" s="14"/>
      <c r="I969" s="14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>
      <c r="A970" s="24"/>
      <c r="B970" s="24"/>
      <c r="C970" s="24"/>
      <c r="D970" s="24"/>
      <c r="E970" s="8">
        <f t="shared" si="3"/>
        <v>136937.90000000002</v>
      </c>
      <c r="F970" s="89"/>
      <c r="G970" s="89"/>
      <c r="H970" s="14"/>
      <c r="I970" s="14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>
      <c r="A971" s="24"/>
      <c r="B971" s="24"/>
      <c r="C971" s="24"/>
      <c r="D971" s="24"/>
      <c r="E971" s="8">
        <f t="shared" si="3"/>
        <v>136937.90000000002</v>
      </c>
      <c r="F971" s="89"/>
      <c r="G971" s="89"/>
      <c r="H971" s="14"/>
      <c r="I971" s="14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>
      <c r="A972" s="24"/>
      <c r="B972" s="24"/>
      <c r="C972" s="24"/>
      <c r="D972" s="24"/>
      <c r="E972" s="8">
        <f t="shared" si="3"/>
        <v>136937.90000000002</v>
      </c>
      <c r="F972" s="89"/>
      <c r="G972" s="89"/>
      <c r="H972" s="14"/>
      <c r="I972" s="14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>
      <c r="A973" s="24"/>
      <c r="B973" s="24"/>
      <c r="C973" s="24"/>
      <c r="D973" s="24"/>
      <c r="E973" s="8">
        <f t="shared" si="3"/>
        <v>136937.90000000002</v>
      </c>
      <c r="F973" s="89"/>
      <c r="G973" s="89"/>
      <c r="H973" s="14"/>
      <c r="I973" s="14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>
      <c r="A974" s="24"/>
      <c r="B974" s="24"/>
      <c r="C974" s="24"/>
      <c r="D974" s="24"/>
      <c r="E974" s="8">
        <f t="shared" si="3"/>
        <v>136937.90000000002</v>
      </c>
      <c r="F974" s="89"/>
      <c r="G974" s="89"/>
      <c r="H974" s="14"/>
      <c r="I974" s="14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>
      <c r="A975" s="24"/>
      <c r="B975" s="24"/>
      <c r="C975" s="24"/>
      <c r="D975" s="24"/>
      <c r="E975" s="8">
        <f t="shared" si="3"/>
        <v>136937.90000000002</v>
      </c>
      <c r="F975" s="89"/>
      <c r="G975" s="89"/>
      <c r="H975" s="14"/>
      <c r="I975" s="14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>
      <c r="A976" s="24"/>
      <c r="B976" s="24"/>
      <c r="C976" s="24"/>
      <c r="D976" s="24"/>
      <c r="E976" s="8">
        <f t="shared" si="3"/>
        <v>136937.90000000002</v>
      </c>
      <c r="F976" s="89"/>
      <c r="G976" s="89"/>
      <c r="H976" s="14"/>
      <c r="I976" s="14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>
      <c r="A977" s="71"/>
      <c r="B977" s="24"/>
      <c r="C977" s="24"/>
      <c r="D977" s="24"/>
      <c r="E977" s="8">
        <f t="shared" si="3"/>
        <v>136937.90000000002</v>
      </c>
      <c r="F977" s="89"/>
      <c r="G977" s="89"/>
      <c r="H977" s="14"/>
      <c r="I977" s="14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>
      <c r="A978" s="24"/>
      <c r="B978" s="24"/>
      <c r="C978" s="24"/>
      <c r="D978" s="24"/>
      <c r="E978" s="8">
        <f t="shared" si="3"/>
        <v>136937.90000000002</v>
      </c>
      <c r="F978" s="89"/>
      <c r="G978" s="89"/>
      <c r="H978" s="14"/>
      <c r="I978" s="14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>
      <c r="A979" s="24"/>
      <c r="B979" s="24"/>
      <c r="C979" s="24"/>
      <c r="D979" s="24"/>
      <c r="E979" s="8">
        <f t="shared" si="3"/>
        <v>136937.90000000002</v>
      </c>
      <c r="F979" s="89"/>
      <c r="G979" s="89"/>
      <c r="H979" s="14"/>
      <c r="I979" s="14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spans="1:29" ht="15.75" customHeight="1">
      <c r="A980" s="24"/>
      <c r="B980" s="24"/>
      <c r="C980" s="24"/>
      <c r="D980" s="24"/>
      <c r="E980" s="8">
        <f t="shared" si="3"/>
        <v>136937.90000000002</v>
      </c>
      <c r="F980" s="89"/>
      <c r="G980" s="89"/>
      <c r="H980" s="14"/>
      <c r="I980" s="14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spans="1:29" ht="15.75" customHeight="1">
      <c r="A981" s="24"/>
      <c r="B981" s="24"/>
      <c r="C981" s="24"/>
      <c r="D981" s="24"/>
      <c r="E981" s="8">
        <f t="shared" si="3"/>
        <v>136937.90000000002</v>
      </c>
      <c r="F981" s="89"/>
      <c r="G981" s="89"/>
      <c r="H981" s="14"/>
      <c r="I981" s="14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spans="1:29" ht="15.75" customHeight="1">
      <c r="A982" s="24"/>
      <c r="B982" s="24"/>
      <c r="C982" s="24"/>
      <c r="D982" s="24"/>
      <c r="E982" s="8">
        <f t="shared" si="3"/>
        <v>136937.90000000002</v>
      </c>
      <c r="F982" s="89"/>
      <c r="G982" s="89"/>
      <c r="H982" s="14"/>
      <c r="I982" s="14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spans="1:29" ht="15.75" customHeight="1">
      <c r="A983" s="24"/>
      <c r="B983" s="24"/>
      <c r="C983" s="24"/>
      <c r="D983" s="24"/>
      <c r="E983" s="8">
        <f t="shared" si="3"/>
        <v>136937.90000000002</v>
      </c>
      <c r="F983" s="89"/>
      <c r="G983" s="89"/>
      <c r="H983" s="14"/>
      <c r="I983" s="14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spans="1:29" ht="15.75" customHeight="1">
      <c r="A984" s="24"/>
      <c r="B984" s="24"/>
      <c r="C984" s="24"/>
      <c r="D984" s="24"/>
      <c r="E984" s="8">
        <f t="shared" si="3"/>
        <v>136937.90000000002</v>
      </c>
      <c r="F984" s="89"/>
      <c r="G984" s="89"/>
      <c r="H984" s="14"/>
      <c r="I984" s="14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>
      <c r="A985" s="24"/>
      <c r="B985" s="24"/>
      <c r="C985" s="24"/>
      <c r="D985" s="24"/>
      <c r="E985" s="8">
        <f t="shared" si="3"/>
        <v>136937.90000000002</v>
      </c>
      <c r="F985" s="89"/>
      <c r="G985" s="89"/>
      <c r="H985" s="14"/>
      <c r="I985" s="14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>
      <c r="A986" s="24"/>
      <c r="B986" s="24"/>
      <c r="C986" s="24"/>
      <c r="D986" s="24"/>
      <c r="E986" s="8">
        <f t="shared" si="3"/>
        <v>136937.90000000002</v>
      </c>
      <c r="F986" s="89"/>
      <c r="G986" s="89"/>
      <c r="H986" s="14"/>
      <c r="I986" s="14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>
      <c r="A987" s="24"/>
      <c r="B987" s="24"/>
      <c r="C987" s="24"/>
      <c r="D987" s="24"/>
      <c r="E987" s="8">
        <f t="shared" si="3"/>
        <v>136937.90000000002</v>
      </c>
      <c r="F987" s="89"/>
      <c r="G987" s="89"/>
      <c r="H987" s="14"/>
      <c r="I987" s="14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>
      <c r="A988" s="24"/>
      <c r="B988" s="24"/>
      <c r="C988" s="24"/>
      <c r="D988" s="24"/>
      <c r="E988" s="8">
        <f t="shared" si="3"/>
        <v>136937.90000000002</v>
      </c>
      <c r="F988" s="89"/>
      <c r="G988" s="89"/>
      <c r="H988" s="14"/>
      <c r="I988" s="14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>
      <c r="A989" s="24"/>
      <c r="B989" s="24"/>
      <c r="C989" s="24"/>
      <c r="D989" s="24"/>
      <c r="E989" s="8">
        <f t="shared" si="3"/>
        <v>136937.90000000002</v>
      </c>
      <c r="F989" s="89"/>
      <c r="G989" s="89"/>
      <c r="H989" s="14"/>
      <c r="I989" s="14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>
      <c r="A990" s="24"/>
      <c r="B990" s="24"/>
      <c r="C990" s="24"/>
      <c r="D990" s="24"/>
      <c r="E990" s="8">
        <f t="shared" si="3"/>
        <v>136937.90000000002</v>
      </c>
      <c r="F990" s="89"/>
      <c r="G990" s="89"/>
      <c r="H990" s="14"/>
      <c r="I990" s="14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>
      <c r="A991" s="24"/>
      <c r="B991" s="24"/>
      <c r="C991" s="24"/>
      <c r="D991" s="24"/>
      <c r="E991" s="8">
        <f t="shared" si="3"/>
        <v>136937.90000000002</v>
      </c>
      <c r="F991" s="89"/>
      <c r="G991" s="89"/>
      <c r="H991" s="14"/>
      <c r="I991" s="14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>
      <c r="A992" s="24"/>
      <c r="B992" s="24"/>
      <c r="C992" s="24"/>
      <c r="D992" s="24"/>
      <c r="E992" s="8">
        <f t="shared" si="3"/>
        <v>136937.90000000002</v>
      </c>
      <c r="F992" s="89"/>
      <c r="G992" s="89"/>
      <c r="H992" s="14"/>
      <c r="I992" s="14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>
      <c r="A993" s="24"/>
      <c r="B993" s="24"/>
      <c r="C993" s="24"/>
      <c r="D993" s="24"/>
      <c r="E993" s="8">
        <f t="shared" si="3"/>
        <v>136937.90000000002</v>
      </c>
      <c r="F993" s="89"/>
      <c r="G993" s="89"/>
      <c r="H993" s="14"/>
      <c r="I993" s="14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>
      <c r="A994" s="24"/>
      <c r="B994" s="24"/>
      <c r="C994" s="24"/>
      <c r="D994" s="24"/>
      <c r="E994" s="8">
        <f t="shared" si="3"/>
        <v>136937.90000000002</v>
      </c>
      <c r="F994" s="89"/>
      <c r="G994" s="89"/>
      <c r="H994" s="14"/>
      <c r="I994" s="14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>
      <c r="A995" s="24"/>
      <c r="B995" s="24"/>
      <c r="C995" s="24"/>
      <c r="D995" s="24"/>
      <c r="E995" s="8">
        <f t="shared" si="3"/>
        <v>136937.90000000002</v>
      </c>
      <c r="F995" s="89"/>
      <c r="G995" s="89"/>
      <c r="H995" s="14"/>
      <c r="I995" s="14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>
      <c r="A996" s="24"/>
      <c r="B996" s="24"/>
      <c r="C996" s="24"/>
      <c r="D996" s="24"/>
      <c r="E996" s="8">
        <f t="shared" si="3"/>
        <v>136937.90000000002</v>
      </c>
      <c r="F996" s="89"/>
      <c r="G996" s="89"/>
      <c r="H996" s="14"/>
      <c r="I996" s="14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>
      <c r="A997" s="24"/>
      <c r="B997" s="24"/>
      <c r="C997" s="24"/>
      <c r="D997" s="24"/>
      <c r="E997" s="8">
        <f t="shared" si="3"/>
        <v>136937.90000000002</v>
      </c>
      <c r="F997" s="89"/>
      <c r="G997" s="89"/>
      <c r="H997" s="14"/>
      <c r="I997" s="14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>
      <c r="A998" s="71"/>
      <c r="B998" s="24"/>
      <c r="C998" s="24"/>
      <c r="D998" s="24"/>
      <c r="E998" s="8">
        <f t="shared" si="3"/>
        <v>136937.90000000002</v>
      </c>
      <c r="F998" s="89"/>
      <c r="G998" s="89"/>
      <c r="H998" s="14"/>
      <c r="I998" s="14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>
      <c r="A999" s="71"/>
      <c r="B999" s="24"/>
      <c r="C999" s="24"/>
      <c r="D999" s="24"/>
      <c r="E999" s="8">
        <f t="shared" si="3"/>
        <v>136937.90000000002</v>
      </c>
      <c r="F999" s="89"/>
      <c r="G999" s="89"/>
      <c r="H999" s="14"/>
      <c r="I999" s="14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>
      <c r="A1000" s="71"/>
      <c r="B1000" s="24"/>
      <c r="C1000" s="24"/>
      <c r="D1000" s="24"/>
      <c r="E1000" s="8">
        <f t="shared" si="3"/>
        <v>136937.90000000002</v>
      </c>
      <c r="F1000" s="89"/>
      <c r="G1000" s="89"/>
      <c r="H1000" s="14"/>
      <c r="I1000" s="14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5.75" customHeight="1">
      <c r="A1001" s="71"/>
      <c r="B1001" s="24"/>
      <c r="C1001" s="24"/>
      <c r="D1001" s="24"/>
      <c r="E1001" s="8">
        <f t="shared" si="3"/>
        <v>136937.90000000002</v>
      </c>
      <c r="F1001" s="89"/>
      <c r="G1001" s="89"/>
      <c r="H1001" s="14"/>
      <c r="I1001" s="14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 ht="15.75" customHeight="1">
      <c r="A1002" s="71"/>
      <c r="B1002" s="24"/>
      <c r="C1002" s="24"/>
      <c r="D1002" s="24"/>
      <c r="E1002" s="8">
        <f t="shared" si="3"/>
        <v>136937.90000000002</v>
      </c>
      <c r="F1002" s="89"/>
      <c r="G1002" s="89"/>
      <c r="H1002" s="14"/>
      <c r="I1002" s="14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 ht="15.75" customHeight="1">
      <c r="A1003" s="71"/>
      <c r="B1003" s="24"/>
      <c r="C1003" s="24"/>
      <c r="D1003" s="24"/>
      <c r="E1003" s="8">
        <f t="shared" si="3"/>
        <v>136937.90000000002</v>
      </c>
      <c r="F1003" s="89"/>
      <c r="G1003" s="89"/>
      <c r="H1003" s="14"/>
      <c r="I1003" s="14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 ht="15.75" customHeight="1">
      <c r="A1004" s="71"/>
      <c r="B1004" s="24"/>
      <c r="C1004" s="24"/>
      <c r="D1004" s="24"/>
      <c r="E1004" s="8">
        <f t="shared" si="3"/>
        <v>136937.90000000002</v>
      </c>
      <c r="F1004" s="89"/>
      <c r="G1004" s="89"/>
      <c r="H1004" s="14"/>
      <c r="I1004" s="14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spans="1:29" ht="15.75" customHeight="1">
      <c r="A1005" s="71"/>
      <c r="B1005" s="24"/>
      <c r="C1005" s="24"/>
      <c r="D1005" s="24"/>
      <c r="E1005" s="8">
        <f t="shared" si="3"/>
        <v>136937.90000000002</v>
      </c>
      <c r="F1005" s="89"/>
      <c r="G1005" s="89"/>
      <c r="H1005" s="14"/>
      <c r="I1005" s="14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 spans="1:29" ht="15.75" customHeight="1">
      <c r="A1006" s="71"/>
      <c r="B1006" s="24"/>
      <c r="C1006" s="24"/>
      <c r="D1006" s="24"/>
      <c r="E1006" s="8">
        <f t="shared" si="3"/>
        <v>136937.90000000002</v>
      </c>
      <c r="F1006" s="89"/>
      <c r="G1006" s="89"/>
      <c r="H1006" s="14"/>
      <c r="I1006" s="14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 spans="1:29" ht="15.75" customHeight="1">
      <c r="A1007" s="71"/>
      <c r="B1007" s="24"/>
      <c r="C1007" s="24"/>
      <c r="D1007" s="24"/>
      <c r="E1007" s="8">
        <f t="shared" si="3"/>
        <v>136937.90000000002</v>
      </c>
      <c r="F1007" s="89"/>
      <c r="G1007" s="89"/>
      <c r="H1007" s="14"/>
      <c r="I1007" s="14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 spans="1:29" ht="15.75" customHeight="1">
      <c r="A1008" s="71"/>
      <c r="B1008" s="24"/>
      <c r="C1008" s="24"/>
      <c r="D1008" s="24"/>
      <c r="E1008" s="8">
        <f t="shared" si="3"/>
        <v>136937.90000000002</v>
      </c>
      <c r="F1008" s="89"/>
      <c r="G1008" s="89"/>
      <c r="H1008" s="14"/>
      <c r="I1008" s="14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 spans="1:29" ht="15.75" customHeight="1">
      <c r="A1009" s="71"/>
      <c r="B1009" s="24"/>
      <c r="C1009" s="24"/>
      <c r="D1009" s="24"/>
      <c r="E1009" s="8">
        <f t="shared" si="3"/>
        <v>136937.90000000002</v>
      </c>
      <c r="F1009" s="89"/>
      <c r="G1009" s="89"/>
      <c r="H1009" s="14"/>
      <c r="I1009" s="14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 spans="1:29" ht="15.75" customHeight="1">
      <c r="A1010" s="71"/>
      <c r="B1010" s="24"/>
      <c r="C1010" s="24"/>
      <c r="D1010" s="24"/>
      <c r="E1010" s="8">
        <f t="shared" si="3"/>
        <v>136937.90000000002</v>
      </c>
      <c r="F1010" s="89"/>
      <c r="G1010" s="89"/>
      <c r="H1010" s="14"/>
      <c r="I1010" s="14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 spans="1:29" ht="15.75" customHeight="1">
      <c r="A1011" s="71"/>
      <c r="B1011" s="24"/>
      <c r="C1011" s="24"/>
      <c r="D1011" s="24"/>
      <c r="E1011" s="8">
        <f t="shared" si="3"/>
        <v>136937.90000000002</v>
      </c>
      <c r="F1011" s="89"/>
      <c r="G1011" s="89"/>
      <c r="H1011" s="14"/>
      <c r="I1011" s="14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 spans="1:29" ht="15.75" customHeight="1">
      <c r="A1012" s="71"/>
      <c r="B1012" s="24"/>
      <c r="C1012" s="24"/>
      <c r="D1012" s="24"/>
      <c r="E1012" s="8">
        <f t="shared" si="3"/>
        <v>136937.90000000002</v>
      </c>
      <c r="F1012" s="89"/>
      <c r="G1012" s="89"/>
      <c r="H1012" s="14"/>
      <c r="I1012" s="14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 spans="1:29" ht="15.75" customHeight="1">
      <c r="A1013" s="71"/>
      <c r="B1013" s="24"/>
      <c r="C1013" s="24"/>
      <c r="D1013" s="24"/>
      <c r="E1013" s="8">
        <f t="shared" si="3"/>
        <v>136937.90000000002</v>
      </c>
      <c r="F1013" s="89"/>
      <c r="G1013" s="89"/>
      <c r="H1013" s="14"/>
      <c r="I1013" s="14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 spans="1:29" ht="15.75" customHeight="1">
      <c r="A1014" s="24"/>
      <c r="B1014" s="24"/>
      <c r="C1014" s="24"/>
      <c r="D1014" s="24"/>
      <c r="E1014" s="8">
        <f t="shared" si="3"/>
        <v>136937.90000000002</v>
      </c>
      <c r="F1014" s="89"/>
      <c r="G1014" s="89"/>
      <c r="H1014" s="14"/>
      <c r="I1014" s="14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 spans="1:29" ht="15.75" customHeight="1">
      <c r="A1015" s="24"/>
      <c r="B1015" s="24"/>
      <c r="C1015" s="24"/>
      <c r="D1015" s="24"/>
      <c r="E1015" s="8">
        <f t="shared" si="3"/>
        <v>136937.90000000002</v>
      </c>
      <c r="F1015" s="89"/>
      <c r="G1015" s="89"/>
      <c r="H1015" s="14"/>
      <c r="I1015" s="14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 spans="1:29" ht="15.75" customHeight="1">
      <c r="A1016" s="24"/>
      <c r="B1016" s="24"/>
      <c r="C1016" s="24"/>
      <c r="D1016" s="24"/>
      <c r="E1016" s="8">
        <f t="shared" si="3"/>
        <v>136937.90000000002</v>
      </c>
      <c r="F1016" s="89"/>
      <c r="G1016" s="89"/>
      <c r="H1016" s="14"/>
      <c r="I1016" s="14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 spans="1:29" ht="15.75" customHeight="1">
      <c r="A1017" s="24"/>
      <c r="B1017" s="24"/>
      <c r="C1017" s="24"/>
      <c r="D1017" s="24"/>
      <c r="E1017" s="8">
        <f t="shared" si="3"/>
        <v>136937.90000000002</v>
      </c>
      <c r="F1017" s="89"/>
      <c r="G1017" s="89"/>
      <c r="H1017" s="14"/>
      <c r="I1017" s="14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 spans="1:29" ht="15.75" customHeight="1">
      <c r="A1018" s="24"/>
      <c r="B1018" s="24"/>
      <c r="C1018" s="24"/>
      <c r="D1018" s="24"/>
      <c r="E1018" s="8">
        <f t="shared" si="3"/>
        <v>136937.90000000002</v>
      </c>
      <c r="F1018" s="89"/>
      <c r="G1018" s="89"/>
      <c r="H1018" s="14"/>
      <c r="I1018" s="14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 spans="1:29" ht="15.75" customHeight="1">
      <c r="A1019" s="24"/>
      <c r="B1019" s="24"/>
      <c r="C1019" s="24"/>
      <c r="D1019" s="24"/>
      <c r="E1019" s="8">
        <f t="shared" si="3"/>
        <v>136937.90000000002</v>
      </c>
      <c r="F1019" s="89"/>
      <c r="G1019" s="89"/>
      <c r="H1019" s="14"/>
      <c r="I1019" s="14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 spans="1:29" ht="15.75" customHeight="1">
      <c r="A1020" s="24"/>
      <c r="B1020" s="24"/>
      <c r="C1020" s="24"/>
      <c r="D1020" s="24"/>
      <c r="E1020" s="8">
        <f t="shared" si="3"/>
        <v>136937.90000000002</v>
      </c>
      <c r="F1020" s="89"/>
      <c r="G1020" s="89"/>
      <c r="H1020" s="14"/>
      <c r="I1020" s="14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 spans="1:29" ht="15.75" customHeight="1">
      <c r="A1021" s="24"/>
      <c r="B1021" s="24"/>
      <c r="C1021" s="24"/>
      <c r="D1021" s="24"/>
      <c r="E1021" s="8">
        <f t="shared" si="3"/>
        <v>136937.90000000002</v>
      </c>
      <c r="F1021" s="89"/>
      <c r="G1021" s="89"/>
      <c r="H1021" s="14"/>
      <c r="I1021" s="14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 spans="1:29" ht="15.75" customHeight="1">
      <c r="A1022" s="24"/>
      <c r="B1022" s="24"/>
      <c r="C1022" s="24"/>
      <c r="D1022" s="24"/>
      <c r="E1022" s="8">
        <f t="shared" si="3"/>
        <v>136937.90000000002</v>
      </c>
      <c r="F1022" s="89"/>
      <c r="G1022" s="89"/>
      <c r="H1022" s="14"/>
      <c r="I1022" s="14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 spans="1:29" ht="15.75" customHeight="1">
      <c r="A1023" s="24"/>
      <c r="B1023" s="24"/>
      <c r="C1023" s="24"/>
      <c r="D1023" s="24"/>
      <c r="E1023" s="8">
        <f t="shared" si="3"/>
        <v>136937.90000000002</v>
      </c>
      <c r="F1023" s="89"/>
      <c r="G1023" s="89"/>
      <c r="H1023" s="14"/>
      <c r="I1023" s="14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</row>
    <row r="1024" spans="1:29" ht="15.75" customHeight="1">
      <c r="A1024" s="24"/>
      <c r="B1024" s="24"/>
      <c r="C1024" s="24"/>
      <c r="D1024" s="24"/>
      <c r="E1024" s="8">
        <f t="shared" ref="E1024:E1062" si="4">E1023+C1024-B1024</f>
        <v>136937.90000000002</v>
      </c>
      <c r="F1024" s="89"/>
      <c r="G1024" s="89"/>
      <c r="H1024" s="14"/>
      <c r="I1024" s="14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</row>
    <row r="1025" spans="1:29" ht="15.75" customHeight="1">
      <c r="A1025" s="24"/>
      <c r="B1025" s="24"/>
      <c r="C1025" s="24"/>
      <c r="D1025" s="24"/>
      <c r="E1025" s="8">
        <f t="shared" si="4"/>
        <v>136937.90000000002</v>
      </c>
      <c r="F1025" s="89"/>
      <c r="G1025" s="89"/>
      <c r="H1025" s="14"/>
      <c r="I1025" s="14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</row>
    <row r="1026" spans="1:29" ht="15.75" customHeight="1">
      <c r="A1026" s="24"/>
      <c r="B1026" s="24"/>
      <c r="C1026" s="24"/>
      <c r="D1026" s="24"/>
      <c r="E1026" s="8">
        <f t="shared" si="4"/>
        <v>136937.90000000002</v>
      </c>
      <c r="F1026" s="89"/>
      <c r="G1026" s="89"/>
      <c r="H1026" s="14"/>
      <c r="I1026" s="14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</row>
    <row r="1027" spans="1:29" ht="15.75" customHeight="1">
      <c r="A1027" s="24"/>
      <c r="B1027" s="24"/>
      <c r="C1027" s="24"/>
      <c r="D1027" s="24"/>
      <c r="E1027" s="8">
        <f t="shared" si="4"/>
        <v>136937.90000000002</v>
      </c>
      <c r="F1027" s="89"/>
      <c r="G1027" s="89"/>
      <c r="H1027" s="14"/>
      <c r="I1027" s="14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</row>
    <row r="1028" spans="1:29" ht="15.75" customHeight="1">
      <c r="A1028" s="24"/>
      <c r="B1028" s="24"/>
      <c r="C1028" s="24"/>
      <c r="D1028" s="24"/>
      <c r="E1028" s="8">
        <f t="shared" si="4"/>
        <v>136937.90000000002</v>
      </c>
      <c r="F1028" s="89"/>
      <c r="G1028" s="89"/>
      <c r="H1028" s="14"/>
      <c r="I1028" s="14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</row>
    <row r="1029" spans="1:29" ht="15.75" customHeight="1">
      <c r="A1029" s="24"/>
      <c r="B1029" s="24"/>
      <c r="C1029" s="24"/>
      <c r="D1029" s="24"/>
      <c r="E1029" s="8">
        <f t="shared" si="4"/>
        <v>136937.90000000002</v>
      </c>
      <c r="F1029" s="89"/>
      <c r="G1029" s="89"/>
      <c r="H1029" s="14"/>
      <c r="I1029" s="14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</row>
    <row r="1030" spans="1:29" ht="15.75" customHeight="1">
      <c r="A1030" s="24"/>
      <c r="B1030" s="24"/>
      <c r="C1030" s="24"/>
      <c r="D1030" s="24"/>
      <c r="E1030" s="8">
        <f t="shared" si="4"/>
        <v>136937.90000000002</v>
      </c>
      <c r="F1030" s="89"/>
      <c r="G1030" s="89"/>
      <c r="H1030" s="14"/>
      <c r="I1030" s="14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</row>
    <row r="1031" spans="1:29" ht="15.75" customHeight="1">
      <c r="A1031" s="24"/>
      <c r="B1031" s="24"/>
      <c r="C1031" s="24"/>
      <c r="D1031" s="24"/>
      <c r="E1031" s="8">
        <f t="shared" si="4"/>
        <v>136937.90000000002</v>
      </c>
      <c r="F1031" s="89"/>
      <c r="G1031" s="89"/>
      <c r="H1031" s="14"/>
      <c r="I1031" s="14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</row>
    <row r="1032" spans="1:29" ht="15.75" customHeight="1">
      <c r="A1032" s="24"/>
      <c r="B1032" s="24"/>
      <c r="C1032" s="24"/>
      <c r="D1032" s="24"/>
      <c r="E1032" s="8">
        <f t="shared" si="4"/>
        <v>136937.90000000002</v>
      </c>
      <c r="F1032" s="89"/>
      <c r="G1032" s="89"/>
      <c r="H1032" s="14"/>
      <c r="I1032" s="14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</row>
    <row r="1033" spans="1:29" ht="15.75" customHeight="1">
      <c r="A1033" s="24"/>
      <c r="B1033" s="24"/>
      <c r="C1033" s="24"/>
      <c r="D1033" s="24"/>
      <c r="E1033" s="8">
        <f t="shared" si="4"/>
        <v>136937.90000000002</v>
      </c>
      <c r="F1033" s="89"/>
      <c r="G1033" s="89"/>
      <c r="H1033" s="14"/>
      <c r="I1033" s="14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</row>
    <row r="1034" spans="1:29" ht="15.75" customHeight="1">
      <c r="A1034" s="24"/>
      <c r="B1034" s="24"/>
      <c r="C1034" s="24"/>
      <c r="D1034" s="24"/>
      <c r="E1034" s="8">
        <f t="shared" si="4"/>
        <v>136937.90000000002</v>
      </c>
      <c r="F1034" s="89"/>
      <c r="G1034" s="89"/>
      <c r="H1034" s="14"/>
      <c r="I1034" s="14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</row>
    <row r="1035" spans="1:29" ht="15.75" customHeight="1">
      <c r="A1035" s="24"/>
      <c r="B1035" s="24"/>
      <c r="C1035" s="24"/>
      <c r="D1035" s="24"/>
      <c r="E1035" s="8">
        <f t="shared" si="4"/>
        <v>136937.90000000002</v>
      </c>
      <c r="F1035" s="89"/>
      <c r="G1035" s="89"/>
      <c r="H1035" s="14"/>
      <c r="I1035" s="14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</row>
    <row r="1036" spans="1:29" ht="15.75" customHeight="1">
      <c r="A1036" s="24"/>
      <c r="B1036" s="24"/>
      <c r="C1036" s="24"/>
      <c r="D1036" s="24"/>
      <c r="E1036" s="8">
        <f t="shared" si="4"/>
        <v>136937.90000000002</v>
      </c>
      <c r="F1036" s="89"/>
      <c r="G1036" s="89"/>
      <c r="H1036" s="14"/>
      <c r="I1036" s="14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</row>
    <row r="1037" spans="1:29" ht="15.75" customHeight="1">
      <c r="A1037" s="24"/>
      <c r="B1037" s="24"/>
      <c r="C1037" s="24"/>
      <c r="D1037" s="24"/>
      <c r="E1037" s="8">
        <f t="shared" si="4"/>
        <v>136937.90000000002</v>
      </c>
      <c r="F1037" s="89"/>
      <c r="G1037" s="89"/>
      <c r="H1037" s="14"/>
      <c r="I1037" s="14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</row>
    <row r="1038" spans="1:29" ht="15.75" customHeight="1">
      <c r="A1038" s="24"/>
      <c r="B1038" s="24"/>
      <c r="C1038" s="24"/>
      <c r="D1038" s="24"/>
      <c r="E1038" s="8">
        <f t="shared" si="4"/>
        <v>136937.90000000002</v>
      </c>
      <c r="F1038" s="89"/>
      <c r="G1038" s="89"/>
      <c r="H1038" s="14"/>
      <c r="I1038" s="14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</row>
    <row r="1039" spans="1:29" ht="15.75" customHeight="1">
      <c r="A1039" s="24"/>
      <c r="B1039" s="24"/>
      <c r="C1039" s="24"/>
      <c r="D1039" s="24"/>
      <c r="E1039" s="8">
        <f t="shared" si="4"/>
        <v>136937.90000000002</v>
      </c>
      <c r="F1039" s="89"/>
      <c r="G1039" s="89"/>
      <c r="H1039" s="14"/>
      <c r="I1039" s="14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</row>
    <row r="1040" spans="1:29" ht="15.75" customHeight="1">
      <c r="A1040" s="24"/>
      <c r="B1040" s="24"/>
      <c r="C1040" s="24"/>
      <c r="D1040" s="24"/>
      <c r="E1040" s="8">
        <f t="shared" si="4"/>
        <v>136937.90000000002</v>
      </c>
      <c r="F1040" s="89"/>
      <c r="G1040" s="89"/>
      <c r="H1040" s="14"/>
      <c r="I1040" s="14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</row>
    <row r="1041" spans="1:29" ht="15.75" customHeight="1">
      <c r="A1041" s="24"/>
      <c r="B1041" s="24"/>
      <c r="C1041" s="24"/>
      <c r="D1041" s="24"/>
      <c r="E1041" s="8">
        <f t="shared" si="4"/>
        <v>136937.90000000002</v>
      </c>
      <c r="F1041" s="89"/>
      <c r="G1041" s="89"/>
      <c r="H1041" s="14"/>
      <c r="I1041" s="14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</row>
    <row r="1042" spans="1:29" ht="15.75" customHeight="1">
      <c r="A1042" s="24"/>
      <c r="B1042" s="24"/>
      <c r="C1042" s="24"/>
      <c r="D1042" s="24"/>
      <c r="E1042" s="8">
        <f t="shared" si="4"/>
        <v>136937.90000000002</v>
      </c>
      <c r="F1042" s="89"/>
      <c r="G1042" s="89"/>
      <c r="H1042" s="14"/>
      <c r="I1042" s="14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</row>
    <row r="1043" spans="1:29" ht="15.75" customHeight="1">
      <c r="A1043" s="24"/>
      <c r="B1043" s="24"/>
      <c r="C1043" s="24"/>
      <c r="D1043" s="24"/>
      <c r="E1043" s="8">
        <f t="shared" si="4"/>
        <v>136937.90000000002</v>
      </c>
      <c r="F1043" s="89"/>
      <c r="G1043" s="89"/>
      <c r="H1043" s="14"/>
      <c r="I1043" s="14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</row>
    <row r="1044" spans="1:29" ht="15.75" customHeight="1">
      <c r="A1044" s="24"/>
      <c r="B1044" s="24"/>
      <c r="C1044" s="24"/>
      <c r="D1044" s="24"/>
      <c r="E1044" s="8">
        <f t="shared" si="4"/>
        <v>136937.90000000002</v>
      </c>
      <c r="F1044" s="89"/>
      <c r="G1044" s="89"/>
      <c r="H1044" s="14"/>
      <c r="I1044" s="14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</row>
    <row r="1045" spans="1:29" ht="15.75" customHeight="1">
      <c r="A1045" s="24"/>
      <c r="B1045" s="24"/>
      <c r="C1045" s="24"/>
      <c r="D1045" s="24"/>
      <c r="E1045" s="8">
        <f t="shared" si="4"/>
        <v>136937.90000000002</v>
      </c>
      <c r="F1045" s="89"/>
      <c r="G1045" s="89"/>
      <c r="H1045" s="14"/>
      <c r="I1045" s="14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</row>
    <row r="1046" spans="1:29" ht="15.75" customHeight="1">
      <c r="A1046" s="24"/>
      <c r="B1046" s="24"/>
      <c r="C1046" s="24"/>
      <c r="D1046" s="24"/>
      <c r="E1046" s="8">
        <f t="shared" si="4"/>
        <v>136937.90000000002</v>
      </c>
      <c r="F1046" s="89"/>
      <c r="G1046" s="89"/>
      <c r="H1046" s="14"/>
      <c r="I1046" s="14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</row>
    <row r="1047" spans="1:29" ht="15.75" customHeight="1">
      <c r="A1047" s="24"/>
      <c r="B1047" s="24"/>
      <c r="C1047" s="24"/>
      <c r="D1047" s="24"/>
      <c r="E1047" s="8">
        <f t="shared" si="4"/>
        <v>136937.90000000002</v>
      </c>
      <c r="F1047" s="89"/>
      <c r="G1047" s="89"/>
      <c r="H1047" s="14"/>
      <c r="I1047" s="14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</row>
    <row r="1048" spans="1:29" ht="15.75" customHeight="1">
      <c r="A1048" s="24"/>
      <c r="B1048" s="24"/>
      <c r="C1048" s="24"/>
      <c r="D1048" s="24"/>
      <c r="E1048" s="8">
        <f t="shared" si="4"/>
        <v>136937.90000000002</v>
      </c>
      <c r="F1048" s="89"/>
      <c r="G1048" s="89"/>
      <c r="H1048" s="14"/>
      <c r="I1048" s="14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</row>
    <row r="1049" spans="1:29" ht="15.75" customHeight="1">
      <c r="A1049" s="24"/>
      <c r="B1049" s="24"/>
      <c r="C1049" s="24"/>
      <c r="D1049" s="24"/>
      <c r="E1049" s="8">
        <f t="shared" si="4"/>
        <v>136937.90000000002</v>
      </c>
      <c r="F1049" s="89"/>
      <c r="G1049" s="89"/>
      <c r="H1049" s="14"/>
      <c r="I1049" s="14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</row>
    <row r="1050" spans="1:29" ht="15.75" customHeight="1">
      <c r="A1050" s="24"/>
      <c r="B1050" s="24"/>
      <c r="C1050" s="24"/>
      <c r="D1050" s="24"/>
      <c r="E1050" s="8">
        <f t="shared" si="4"/>
        <v>136937.90000000002</v>
      </c>
      <c r="F1050" s="89"/>
      <c r="G1050" s="89"/>
      <c r="H1050" s="14"/>
      <c r="I1050" s="14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</row>
    <row r="1051" spans="1:29" ht="15.75" customHeight="1">
      <c r="A1051" s="24"/>
      <c r="B1051" s="24"/>
      <c r="C1051" s="24"/>
      <c r="D1051" s="24"/>
      <c r="E1051" s="8">
        <f t="shared" si="4"/>
        <v>136937.90000000002</v>
      </c>
      <c r="F1051" s="89"/>
      <c r="G1051" s="89"/>
      <c r="H1051" s="14"/>
      <c r="I1051" s="14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</row>
    <row r="1052" spans="1:29" ht="15.75" customHeight="1">
      <c r="A1052" s="24"/>
      <c r="B1052" s="24"/>
      <c r="C1052" s="24"/>
      <c r="D1052" s="24"/>
      <c r="E1052" s="8">
        <f t="shared" si="4"/>
        <v>136937.90000000002</v>
      </c>
      <c r="F1052" s="89"/>
      <c r="G1052" s="89"/>
      <c r="H1052" s="14"/>
      <c r="I1052" s="14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</row>
    <row r="1053" spans="1:29" ht="15.75" customHeight="1">
      <c r="A1053" s="24"/>
      <c r="B1053" s="24"/>
      <c r="C1053" s="24"/>
      <c r="D1053" s="24"/>
      <c r="E1053" s="8">
        <f t="shared" si="4"/>
        <v>136937.90000000002</v>
      </c>
      <c r="F1053" s="89"/>
      <c r="G1053" s="89"/>
      <c r="H1053" s="14"/>
      <c r="I1053" s="14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</row>
    <row r="1054" spans="1:29" ht="15.75" customHeight="1">
      <c r="A1054" s="24"/>
      <c r="B1054" s="24"/>
      <c r="C1054" s="24"/>
      <c r="D1054" s="24"/>
      <c r="E1054" s="8">
        <f t="shared" si="4"/>
        <v>136937.90000000002</v>
      </c>
      <c r="F1054" s="89"/>
      <c r="G1054" s="89"/>
      <c r="H1054" s="14"/>
      <c r="I1054" s="14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</row>
    <row r="1055" spans="1:29" ht="15.75" customHeight="1">
      <c r="A1055" s="24"/>
      <c r="B1055" s="24"/>
      <c r="C1055" s="24"/>
      <c r="D1055" s="24"/>
      <c r="E1055" s="8">
        <f t="shared" si="4"/>
        <v>136937.90000000002</v>
      </c>
      <c r="F1055" s="89"/>
      <c r="G1055" s="89"/>
      <c r="H1055" s="14"/>
      <c r="I1055" s="14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</row>
    <row r="1056" spans="1:29" ht="15.75" customHeight="1">
      <c r="A1056" s="24"/>
      <c r="B1056" s="24"/>
      <c r="C1056" s="24"/>
      <c r="D1056" s="24"/>
      <c r="E1056" s="8">
        <f t="shared" si="4"/>
        <v>136937.90000000002</v>
      </c>
      <c r="F1056" s="89"/>
      <c r="G1056" s="89"/>
      <c r="H1056" s="14"/>
      <c r="I1056" s="14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</row>
    <row r="1057" spans="1:29" ht="15.75" customHeight="1">
      <c r="A1057" s="24"/>
      <c r="B1057" s="24"/>
      <c r="C1057" s="24"/>
      <c r="D1057" s="24"/>
      <c r="E1057" s="8">
        <f t="shared" si="4"/>
        <v>136937.90000000002</v>
      </c>
      <c r="F1057" s="89"/>
      <c r="G1057" s="89"/>
      <c r="H1057" s="14"/>
      <c r="I1057" s="14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</row>
    <row r="1058" spans="1:29" ht="15.75" customHeight="1">
      <c r="A1058" s="24"/>
      <c r="B1058" s="24"/>
      <c r="C1058" s="24"/>
      <c r="D1058" s="24"/>
      <c r="E1058" s="8">
        <f t="shared" si="4"/>
        <v>136937.90000000002</v>
      </c>
      <c r="F1058" s="89"/>
      <c r="G1058" s="89"/>
      <c r="H1058" s="14"/>
      <c r="I1058" s="14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</row>
    <row r="1059" spans="1:29" ht="15.75" customHeight="1">
      <c r="A1059" s="24"/>
      <c r="B1059" s="24"/>
      <c r="C1059" s="24"/>
      <c r="D1059" s="24"/>
      <c r="E1059" s="8">
        <f t="shared" si="4"/>
        <v>136937.90000000002</v>
      </c>
      <c r="F1059" s="89"/>
      <c r="G1059" s="89"/>
      <c r="H1059" s="14"/>
      <c r="I1059" s="14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</row>
    <row r="1060" spans="1:29" ht="15.75" customHeight="1">
      <c r="A1060" s="24"/>
      <c r="B1060" s="24"/>
      <c r="C1060" s="24"/>
      <c r="D1060" s="24"/>
      <c r="E1060" s="8">
        <f t="shared" si="4"/>
        <v>136937.90000000002</v>
      </c>
      <c r="F1060" s="89"/>
      <c r="G1060" s="89"/>
      <c r="H1060" s="14"/>
      <c r="I1060" s="14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</row>
    <row r="1061" spans="1:29" ht="15.75" customHeight="1">
      <c r="A1061" s="24"/>
      <c r="B1061" s="24"/>
      <c r="C1061" s="24"/>
      <c r="D1061" s="24"/>
      <c r="E1061" s="8">
        <f t="shared" si="4"/>
        <v>136937.90000000002</v>
      </c>
      <c r="F1061" s="89"/>
      <c r="G1061" s="89"/>
      <c r="H1061" s="14"/>
      <c r="I1061" s="14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</row>
    <row r="1062" spans="1:29" ht="15.75" customHeight="1">
      <c r="A1062" s="24"/>
      <c r="B1062" s="24"/>
      <c r="C1062" s="24"/>
      <c r="D1062" s="24"/>
      <c r="E1062" s="8">
        <f t="shared" si="4"/>
        <v>136937.90000000002</v>
      </c>
      <c r="F1062" s="89"/>
      <c r="G1062" s="89"/>
      <c r="H1062" s="14"/>
      <c r="I1062" s="14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</row>
  </sheetData>
  <mergeCells count="10">
    <mergeCell ref="B675:B676"/>
    <mergeCell ref="C675:C676"/>
    <mergeCell ref="A2:D2"/>
    <mergeCell ref="F2:G2"/>
    <mergeCell ref="F3:G3"/>
    <mergeCell ref="F92:G92"/>
    <mergeCell ref="A129:D129"/>
    <mergeCell ref="A433:D433"/>
    <mergeCell ref="A675:A676"/>
    <mergeCell ref="D675:D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Khaled Branch</vt:lpstr>
      <vt:lpstr>January Payroll</vt:lpstr>
      <vt:lpstr>Bank payroll + cash</vt:lpstr>
      <vt:lpstr>Fingerprint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Elwakkad</cp:lastModifiedBy>
  <dcterms:modified xsi:type="dcterms:W3CDTF">2026-07-18T19:11:57Z</dcterms:modified>
</cp:coreProperties>
</file>