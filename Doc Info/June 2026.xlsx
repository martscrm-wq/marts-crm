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helw\Downloads\CRM\"/>
    </mc:Choice>
  </mc:AlternateContent>
  <xr:revisionPtr revIDLastSave="0" documentId="13_ncr:1_{00627183-DF98-4AF3-9FEF-9DA699D8270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FPs" sheetId="8" r:id="rId1"/>
    <sheet name="Sheet5" sheetId="15" r:id="rId2"/>
    <sheet name="all employees" sheetId="3" r:id="rId3"/>
    <sheet name="Sheet3" sheetId="17" r:id="rId4"/>
    <sheet name="Sheet1" sheetId="12" r:id="rId5"/>
    <sheet name="Sheet2" sheetId="16" r:id="rId6"/>
  </sheets>
  <definedNames>
    <definedName name="_xlnm.Print_Area" localSheetId="2">'all employees'!$A$1:$K$45</definedName>
    <definedName name="_xlnm.Print_Area" localSheetId="0">FPs!$A$1:$ES$49</definedName>
    <definedName name="_xlnm.Print_Area" localSheetId="4">Sheet1!$A$1:$XEW$8</definedName>
    <definedName name="_xlnm.Print_Area" localSheetId="3">Sheet3!$A$1:$P$42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7" l="1"/>
  <c r="G5" i="17"/>
  <c r="G6" i="17"/>
  <c r="G7" i="17"/>
  <c r="G8" i="17"/>
  <c r="G9" i="17"/>
  <c r="G10" i="17"/>
  <c r="G11" i="17"/>
  <c r="G12" i="17"/>
  <c r="G13" i="17"/>
  <c r="G14" i="17"/>
  <c r="G15" i="17"/>
  <c r="M15" i="17" s="1"/>
  <c r="N15" i="17" s="1"/>
  <c r="G16" i="17"/>
  <c r="G17" i="17"/>
  <c r="M17" i="17" s="1"/>
  <c r="N17" i="17" s="1"/>
  <c r="G18" i="17"/>
  <c r="G19" i="17"/>
  <c r="M19" i="17" s="1"/>
  <c r="N19" i="17" s="1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J41" i="17"/>
  <c r="M41" i="17" s="1"/>
  <c r="N41" i="17" s="1"/>
  <c r="J40" i="17"/>
  <c r="M40" i="17" s="1"/>
  <c r="N40" i="17" s="1"/>
  <c r="J38" i="17"/>
  <c r="M38" i="17" s="1"/>
  <c r="N38" i="17" s="1"/>
  <c r="J37" i="17"/>
  <c r="M37" i="17" s="1"/>
  <c r="N37" i="17" s="1"/>
  <c r="J36" i="17"/>
  <c r="M36" i="17" s="1"/>
  <c r="N36" i="17" s="1"/>
  <c r="J35" i="17"/>
  <c r="I34" i="17"/>
  <c r="J34" i="17" s="1"/>
  <c r="M34" i="17" s="1"/>
  <c r="N34" i="17" s="1"/>
  <c r="J32" i="17"/>
  <c r="J31" i="17"/>
  <c r="M31" i="17" s="1"/>
  <c r="N31" i="17" s="1"/>
  <c r="J29" i="17"/>
  <c r="J28" i="17"/>
  <c r="J27" i="17"/>
  <c r="J26" i="17"/>
  <c r="J25" i="17"/>
  <c r="J24" i="17"/>
  <c r="J23" i="17"/>
  <c r="J22" i="17"/>
  <c r="J20" i="17"/>
  <c r="J19" i="17"/>
  <c r="J18" i="17"/>
  <c r="J17" i="17"/>
  <c r="J16" i="17"/>
  <c r="J15" i="17"/>
  <c r="J13" i="17"/>
  <c r="J12" i="17"/>
  <c r="J11" i="17"/>
  <c r="J9" i="17"/>
  <c r="M9" i="17" s="1"/>
  <c r="N9" i="17" s="1"/>
  <c r="J8" i="17"/>
  <c r="N6" i="17"/>
  <c r="J6" i="17"/>
  <c r="G3" i="17"/>
  <c r="M29" i="17" l="1"/>
  <c r="N29" i="17" s="1"/>
  <c r="M28" i="17"/>
  <c r="N28" i="17" s="1"/>
  <c r="M27" i="17"/>
  <c r="N27" i="17" s="1"/>
  <c r="M23" i="17"/>
  <c r="N23" i="17" s="1"/>
  <c r="M22" i="17"/>
  <c r="N22" i="17" s="1"/>
  <c r="M20" i="17"/>
  <c r="N20" i="17" s="1"/>
  <c r="M16" i="17"/>
  <c r="N16" i="17" s="1"/>
  <c r="M8" i="17"/>
  <c r="N8" i="17" s="1"/>
  <c r="M32" i="17"/>
  <c r="N32" i="17" s="1"/>
  <c r="M13" i="17"/>
  <c r="N13" i="17" s="1"/>
  <c r="M12" i="17"/>
  <c r="N12" i="17" s="1"/>
  <c r="M18" i="17"/>
  <c r="N18" i="17" s="1"/>
  <c r="M24" i="17"/>
  <c r="N24" i="17" s="1"/>
  <c r="M35" i="17"/>
  <c r="N35" i="17" s="1"/>
  <c r="M11" i="17"/>
  <c r="N11" i="17" s="1"/>
  <c r="M25" i="17"/>
  <c r="N25" i="17" s="1"/>
  <c r="M26" i="17"/>
  <c r="N26" i="17" s="1"/>
  <c r="I16" i="16"/>
  <c r="F16" i="16"/>
  <c r="C16" i="16"/>
  <c r="I1" i="16"/>
  <c r="F1" i="16"/>
  <c r="C1" i="16"/>
  <c r="J3" i="12"/>
  <c r="J4" i="12"/>
  <c r="J5" i="12"/>
  <c r="J6" i="12"/>
  <c r="J7" i="12"/>
  <c r="J2" i="12"/>
  <c r="G3" i="12"/>
  <c r="G4" i="12"/>
  <c r="G5" i="12"/>
  <c r="G6" i="12"/>
  <c r="G7" i="12"/>
  <c r="G2" i="12"/>
  <c r="K2" i="12" l="1"/>
  <c r="L2" i="12" s="1"/>
  <c r="K7" i="12"/>
  <c r="L7" i="12" s="1"/>
  <c r="K6" i="12"/>
  <c r="L6" i="12" s="1"/>
  <c r="K5" i="12"/>
  <c r="L5" i="12" s="1"/>
  <c r="K4" i="12"/>
  <c r="L4" i="12" s="1"/>
  <c r="K3" i="12"/>
  <c r="L3" i="12" s="1"/>
  <c r="L8" i="12" s="1"/>
  <c r="C45" i="3" l="1"/>
  <c r="BK1" i="8"/>
  <c r="BB1" i="8"/>
  <c r="I30" i="17" s="1"/>
  <c r="J30" i="17" s="1"/>
  <c r="M30" i="17" s="1"/>
  <c r="N30" i="17" s="1"/>
  <c r="C1" i="8"/>
  <c r="I3" i="17" s="1"/>
  <c r="J3" i="17" s="1"/>
  <c r="M3" i="17" s="1"/>
  <c r="N3" i="17" s="1"/>
  <c r="C5" i="3" s="1"/>
  <c r="C24" i="3" s="1"/>
  <c r="I1" i="8"/>
  <c r="I5" i="17" s="1"/>
  <c r="J5" i="17" s="1"/>
  <c r="M5" i="17" s="1"/>
  <c r="N5" i="17" s="1"/>
  <c r="AG1" i="8" l="1"/>
  <c r="U1" i="8"/>
  <c r="I10" i="17" s="1"/>
  <c r="J10" i="17" s="1"/>
  <c r="M10" i="17" s="1"/>
  <c r="N10" i="17" s="1"/>
  <c r="X1" i="8"/>
  <c r="H31" i="15"/>
  <c r="H47" i="15"/>
  <c r="H53" i="15" s="1"/>
  <c r="BZ1" i="8"/>
  <c r="I33" i="17" s="1"/>
  <c r="J33" i="17" s="1"/>
  <c r="M33" i="17" s="1"/>
  <c r="N33" i="17" s="1"/>
  <c r="AP1" i="8"/>
  <c r="I21" i="17" s="1"/>
  <c r="J21" i="17" s="1"/>
  <c r="M21" i="17" s="1"/>
  <c r="N21" i="17" s="1"/>
  <c r="CG1" i="8"/>
  <c r="AV1" i="8"/>
  <c r="BE1" i="8"/>
  <c r="I14" i="17" s="1"/>
  <c r="J14" i="17" s="1"/>
  <c r="M14" i="17" s="1"/>
  <c r="N14" i="17" s="1"/>
  <c r="CM1" i="8"/>
  <c r="I39" i="17" s="1"/>
  <c r="J39" i="17" s="1"/>
  <c r="M39" i="17" s="1"/>
  <c r="N39" i="17" s="1"/>
  <c r="BQ1" i="8"/>
  <c r="CJ1" i="8" l="1"/>
  <c r="H13" i="15" l="1"/>
  <c r="H16" i="15"/>
  <c r="H18" i="15" l="1"/>
  <c r="BN1" i="8"/>
  <c r="AY1" i="8"/>
  <c r="AD1" i="8"/>
  <c r="O1" i="8"/>
  <c r="I7" i="17" s="1"/>
  <c r="J7" i="17" s="1"/>
  <c r="M7" i="17" s="1"/>
  <c r="N7" i="17" s="1"/>
  <c r="R1" i="8" l="1"/>
  <c r="F1" i="8"/>
  <c r="P4" i="15" l="1"/>
  <c r="P10" i="15" s="1"/>
  <c r="I4" i="17"/>
  <c r="J4" i="17" s="1"/>
  <c r="M4" i="17" s="1"/>
  <c r="N4" i="17" s="1"/>
  <c r="N42" i="17" s="1"/>
</calcChain>
</file>

<file path=xl/sharedStrings.xml><?xml version="1.0" encoding="utf-8"?>
<sst xmlns="http://schemas.openxmlformats.org/spreadsheetml/2006/main" count="2658" uniqueCount="1018">
  <si>
    <t>#</t>
  </si>
  <si>
    <t>Name</t>
  </si>
  <si>
    <t>Basic Salary</t>
  </si>
  <si>
    <t>Days</t>
  </si>
  <si>
    <t>Absence Days</t>
  </si>
  <si>
    <t>Day Value</t>
  </si>
  <si>
    <t>warning</t>
  </si>
  <si>
    <t>Late Deduction</t>
  </si>
  <si>
    <t xml:space="preserve">Total Cuts </t>
  </si>
  <si>
    <t>extra from last month</t>
  </si>
  <si>
    <t>Total cuts Cash</t>
  </si>
  <si>
    <t>Net</t>
  </si>
  <si>
    <t>notes</t>
  </si>
  <si>
    <t>Abdelrahman Mohamed Ahmed Mohamed</t>
  </si>
  <si>
    <t>Ahmed Nabil Hassan Ali Hassan</t>
  </si>
  <si>
    <t>Ali Wael Khedr Khamis</t>
  </si>
  <si>
    <t>Bassanti Ibrahim Hilal Shaaban</t>
  </si>
  <si>
    <t>Ibrahem soph salama</t>
  </si>
  <si>
    <t>Islam Hussien Ibrahim Abdelkader</t>
  </si>
  <si>
    <t>Mariam Mohamed Youssef Hassan</t>
  </si>
  <si>
    <t>Mohamed Saeed Ahmed Alsadek Khalaf</t>
  </si>
  <si>
    <t>Norhan Diab Ahmed</t>
  </si>
  <si>
    <t>Saad Mounir Saad Mohamed</t>
  </si>
  <si>
    <t>Nayera Mohamed Mohamed Abdolmoaaty</t>
  </si>
  <si>
    <t>Mohamed Elsayed Ezzat Almorsy</t>
  </si>
  <si>
    <t>NAME</t>
  </si>
  <si>
    <t>Mohamed Ahmed Mohamed 3mo</t>
  </si>
  <si>
    <t>Ahmed Nagib</t>
  </si>
  <si>
    <t>BANK TRANSFER</t>
  </si>
  <si>
    <t>Hossney ahmed hussien</t>
  </si>
  <si>
    <t>Mohamed Khalid Abdelaziz Dawood</t>
  </si>
  <si>
    <t>kholod Mohamed Ahmed</t>
  </si>
  <si>
    <t>Khalid Alwakkad</t>
  </si>
  <si>
    <t>Time</t>
  </si>
  <si>
    <t>Abdrahman mohamed ahmed</t>
  </si>
  <si>
    <t>Bassanti</t>
  </si>
  <si>
    <t>Taliahany</t>
  </si>
  <si>
    <t>Talia Hani Ali Kotb</t>
  </si>
  <si>
    <t>Mohamed Helmy Foad Ahmed essa</t>
  </si>
  <si>
    <t>Haidy Mohamed Shebl Alfaramawy</t>
  </si>
  <si>
    <t>Mohamed Akram Sayed Abdelmaksod</t>
  </si>
  <si>
    <t>Fatma Anwar Abdelwahed hasballah</t>
  </si>
  <si>
    <t>Ahmed Amr foad Mohamed</t>
  </si>
  <si>
    <t>Eslamhesen</t>
  </si>
  <si>
    <t>Saturday</t>
  </si>
  <si>
    <t>excuse</t>
  </si>
  <si>
    <t>Adham Saad Monir Saad</t>
  </si>
  <si>
    <t>Amal Atef Mohamed Moshthe</t>
  </si>
  <si>
    <t>Kareem Mohamed Hussien Sayed</t>
  </si>
  <si>
    <t>Andrew Fayez Rashad Sadek</t>
  </si>
  <si>
    <t>Habiba Saber Abdelhay Abdelhafez</t>
  </si>
  <si>
    <t>Tasneem Shokry Mohamed Mohamed</t>
  </si>
  <si>
    <t>Zienab Naser Mahmoud Abdelrazek</t>
  </si>
  <si>
    <t>Mohamed Osama Hassanen Ahmed</t>
  </si>
  <si>
    <t>YARAMEDHAT</t>
  </si>
  <si>
    <t>Loan</t>
  </si>
  <si>
    <t>Working days</t>
  </si>
  <si>
    <t>NET CASH</t>
  </si>
  <si>
    <t>CASH</t>
  </si>
  <si>
    <t>Yara Medhat</t>
  </si>
  <si>
    <t>Khaled's</t>
  </si>
  <si>
    <t>N</t>
  </si>
  <si>
    <t xml:space="preserve">Ahmed Nabil  </t>
  </si>
  <si>
    <t>Yara Medhat Ghaleb Ali</t>
  </si>
  <si>
    <t>Marts</t>
  </si>
  <si>
    <t>Basic</t>
  </si>
  <si>
    <t>Janna Mohamed Mostafa Ghanem</t>
  </si>
  <si>
    <t>Late D</t>
  </si>
  <si>
    <t>Absence</t>
  </si>
  <si>
    <t xml:space="preserve">Name </t>
  </si>
  <si>
    <t>Ahmed Magdy Youssef Selim</t>
  </si>
  <si>
    <t>NET</t>
  </si>
  <si>
    <t>Saad Mounir Saad</t>
  </si>
  <si>
    <t xml:space="preserve">Adham Saad Monir </t>
  </si>
  <si>
    <t>HAIDY</t>
  </si>
  <si>
    <t>AHMEDMAGDY</t>
  </si>
  <si>
    <t>MANAR</t>
  </si>
  <si>
    <t>NORHAN</t>
  </si>
  <si>
    <t>MHELMY</t>
  </si>
  <si>
    <t>JANA</t>
  </si>
  <si>
    <t>Ibrahimsobh</t>
  </si>
  <si>
    <t>AHMEDNABEL</t>
  </si>
  <si>
    <t>meeting</t>
  </si>
  <si>
    <t>NAYERA</t>
  </si>
  <si>
    <t>MAKRAM</t>
  </si>
  <si>
    <t>DAWOD</t>
  </si>
  <si>
    <t>ALIWAEL</t>
  </si>
  <si>
    <t>MSAEED</t>
  </si>
  <si>
    <t>DAHAB</t>
  </si>
  <si>
    <t>MOHAMEDELSAYED</t>
  </si>
  <si>
    <t>KAREEM</t>
  </si>
  <si>
    <t>MARIAM</t>
  </si>
  <si>
    <t>AML</t>
  </si>
  <si>
    <t>ANDREW</t>
  </si>
  <si>
    <t>TASNEEM</t>
  </si>
  <si>
    <t>ZEINAB</t>
  </si>
  <si>
    <t>Adham saad monir saad</t>
  </si>
  <si>
    <t>cash advance 5K march - 1K monthly</t>
  </si>
  <si>
    <t>Manar Ali Mohamed Abdelmogle</t>
  </si>
  <si>
    <t>Ahmed Magdy Fahmy Mohamed</t>
  </si>
  <si>
    <t>2 days off annual</t>
  </si>
  <si>
    <t>b</t>
  </si>
  <si>
    <t>c</t>
  </si>
  <si>
    <t>Marts - Bank - Sales</t>
  </si>
  <si>
    <t>Marts - Bank - Back Office</t>
  </si>
  <si>
    <t>KHALED - Bank</t>
  </si>
  <si>
    <t>Marts - Cash - Back office</t>
  </si>
  <si>
    <t>Khaled - Cash</t>
  </si>
  <si>
    <t>Marts - Cash - Sales</t>
  </si>
  <si>
    <t>يضاف لها 3 ايام من الشهر للشهر القادم يونيه</t>
  </si>
  <si>
    <t>له 3 ايام يضافوا للشهر يونيه بمعرفة نجيب</t>
  </si>
  <si>
    <t>6/1/2026 12:02 PM</t>
  </si>
  <si>
    <t>6/1/2026 10:42 PM</t>
  </si>
  <si>
    <t>6/2/2026 1:12 PM</t>
  </si>
  <si>
    <t>6/3/2026 12:31 PM</t>
  </si>
  <si>
    <t>6/3/2026 8:55 PM</t>
  </si>
  <si>
    <t>6/4/2026 11:45 AM</t>
  </si>
  <si>
    <t>6/7/2026 1:53 PM</t>
  </si>
  <si>
    <t>6/8/2026 11:11 AM</t>
  </si>
  <si>
    <t>6/9/2026 11:13 AM</t>
  </si>
  <si>
    <t>6/9/2026 9:09 PM</t>
  </si>
  <si>
    <t>6/10/2026 1:23 PM</t>
  </si>
  <si>
    <t>6/10/2026 9:46 PM</t>
  </si>
  <si>
    <t>6/11/2026 10:17 PM</t>
  </si>
  <si>
    <t>6/14/2026 12:17 PM</t>
  </si>
  <si>
    <t>6/15/2026 11:18 AM</t>
  </si>
  <si>
    <t>6/16/2026 12:57 PM</t>
  </si>
  <si>
    <t>6/16/2026 10:25 PM</t>
  </si>
  <si>
    <t>6/17/2026 11:05 AM</t>
  </si>
  <si>
    <t>6/18/2026 1:02 PM</t>
  </si>
  <si>
    <t>6/18/2026 9:32 PM</t>
  </si>
  <si>
    <t>6/20/2026 2:14 PM</t>
  </si>
  <si>
    <t>6/20/2026 8:29 PM</t>
  </si>
  <si>
    <t>6/21/2026 12:22 PM</t>
  </si>
  <si>
    <t>6/21/2026 7:59 PM</t>
  </si>
  <si>
    <t>6/22/2026 2:12 PM</t>
  </si>
  <si>
    <t>6/22/2026 9:37 PM</t>
  </si>
  <si>
    <t>6/23/2026 9:25 AM</t>
  </si>
  <si>
    <t>6/23/2026 9:16 PM</t>
  </si>
  <si>
    <t>6/24/2026 11:00 AM</t>
  </si>
  <si>
    <t>6/25/2026 12:01 AM</t>
  </si>
  <si>
    <t>6/25/2026 11:02 AM</t>
  </si>
  <si>
    <t>6/25/2026 9:08 PM</t>
  </si>
  <si>
    <t>6/27/2026 5:00 PM</t>
  </si>
  <si>
    <t>6/1/2026 11:14 AM</t>
  </si>
  <si>
    <t>6/1/2026 9:36 PM</t>
  </si>
  <si>
    <t>6/2/2026 12:49 PM</t>
  </si>
  <si>
    <t>6/2/2026 10:13 PM</t>
  </si>
  <si>
    <t>6/3/2026 11:05 AM</t>
  </si>
  <si>
    <t>6/3/2026 8:56 PM</t>
  </si>
  <si>
    <t>6/4/2026 12:20 PM</t>
  </si>
  <si>
    <t>6/4/2026 9:36 PM</t>
  </si>
  <si>
    <t>6/4/2026 9:39 PM</t>
  </si>
  <si>
    <t>6/14/2026 11:32 AM</t>
  </si>
  <si>
    <t>6/14/2026 8:24 PM</t>
  </si>
  <si>
    <t>6/15/2026 11:29 AM</t>
  </si>
  <si>
    <t>6/15/2026 7:37 PM</t>
  </si>
  <si>
    <t>6/16/2026 11:29 AM</t>
  </si>
  <si>
    <t>6/16/2026 7:50 PM</t>
  </si>
  <si>
    <t>6/17/2026 11:37 AM</t>
  </si>
  <si>
    <t>6/17/2026 7:51 PM</t>
  </si>
  <si>
    <t>6/18/2026 11:59 AM</t>
  </si>
  <si>
    <t>6/18/2026 7:47 PM</t>
  </si>
  <si>
    <t>6/18/2026 8:59 PM</t>
  </si>
  <si>
    <t>6/20/2026 8:31 PM</t>
  </si>
  <si>
    <t>6/21/2026 11:28 AM</t>
  </si>
  <si>
    <t>6/21/2026 8:03 PM</t>
  </si>
  <si>
    <t>6/22/2026 12:25 PM</t>
  </si>
  <si>
    <t>6/22/2026 8:36 PM</t>
  </si>
  <si>
    <t>6/23/2026 11:16 AM</t>
  </si>
  <si>
    <t>6/23/2026 9:08 PM</t>
  </si>
  <si>
    <t>6/24/2026 11:17 AM</t>
  </si>
  <si>
    <t>6/24/2026 8:17 PM</t>
  </si>
  <si>
    <t>6/25/2026 11:16 AM</t>
  </si>
  <si>
    <t>6/25/2026 9:20 PM</t>
  </si>
  <si>
    <t>6/28/2026 11:37 AM</t>
  </si>
  <si>
    <t>6/2/2026 11:09 AM</t>
  </si>
  <si>
    <t>6/2/2026 8:59 PM</t>
  </si>
  <si>
    <t>6/3/2026 11:24 AM</t>
  </si>
  <si>
    <t>6/3/2026 8:04 PM</t>
  </si>
  <si>
    <t>6/4/2026 11:11 AM</t>
  </si>
  <si>
    <t>6/4/2026 7:05 PM</t>
  </si>
  <si>
    <t>6/7/2026 11:17 AM</t>
  </si>
  <si>
    <t>6/7/2026 8:21 PM</t>
  </si>
  <si>
    <t>6/8/2026 11:14 AM</t>
  </si>
  <si>
    <t>6/8/2026 5:54 PM</t>
  </si>
  <si>
    <t>6/9/2026 7:59 PM</t>
  </si>
  <si>
    <t>6/10/2026 11:16 AM</t>
  </si>
  <si>
    <t>6/10/2026 7:59 PM</t>
  </si>
  <si>
    <t>6/11/2026 11:09 AM</t>
  </si>
  <si>
    <t>6/11/2026 6:58 PM</t>
  </si>
  <si>
    <t>6/15/2026 11:12 AM</t>
  </si>
  <si>
    <t>6/15/2026 7:38 PM</t>
  </si>
  <si>
    <t>6/17/2026 11:12 AM</t>
  </si>
  <si>
    <t>6/17/2026 7:59 PM</t>
  </si>
  <si>
    <t>6/18/2026 11:22 AM</t>
  </si>
  <si>
    <t>6/18/2026 7:04 PM</t>
  </si>
  <si>
    <t>6/20/2026 12:11 PM</t>
  </si>
  <si>
    <t>6/20/2026 6:55 PM</t>
  </si>
  <si>
    <t>6/21/2026 11:22 AM</t>
  </si>
  <si>
    <t>6/21/2026 5:57 PM</t>
  </si>
  <si>
    <t>6/22/2026 11:08 AM</t>
  </si>
  <si>
    <t>6/22/2026 8:24 PM</t>
  </si>
  <si>
    <t>6/23/2026 11:11 AM</t>
  </si>
  <si>
    <t>6/23/2026 8:43 PM</t>
  </si>
  <si>
    <t>6/24/2026 11:16 AM</t>
  </si>
  <si>
    <t>6/24/2026 8:07 PM</t>
  </si>
  <si>
    <t>6/25/2026 11:12 AM</t>
  </si>
  <si>
    <t>6/25/2026 7:01 PM</t>
  </si>
  <si>
    <t>6/28/2026 11:05 AM</t>
  </si>
  <si>
    <t>6/1/2026 12:59 PM</t>
  </si>
  <si>
    <t>6/1/2026 7:32 PM</t>
  </si>
  <si>
    <t>6/2/2026 12:29 PM</t>
  </si>
  <si>
    <t>6/2/2026 7:47 PM</t>
  </si>
  <si>
    <t>6/3/2026 10:45 AM</t>
  </si>
  <si>
    <t>6/3/2026 7:02 PM</t>
  </si>
  <si>
    <t>6/4/2026 10:57 AM</t>
  </si>
  <si>
    <t>6/4/2026 7:06 PM</t>
  </si>
  <si>
    <t>6/7/2026 11:06 AM</t>
  </si>
  <si>
    <t>6/7/2026 7:37 PM</t>
  </si>
  <si>
    <t>6/8/2026 11:56 AM</t>
  </si>
  <si>
    <t>6/8/2026 11:57 AM</t>
  </si>
  <si>
    <t>6/8/2026 7:02 PM</t>
  </si>
  <si>
    <t>6/9/2026 12:02 PM</t>
  </si>
  <si>
    <t>6/9/2026 7:19 PM</t>
  </si>
  <si>
    <t>6/10/2026 11:04 AM</t>
  </si>
  <si>
    <t>6/10/2026 11:05 AM</t>
  </si>
  <si>
    <t>6/10/2026 5:46 PM</t>
  </si>
  <si>
    <t>6/11/2026 11:08 AM</t>
  </si>
  <si>
    <t>6/11/2026 7:07 PM</t>
  </si>
  <si>
    <t>6/11/2026 7:08 PM</t>
  </si>
  <si>
    <t>6/14/2026 2:34 PM</t>
  </si>
  <si>
    <t>6/15/2026 7:02 PM</t>
  </si>
  <si>
    <t>6/16/2026 11:18 AM</t>
  </si>
  <si>
    <t>6/21/2026 11:03 AM</t>
  </si>
  <si>
    <t>6/21/2026 7:00 PM</t>
  </si>
  <si>
    <t>6/22/2026 11:04 AM</t>
  </si>
  <si>
    <t>6/22/2026 11:07 AM</t>
  </si>
  <si>
    <t>6/23/2026 11:13 AM</t>
  </si>
  <si>
    <t>6/23/2026 11:14 AM</t>
  </si>
  <si>
    <t>6/23/2026 7:00 PM</t>
  </si>
  <si>
    <t>6/25/2026 11:11 AM</t>
  </si>
  <si>
    <t>6/25/2026 7:00 PM</t>
  </si>
  <si>
    <t>6/28/2026 11:06 AM</t>
  </si>
  <si>
    <t>Ahmedmohamed</t>
  </si>
  <si>
    <t>6/15/2026 11:21 AM</t>
  </si>
  <si>
    <t>6/16/2026 1:01 PM</t>
  </si>
  <si>
    <t>6/17/2026 11:14 AM</t>
  </si>
  <si>
    <t>6/17/2026 7:47 PM</t>
  </si>
  <si>
    <t>6/18/2026 7:46 PM</t>
  </si>
  <si>
    <t>6/20/2026 1:20 PM</t>
  </si>
  <si>
    <t>6/20/2026 8:33 PM</t>
  </si>
  <si>
    <t>6/21/2026 12:10 PM</t>
  </si>
  <si>
    <t>6/21/2026 7:57 PM</t>
  </si>
  <si>
    <t>6/22/2026 3:38 PM</t>
  </si>
  <si>
    <t>6/23/2026 11:39 AM</t>
  </si>
  <si>
    <t>6/24/2026 11:54 AM</t>
  </si>
  <si>
    <t>6/24/2026 8:16 PM</t>
  </si>
  <si>
    <t>6/25/2026 11:58 AM</t>
  </si>
  <si>
    <t>6/25/2026 8:41 PM</t>
  </si>
  <si>
    <t>6/1/2026 12:24 PM</t>
  </si>
  <si>
    <t>6/1/2026 8:18 PM</t>
  </si>
  <si>
    <t>6/2/2026 11:30 AM</t>
  </si>
  <si>
    <t>6/2/2026 9:08 PM</t>
  </si>
  <si>
    <t>6/3/2026 11:21 AM</t>
  </si>
  <si>
    <t>6/3/2026 8:20 PM</t>
  </si>
  <si>
    <t>6/4/2026 12:33 PM</t>
  </si>
  <si>
    <t>6/4/2026 8:32 PM</t>
  </si>
  <si>
    <t>6/7/2026 11:12 AM</t>
  </si>
  <si>
    <t>6/7/2026 8:06 PM</t>
  </si>
  <si>
    <t>6/8/2026 11:45 AM</t>
  </si>
  <si>
    <t>6/8/2026 8:15 PM</t>
  </si>
  <si>
    <t>6/9/2026 11:11 AM</t>
  </si>
  <si>
    <t>6/9/2026 8:12 PM</t>
  </si>
  <si>
    <t>6/10/2026 12:13 PM</t>
  </si>
  <si>
    <t>6/10/2026 8:06 PM</t>
  </si>
  <si>
    <t>6/14/2026 12:20 PM</t>
  </si>
  <si>
    <t>6/14/2026 8:21 PM</t>
  </si>
  <si>
    <t>6/15/2026 11:32 AM</t>
  </si>
  <si>
    <t>6/15/2026 7:44 PM</t>
  </si>
  <si>
    <t>6/16/2026 12:22 PM</t>
  </si>
  <si>
    <t>6/17/2026 1:25 PM</t>
  </si>
  <si>
    <t>6/17/2026 7:45 PM</t>
  </si>
  <si>
    <t>6/18/2026 12:22 PM</t>
  </si>
  <si>
    <t>6/18/2026 7:09 PM</t>
  </si>
  <si>
    <t>6/20/2026 12:57 PM</t>
  </si>
  <si>
    <t>6/21/2026 8:33 PM</t>
  </si>
  <si>
    <t>6/23/2026 11:28 AM</t>
  </si>
  <si>
    <t>6/23/2026 8:45 PM</t>
  </si>
  <si>
    <t>6/24/2026 1:32 PM</t>
  </si>
  <si>
    <t>6/24/2026 8:12 PM</t>
  </si>
  <si>
    <t>6/25/2026 11:20 AM</t>
  </si>
  <si>
    <t>6/25/2026 7:04 PM</t>
  </si>
  <si>
    <t>6/28/2026 11:07 AM</t>
  </si>
  <si>
    <t>6/1/2026 11:58 AM</t>
  </si>
  <si>
    <t>6/2/2026 11:12 AM</t>
  </si>
  <si>
    <t>6/2/2026 9:00 PM</t>
  </si>
  <si>
    <t>6/3/2026 11:18 AM</t>
  </si>
  <si>
    <t>6/3/2026 8:13 PM</t>
  </si>
  <si>
    <t>6/4/2026 11:57 AM</t>
  </si>
  <si>
    <t>6/4/2026 7:17 PM</t>
  </si>
  <si>
    <t>6/4/2026 7:18 PM</t>
  </si>
  <si>
    <t>6/7/2026 11:08 AM</t>
  </si>
  <si>
    <t>6/7/2026 8:17 PM</t>
  </si>
  <si>
    <t>6/8/2026 3:47 PM</t>
  </si>
  <si>
    <t>6/8/2026 6:03 PM</t>
  </si>
  <si>
    <t>6/9/2026 1:23 PM</t>
  </si>
  <si>
    <t>6/10/2026 11:22 AM</t>
  </si>
  <si>
    <t>6/10/2026 8:19 PM</t>
  </si>
  <si>
    <t>6/11/2026 1:44 PM</t>
  </si>
  <si>
    <t>6/14/2026 12:04 PM</t>
  </si>
  <si>
    <t>6/14/2026 9:02 PM</t>
  </si>
  <si>
    <t>6/15/2026 12:40 PM</t>
  </si>
  <si>
    <t>6/16/2026 12:19 PM</t>
  </si>
  <si>
    <t>6/16/2026 7:51 PM</t>
  </si>
  <si>
    <t>6/17/2026 3:48 PM</t>
  </si>
  <si>
    <t>6/17/2026 8:08 PM</t>
  </si>
  <si>
    <t>6/20/2026 2:00 PM</t>
  </si>
  <si>
    <t>6/20/2026 6:53 PM</t>
  </si>
  <si>
    <t>6/21/2026 12:57 PM</t>
  </si>
  <si>
    <t>6/21/2026 8:24 PM</t>
  </si>
  <si>
    <t>6/22/2026 5:39 PM</t>
  </si>
  <si>
    <t>6/22/2026 7:43 PM</t>
  </si>
  <si>
    <t>6/23/2026 12:20 PM</t>
  </si>
  <si>
    <t>6/24/2026 2:02 PM</t>
  </si>
  <si>
    <t>6/24/2026 9:23 PM</t>
  </si>
  <si>
    <t>6/25/2026 2:06 PM</t>
  </si>
  <si>
    <t>6/25/2026 8:44 PM</t>
  </si>
  <si>
    <t>6/1/2026 8:11 PM</t>
  </si>
  <si>
    <t>6/2/2026 11:02 AM</t>
  </si>
  <si>
    <t>6/2/2026 7:59 PM</t>
  </si>
  <si>
    <t>6/4/2026 10:59 AM</t>
  </si>
  <si>
    <t>6/4/2026 6:52 PM</t>
  </si>
  <si>
    <t>6/7/2026 8:11 PM</t>
  </si>
  <si>
    <t>6/8/2026 11:13 AM</t>
  </si>
  <si>
    <t>6/8/2026 8:05 PM</t>
  </si>
  <si>
    <t>6/9/2026 7:57 PM</t>
  </si>
  <si>
    <t>6/10/2026 10:56 AM</t>
  </si>
  <si>
    <t>6/10/2026 7:57 PM</t>
  </si>
  <si>
    <t>6/11/2026 11:04 AM</t>
  </si>
  <si>
    <t>6/11/2026 7:55 PM</t>
  </si>
  <si>
    <t>6/13/2026 6:59 PM</t>
  </si>
  <si>
    <t>6/14/2026 11:00 AM</t>
  </si>
  <si>
    <t>6/15/2026 10:59 AM</t>
  </si>
  <si>
    <t>6/15/2026 7:33 PM</t>
  </si>
  <si>
    <t>6/16/2026 11:12 AM</t>
  </si>
  <si>
    <t>6/17/2026 11:02 AM</t>
  </si>
  <si>
    <t>6/17/2026 6:24 PM</t>
  </si>
  <si>
    <t>6/18/2026 10:47 AM</t>
  </si>
  <si>
    <t>6/18/2026 7:14 PM</t>
  </si>
  <si>
    <t>6/20/2026 12:01 PM</t>
  </si>
  <si>
    <t>6/20/2026 7:07 PM</t>
  </si>
  <si>
    <t>6/21/2026 10:56 AM</t>
  </si>
  <si>
    <t>6/22/2026 10:50 AM</t>
  </si>
  <si>
    <t>6/22/2026 8:12 PM</t>
  </si>
  <si>
    <t>6/23/2026 11:07 AM</t>
  </si>
  <si>
    <t>6/23/2026 8:15 PM</t>
  </si>
  <si>
    <t>6/24/2026 10:55 AM</t>
  </si>
  <si>
    <t>6/24/2026 8:21 PM</t>
  </si>
  <si>
    <t>6/25/2026 10:55 AM</t>
  </si>
  <si>
    <t>6/25/2026 7:11 PM</t>
  </si>
  <si>
    <t>6/28/2026 10:54 AM</t>
  </si>
  <si>
    <t>AMALPC</t>
  </si>
  <si>
    <t>6/23/2026 1:47 PM</t>
  </si>
  <si>
    <t>6/23/2026 8:37 PM</t>
  </si>
  <si>
    <t>6/24/2026 10:35 AM</t>
  </si>
  <si>
    <t>6/25/2026 11:23 AM</t>
  </si>
  <si>
    <t>6/25/2026 8:45 PM</t>
  </si>
  <si>
    <t>6/28/2026 10:35 AM</t>
  </si>
  <si>
    <t>Starting Date</t>
  </si>
  <si>
    <t>Saturday  2:56:00 PM</t>
  </si>
  <si>
    <t>Saturday 12:59 PM</t>
  </si>
  <si>
    <t>Saturday 12:00 PM</t>
  </si>
  <si>
    <t>Saturday 6:59 PM</t>
  </si>
  <si>
    <t>Saturday 12:17 PM</t>
  </si>
  <si>
    <t>Saturday 7:05 PM</t>
  </si>
  <si>
    <t>Saturday 1:28 PM</t>
  </si>
  <si>
    <t>Saturday 6:00 PM</t>
  </si>
  <si>
    <t>2 days rased agazto</t>
  </si>
  <si>
    <t>14 days off</t>
  </si>
  <si>
    <t>Ahmed Mohamed Nashaat</t>
  </si>
  <si>
    <t>6/1/2026 10:52 AM</t>
  </si>
  <si>
    <t>6/1/2026 8:04 PM</t>
  </si>
  <si>
    <t>6/2/2026 11:00 AM</t>
  </si>
  <si>
    <t>6/2/2026 8:06 PM</t>
  </si>
  <si>
    <t>6/3/2026 10:34 AM</t>
  </si>
  <si>
    <t>6/3/2026 8:00 PM</t>
  </si>
  <si>
    <t>6/4/2026 7:59 PM</t>
  </si>
  <si>
    <t>6/7/2026 12:37 PM</t>
  </si>
  <si>
    <t>6/7/2026 8:03 PM</t>
  </si>
  <si>
    <t>6/8/2026 11:01 AM</t>
  </si>
  <si>
    <t>6/8/2026 8:11 PM</t>
  </si>
  <si>
    <t>6/9/2026 11:10 AM</t>
  </si>
  <si>
    <t>6/9/2026 7:58 PM</t>
  </si>
  <si>
    <t>6/10/2026 11:15 AM</t>
  </si>
  <si>
    <t>6/11/2026 11:00 AM</t>
  </si>
  <si>
    <t>6/11/2026 7:00 PM</t>
  </si>
  <si>
    <t>6/14/2026 11:08 AM</t>
  </si>
  <si>
    <t>6/17/2026 11:11 AM</t>
  </si>
  <si>
    <t>6/17/2026 8:00 PM</t>
  </si>
  <si>
    <t>6/18/2026 11:23 AM</t>
  </si>
  <si>
    <t>6/18/2026 7:00 PM</t>
  </si>
  <si>
    <t>6/20/2026 1:02 PM</t>
  </si>
  <si>
    <t>6/21/2026 12:04 PM</t>
  </si>
  <si>
    <t>6/22/2026 11:28 AM</t>
  </si>
  <si>
    <t>6/22/2026 8:17 PM</t>
  </si>
  <si>
    <t>6/23/2026 11:19 AM</t>
  </si>
  <si>
    <t>6/23/2026 8:44 PM</t>
  </si>
  <si>
    <t>6/24/2026 8:49 PM</t>
  </si>
  <si>
    <t>6/1/2026 11:13 AM</t>
  </si>
  <si>
    <t>6/1/2026 8:02 PM</t>
  </si>
  <si>
    <t>6/2/2026 11:11 AM</t>
  </si>
  <si>
    <t>6/2/2026 9:04 PM</t>
  </si>
  <si>
    <t>6/3/2026 11:15 AM</t>
  </si>
  <si>
    <t>6/4/2026 12:31 PM</t>
  </si>
  <si>
    <t>6/4/2026 7:47 PM</t>
  </si>
  <si>
    <t>6/7/2026 11:10 AM</t>
  </si>
  <si>
    <t>6/7/2026 11:14 AM</t>
  </si>
  <si>
    <t>6/7/2026 8:09 PM</t>
  </si>
  <si>
    <t>6/8/2026 11:23 AM</t>
  </si>
  <si>
    <t>6/8/2026 8:23 PM</t>
  </si>
  <si>
    <t>6/9/2026 12:04 PM</t>
  </si>
  <si>
    <t>6/9/2026 8:03 PM</t>
  </si>
  <si>
    <t>6/10/2026 11:25 AM</t>
  </si>
  <si>
    <t>6/10/2026 7:58 PM</t>
  </si>
  <si>
    <t>6/11/2026 5:02 PM</t>
  </si>
  <si>
    <t>6/13/2026 12:40 PM</t>
  </si>
  <si>
    <t>6/13/2026 6:55 PM</t>
  </si>
  <si>
    <t>6/14/2026 11:23 AM</t>
  </si>
  <si>
    <t>6/14/2026 8:07 PM</t>
  </si>
  <si>
    <t>6/15/2026 11:37 AM</t>
  </si>
  <si>
    <t>6/15/2026 7:48 PM</t>
  </si>
  <si>
    <t>6/16/2026 11:22 AM</t>
  </si>
  <si>
    <t>6/17/2026 11:01 AM</t>
  </si>
  <si>
    <t>6/17/2026 8:07 PM</t>
  </si>
  <si>
    <t>6/18/2026 11:25 AM</t>
  </si>
  <si>
    <t>6/18/2026 7:48 PM</t>
  </si>
  <si>
    <t>6/20/2026 2:10 PM</t>
  </si>
  <si>
    <t>6/20/2026 6:45 PM</t>
  </si>
  <si>
    <t>6/21/2026 11:24 AM</t>
  </si>
  <si>
    <t>6/21/2026 8:00 PM</t>
  </si>
  <si>
    <t>6/22/2026 11:26 AM</t>
  </si>
  <si>
    <t>6/22/2026 8:15 PM</t>
  </si>
  <si>
    <t>6/23/2026 11:22 AM</t>
  </si>
  <si>
    <t>6/23/2026 8:16 PM</t>
  </si>
  <si>
    <t>6/24/2026 11:02 AM</t>
  </si>
  <si>
    <t>6/25/2026 11:09 AM</t>
  </si>
  <si>
    <t>6/25/2026 6:58 PM</t>
  </si>
  <si>
    <t>6/28/2026 11:16 AM</t>
  </si>
  <si>
    <t>6/1/2026 10:51 AM</t>
  </si>
  <si>
    <t>6/1/2026 7:57 PM</t>
  </si>
  <si>
    <t>6/2/2026 10:57 AM</t>
  </si>
  <si>
    <t>6/2/2026 10:58 AM</t>
  </si>
  <si>
    <t>6/2/2026 8:00 PM</t>
  </si>
  <si>
    <t>6/3/2026 11:02 AM</t>
  </si>
  <si>
    <t>6/3/2026 7:57 PM</t>
  </si>
  <si>
    <t>6/7/2026 11:04 AM</t>
  </si>
  <si>
    <t>6/8/2026 10:45 AM</t>
  </si>
  <si>
    <t>6/8/2026 10:48 AM</t>
  </si>
  <si>
    <t>6/8/2026 8:13 PM</t>
  </si>
  <si>
    <t>6/9/2026 10:53 AM</t>
  </si>
  <si>
    <t>6/9/2026 7:55 PM</t>
  </si>
  <si>
    <t>6/10/2026 10:48 AM</t>
  </si>
  <si>
    <t>6/10/2026 7:53 PM</t>
  </si>
  <si>
    <t>6/11/2026 10:55 AM</t>
  </si>
  <si>
    <t>6/11/2026 7:09 PM</t>
  </si>
  <si>
    <t>6/13/2026 11:39 AM</t>
  </si>
  <si>
    <t>6/14/2026 10:56 AM</t>
  </si>
  <si>
    <t>6/14/2026 7:39 PM</t>
  </si>
  <si>
    <t>6/15/2026 10:47 AM</t>
  </si>
  <si>
    <t>6/15/2026 7:41 PM</t>
  </si>
  <si>
    <t>6/16/2026 11:11 AM</t>
  </si>
  <si>
    <t>6/16/2026 2:58 PM</t>
  </si>
  <si>
    <t>6/17/2026 7:54 PM</t>
  </si>
  <si>
    <t>6/18/2026 10:51 AM</t>
  </si>
  <si>
    <t>6/18/2026 7:06 PM</t>
  </si>
  <si>
    <t>6/21/2026 10:58 AM</t>
  </si>
  <si>
    <t>6/22/2026 10:47 AM</t>
  </si>
  <si>
    <t>6/23/2026 11:04 AM</t>
  </si>
  <si>
    <t>6/23/2026 11:05 AM</t>
  </si>
  <si>
    <t>6/23/2026 8:29 PM</t>
  </si>
  <si>
    <t>6/24/2026 10:49 AM</t>
  </si>
  <si>
    <t>6/24/2026 8:01 PM</t>
  </si>
  <si>
    <t>6/25/2026 10:51 AM</t>
  </si>
  <si>
    <t>6/28/2026 10:50 AM</t>
  </si>
  <si>
    <t>6/1/2026 10:36 AM</t>
  </si>
  <si>
    <t>6/2/2026 10:37 AM</t>
  </si>
  <si>
    <t>6/2/2026 7:56 PM</t>
  </si>
  <si>
    <t>6/3/2026 11:01 AM</t>
  </si>
  <si>
    <t>6/4/2026 10:38 AM</t>
  </si>
  <si>
    <t>6/4/2026 6:05 PM</t>
  </si>
  <si>
    <t>6/7/2026 10:36 AM</t>
  </si>
  <si>
    <t>6/7/2026 4:30 PM</t>
  </si>
  <si>
    <t>6/9/2026 10:16 AM</t>
  </si>
  <si>
    <t>6/9/2026 7:56 PM</t>
  </si>
  <si>
    <t>6/10/2026 10:25 AM</t>
  </si>
  <si>
    <t>6/11/2026 10:47 AM</t>
  </si>
  <si>
    <t>6/11/2026 5:00 PM</t>
  </si>
  <si>
    <t>6/15/2026 7:34 PM</t>
  </si>
  <si>
    <t>6/16/2026 7:57 PM</t>
  </si>
  <si>
    <t>6/17/2026 8:15 PM</t>
  </si>
  <si>
    <t>6/21/2026 10:52 AM</t>
  </si>
  <si>
    <t>6/22/2026 10:35 AM</t>
  </si>
  <si>
    <t>6/22/2026 5:24 PM</t>
  </si>
  <si>
    <t>6/23/2026 10:47 AM</t>
  </si>
  <si>
    <t>6/23/2026 7:58 PM</t>
  </si>
  <si>
    <t>6/24/2026 10:39 AM</t>
  </si>
  <si>
    <t>6/25/2026 10:32 AM</t>
  </si>
  <si>
    <t>6/25/2026 5:33 PM</t>
  </si>
  <si>
    <t>6/28/2026 10:36 AM</t>
  </si>
  <si>
    <t>6/2/2026 11:16 AM</t>
  </si>
  <si>
    <t>6/2/2026 8:49 PM</t>
  </si>
  <si>
    <t>6/3/2026 8:12 PM</t>
  </si>
  <si>
    <t>6/4/2026 11:16 AM</t>
  </si>
  <si>
    <t>6/4/2026 7:23 PM</t>
  </si>
  <si>
    <t>6/7/2026 11:19 AM</t>
  </si>
  <si>
    <t>6/7/2026 8:13 PM</t>
  </si>
  <si>
    <t>6/8/2026 11:07 AM</t>
  </si>
  <si>
    <t>6/8/2026 8:16 PM</t>
  </si>
  <si>
    <t>6/9/2026 11:32 AM</t>
  </si>
  <si>
    <t>6/10/2026 11:00 AM</t>
  </si>
  <si>
    <t>6/11/2026 11:22 AM</t>
  </si>
  <si>
    <t>6/11/2026 7:15 PM</t>
  </si>
  <si>
    <t>6/13/2026 12:09 PM</t>
  </si>
  <si>
    <t>6/14/2026 11:05 AM</t>
  </si>
  <si>
    <t>6/14/2026 7:57 PM</t>
  </si>
  <si>
    <t>6/15/2026 10:58 AM</t>
  </si>
  <si>
    <t>6/17/2026 11:21 AM</t>
  </si>
  <si>
    <t>6/17/2026 7:31 PM</t>
  </si>
  <si>
    <t>6/21/2026 11:05 AM</t>
  </si>
  <si>
    <t>6/21/2026 9:13 PM</t>
  </si>
  <si>
    <t>6/22/2026 11:02 AM</t>
  </si>
  <si>
    <t>6/23/2026 11:23 AM</t>
  </si>
  <si>
    <t>6/23/2026 9:30 PM</t>
  </si>
  <si>
    <t>6/24/2026 11:12 AM</t>
  </si>
  <si>
    <t>6/24/2026 9:25 PM</t>
  </si>
  <si>
    <t>6/24/2026 9:28 PM</t>
  </si>
  <si>
    <t>6/25/2026 8:50 PM</t>
  </si>
  <si>
    <t>6/28/2026 11:03 AM</t>
  </si>
  <si>
    <t>AMIRA</t>
  </si>
  <si>
    <t>6/23/2026 1:46 PM</t>
  </si>
  <si>
    <t>6/23/2026 9:36 PM</t>
  </si>
  <si>
    <t>6/24/2026 8:18 PM</t>
  </si>
  <si>
    <t>6/25/2026 10:47 AM</t>
  </si>
  <si>
    <t>6/28/2026 10:52 AM</t>
  </si>
  <si>
    <t>6/1/2026 11:38 AM</t>
  </si>
  <si>
    <t>6/2/2026 11:35 AM</t>
  </si>
  <si>
    <t>6/2/2026 9:09 PM</t>
  </si>
  <si>
    <t>6/3/2026 11:37 AM</t>
  </si>
  <si>
    <t>6/3/2026 8:30 PM</t>
  </si>
  <si>
    <t>6/4/2026 11:34 AM</t>
  </si>
  <si>
    <t>6/4/2026 7:25 PM</t>
  </si>
  <si>
    <t>6/7/2026 11:16 AM</t>
  </si>
  <si>
    <t>6/8/2026 11:27 AM</t>
  </si>
  <si>
    <t>6/8/2026 8:49 PM</t>
  </si>
  <si>
    <t>6/9/2026 12:55 PM</t>
  </si>
  <si>
    <t>6/9/2026 8:18 PM</t>
  </si>
  <si>
    <t>6/10/2026 7:56 PM</t>
  </si>
  <si>
    <t>6/13/2026 11:56 AM</t>
  </si>
  <si>
    <t>6/14/2026 11:17 AM</t>
  </si>
  <si>
    <t>6/15/2026 11:46 AM</t>
  </si>
  <si>
    <t>6/16/2026 8:08 PM</t>
  </si>
  <si>
    <t>6/17/2026 12:27 PM</t>
  </si>
  <si>
    <t>6/18/2026 11:56 AM</t>
  </si>
  <si>
    <t>6/21/2026 12:07 PM</t>
  </si>
  <si>
    <t>6/21/2026 8:29 PM</t>
  </si>
  <si>
    <t>6/22/2026 11:59 AM</t>
  </si>
  <si>
    <t>6/22/2026 8:34 PM</t>
  </si>
  <si>
    <t>6/23/2026 12:04 PM</t>
  </si>
  <si>
    <t>6/23/2026 9:43 PM</t>
  </si>
  <si>
    <t>6/24/2026 12:15 PM</t>
  </si>
  <si>
    <t>6/24/2026 8:57 PM</t>
  </si>
  <si>
    <t>6/25/2026 8:11 PM</t>
  </si>
  <si>
    <t>6/28/2026 11:51 AM</t>
  </si>
  <si>
    <t>6/1/2026 11:11 AM</t>
  </si>
  <si>
    <t>6/1/2026 9:04 PM</t>
  </si>
  <si>
    <t>6/2/2026 11:14 AM</t>
  </si>
  <si>
    <t>6/2/2026 8:54 PM</t>
  </si>
  <si>
    <t>6/3/2026 1:04 PM</t>
  </si>
  <si>
    <t>6/3/2026 8:26 PM</t>
  </si>
  <si>
    <t>6/4/2026 12:54 PM</t>
  </si>
  <si>
    <t>6/7/2026 11:15 AM</t>
  </si>
  <si>
    <t>6/7/2026 8:38 PM</t>
  </si>
  <si>
    <t>6/8/2026 12:56 PM</t>
  </si>
  <si>
    <t>6/8/2026 8:07 PM</t>
  </si>
  <si>
    <t>6/9/2026 10:55 AM</t>
  </si>
  <si>
    <t>6/9/2026 8:23 PM</t>
  </si>
  <si>
    <t>6/10/2026 8:05 PM</t>
  </si>
  <si>
    <t>6/11/2026 12:48 PM</t>
  </si>
  <si>
    <t>6/11/2026 7:24 PM</t>
  </si>
  <si>
    <t>6/13/2026 2:32 PM</t>
  </si>
  <si>
    <t>6/13/2026 6:28 PM</t>
  </si>
  <si>
    <t>6/14/2026 11:02 AM</t>
  </si>
  <si>
    <t>6/15/2026 7:55 PM</t>
  </si>
  <si>
    <t>6/17/2026 1:27 PM</t>
  </si>
  <si>
    <t>6/1/2026 12:08 PM</t>
  </si>
  <si>
    <t>6/1/2026 8:12 PM</t>
  </si>
  <si>
    <t>6/2/2026 12:47 PM</t>
  </si>
  <si>
    <t>6/2/2026 9:07 PM</t>
  </si>
  <si>
    <t>6/3/2026 11:23 PM</t>
  </si>
  <si>
    <t>6/4/2026 11:19 AM</t>
  </si>
  <si>
    <t>6/4/2026 8:47 PM</t>
  </si>
  <si>
    <t>6/7/2026 11:40 AM</t>
  </si>
  <si>
    <t>6/7/2026 8:20 PM</t>
  </si>
  <si>
    <t>6/9/2026 11:56 AM</t>
  </si>
  <si>
    <t>6/9/2026 8:25 PM</t>
  </si>
  <si>
    <t>6/10/2026 11:40 AM</t>
  </si>
  <si>
    <t>6/10/2026 8:12 PM</t>
  </si>
  <si>
    <t>6/11/2026 12:30 PM</t>
  </si>
  <si>
    <t>6/11/2026 8:17 PM</t>
  </si>
  <si>
    <t>6/13/2026 12:45 PM</t>
  </si>
  <si>
    <t>6/14/2026 8:27 PM</t>
  </si>
  <si>
    <t>6/15/2026 12:32 PM</t>
  </si>
  <si>
    <t>6/16/2026 12:47 PM</t>
  </si>
  <si>
    <t>6/16/2026 8:07 PM</t>
  </si>
  <si>
    <t>6/17/2026 12:22 PM</t>
  </si>
  <si>
    <t>6/17/2026 8:11 PM</t>
  </si>
  <si>
    <t>6/18/2026 7:34 PM</t>
  </si>
  <si>
    <t>6/18/2026 7:41 PM</t>
  </si>
  <si>
    <t>6/20/2026 12:42 PM</t>
  </si>
  <si>
    <t>6/20/2026 7:06 PM</t>
  </si>
  <si>
    <t>6/22/2026 12:00 PM</t>
  </si>
  <si>
    <t>6/24/2026 10:16 PM</t>
  </si>
  <si>
    <t>6/25/2026 12:18 PM</t>
  </si>
  <si>
    <t>6/25/2026 8:36 PM</t>
  </si>
  <si>
    <t>6/1/2026 11:36 AM</t>
  </si>
  <si>
    <t>6/1/2026 8:07 PM</t>
  </si>
  <si>
    <t>6/2/2026 11:42 AM</t>
  </si>
  <si>
    <t>6/2/2026 8:48 PM</t>
  </si>
  <si>
    <t>6/3/2026 11:47 AM</t>
  </si>
  <si>
    <t>6/4/2026 11:17 AM</t>
  </si>
  <si>
    <t>6/7/2026 12:56 PM</t>
  </si>
  <si>
    <t>6/9/2026 8:00 PM</t>
  </si>
  <si>
    <t>6/10/2026 11:31 AM</t>
  </si>
  <si>
    <t>6/10/2026 8:18 PM</t>
  </si>
  <si>
    <t>6/11/2026 12:11 PM</t>
  </si>
  <si>
    <t>6/13/2026 12:46 PM</t>
  </si>
  <si>
    <t>6/13/2026 6:56 PM</t>
  </si>
  <si>
    <t>6/14/2026 11:40 AM</t>
  </si>
  <si>
    <t>6/15/2026 11:36 AM</t>
  </si>
  <si>
    <t>6/15/2026 7:43 PM</t>
  </si>
  <si>
    <t>6/16/2026 1:03 PM</t>
  </si>
  <si>
    <t>6/16/2026 8:17 PM</t>
  </si>
  <si>
    <t>6/17/2026 3:03 PM</t>
  </si>
  <si>
    <t>6/18/2026 12:42 PM</t>
  </si>
  <si>
    <t>6/18/2026 7:54 PM</t>
  </si>
  <si>
    <t>6/21/2026 11:34 AM</t>
  </si>
  <si>
    <t>6/22/2026 12:32 PM</t>
  </si>
  <si>
    <t>6/22/2026 8:23 PM</t>
  </si>
  <si>
    <t>6/23/2026 11:31 AM</t>
  </si>
  <si>
    <t>6/23/2026 10:23 PM</t>
  </si>
  <si>
    <t>6/24/2026 11:53 AM</t>
  </si>
  <si>
    <t>6/24/2026 9:42 PM</t>
  </si>
  <si>
    <t>6/28/2026 10:58 AM</t>
  </si>
  <si>
    <t>6/15/2026 11:22 AM</t>
  </si>
  <si>
    <t>6/15/2026 4:23 PM</t>
  </si>
  <si>
    <t>6/21/2026 11:00 AM</t>
  </si>
  <si>
    <t>6/21/2026 6:58 PM</t>
  </si>
  <si>
    <t>6/22/2026 11:05 AM</t>
  </si>
  <si>
    <t>6/23/2026 11:45 AM</t>
  </si>
  <si>
    <t>6/23/2026 6:13 PM</t>
  </si>
  <si>
    <t>6/28/2026 10:53 AM</t>
  </si>
  <si>
    <t>6/1/2026 12:00 PM</t>
  </si>
  <si>
    <t>6/1/2026 7:05 PM</t>
  </si>
  <si>
    <t>6/2/2026 11:06 AM</t>
  </si>
  <si>
    <t>6/2/2026 7:03 PM</t>
  </si>
  <si>
    <t>6/3/2026 11:55 AM</t>
  </si>
  <si>
    <t>6/3/2026 7:33 PM</t>
  </si>
  <si>
    <t>6/4/2026 11:42 AM</t>
  </si>
  <si>
    <t>6/4/2026 6:54 PM</t>
  </si>
  <si>
    <t>6/7/2026 7:15 PM</t>
  </si>
  <si>
    <t>6/9/2026 7:09 PM</t>
  </si>
  <si>
    <t>6/10/2026 8:04 PM</t>
  </si>
  <si>
    <t>6/11/2026 7:43 PM</t>
  </si>
  <si>
    <t>6/1/2026 8:03 PM</t>
  </si>
  <si>
    <t>6/2/2026 11:24 AM</t>
  </si>
  <si>
    <t>6/2/2026 8:14 PM</t>
  </si>
  <si>
    <t>6/3/2026 10:57 AM</t>
  </si>
  <si>
    <t>6/3/2026 8:09 PM</t>
  </si>
  <si>
    <t>6/7/2026 10:09 AM</t>
  </si>
  <si>
    <t>6/7/2026 8:02 PM</t>
  </si>
  <si>
    <t>6/8/2026 12:31 PM</t>
  </si>
  <si>
    <t>6/8/2026 8:09 PM</t>
  </si>
  <si>
    <t>6/9/2026 11:26 AM</t>
  </si>
  <si>
    <t>6/9/2026 8:14 PM</t>
  </si>
  <si>
    <t>6/10/2026 7:51 PM</t>
  </si>
  <si>
    <t>6/11/2026 1:24 PM</t>
  </si>
  <si>
    <t>6/11/2026 8:02 PM</t>
  </si>
  <si>
    <t>6/17/2026 8:04 PM</t>
  </si>
  <si>
    <t>6/18/2026 10:16 AM</t>
  </si>
  <si>
    <t>6/18/2026 7:16 PM</t>
  </si>
  <si>
    <t>6/20/2026 6:56 PM</t>
  </si>
  <si>
    <t>6/22/2026 10:56 AM</t>
  </si>
  <si>
    <t>6/22/2026 8:19 PM</t>
  </si>
  <si>
    <t>6/23/2026 11:57 AM</t>
  </si>
  <si>
    <t>6/24/2026 11:09 AM</t>
  </si>
  <si>
    <t>6/24/2026 8:42 PM</t>
  </si>
  <si>
    <t>6/25/2026 11:10 AM</t>
  </si>
  <si>
    <t>6/25/2026 7:38 PM</t>
  </si>
  <si>
    <t>6/25/2026 7:39 PM</t>
  </si>
  <si>
    <t>6/2/2026 9:03 PM</t>
  </si>
  <si>
    <t>6/4/2026 12:27 PM</t>
  </si>
  <si>
    <t>6/4/2026 7:42 PM</t>
  </si>
  <si>
    <t>6/7/2026 8:08 PM</t>
  </si>
  <si>
    <t>6/8/2026 8:12 PM</t>
  </si>
  <si>
    <t>6/10/2026 11:23 AM</t>
  </si>
  <si>
    <t>6/10/2026 8:03 PM</t>
  </si>
  <si>
    <t>6/15/2026 7:52 PM</t>
  </si>
  <si>
    <t>6/20/2026 6:44 PM</t>
  </si>
  <si>
    <t>6/21/2026 6:45 PM</t>
  </si>
  <si>
    <t>6/24/2026 8:05 PM</t>
  </si>
  <si>
    <t>6/1/2026 2:01 PM</t>
  </si>
  <si>
    <t>6/1/2026 8:08 PM</t>
  </si>
  <si>
    <t>6/2/2026 11:17 AM</t>
  </si>
  <si>
    <t>6/2/2026 8:20 PM</t>
  </si>
  <si>
    <t>6/3/2026 7:56 PM</t>
  </si>
  <si>
    <t>6/4/2026 7:10 PM</t>
  </si>
  <si>
    <t>6/7/2026 11:07 AM</t>
  </si>
  <si>
    <t>6/8/2026 11:02 AM</t>
  </si>
  <si>
    <t>6/8/2026 7:05 PM</t>
  </si>
  <si>
    <t>6/10/2026 11:20 AM</t>
  </si>
  <si>
    <t>6/11/2026 11:40 AM</t>
  </si>
  <si>
    <t>6/11/2026 5:55 PM</t>
  </si>
  <si>
    <t>6/15/2026 12:39 PM</t>
  </si>
  <si>
    <t>6/21/2026 2:16 PM</t>
  </si>
  <si>
    <t>6/22/2026 1:03 PM</t>
  </si>
  <si>
    <t>6/22/2026 8:21 PM</t>
  </si>
  <si>
    <t>6/23/2026 12:01 PM</t>
  </si>
  <si>
    <t>6/24/2026 2:25 PM</t>
  </si>
  <si>
    <t>6/25/2026 11:36 AM</t>
  </si>
  <si>
    <t>6/28/2026 11:40 AM</t>
  </si>
  <si>
    <t>6/1/2026 11:02 AM</t>
  </si>
  <si>
    <t>6/1/2026 9:48 PM</t>
  </si>
  <si>
    <t>6/3/2026 11:09 AM</t>
  </si>
  <si>
    <t>6/3/2026 8:16 PM</t>
  </si>
  <si>
    <t>6/4/2026 11:03 AM</t>
  </si>
  <si>
    <t>6/4/2026 9:37 PM</t>
  </si>
  <si>
    <t>6/7/2026 11:13 AM</t>
  </si>
  <si>
    <t>6/7/2026 6:59 PM</t>
  </si>
  <si>
    <t>6/8/2026 11:26 AM</t>
  </si>
  <si>
    <t>6/9/2026 11:14 AM</t>
  </si>
  <si>
    <t>6/9/2026 7:01 PM</t>
  </si>
  <si>
    <t>6/10/2026 11:21 AM</t>
  </si>
  <si>
    <t>6/10/2026 7:09 PM</t>
  </si>
  <si>
    <t>6/11/2026 7:06 PM</t>
  </si>
  <si>
    <t>6/14/2026 7:00 PM</t>
  </si>
  <si>
    <t>6/15/2026 11:10 AM</t>
  </si>
  <si>
    <t>6/15/2026 7:03 PM</t>
  </si>
  <si>
    <t>6/16/2026 11:39 AM</t>
  </si>
  <si>
    <t>6/18/2026 11:13 AM</t>
  </si>
  <si>
    <t>6/18/2026 9:22 PM</t>
  </si>
  <si>
    <t>6/20/2026 12:13 PM</t>
  </si>
  <si>
    <t>6/20/2026 7:14 PM</t>
  </si>
  <si>
    <t>6/21/2026 12:15 PM</t>
  </si>
  <si>
    <t>6/21/2026 7:36 PM</t>
  </si>
  <si>
    <t>6/22/2026 10:59 AM</t>
  </si>
  <si>
    <t>6/22/2026 11:00 AM</t>
  </si>
  <si>
    <t>6/22/2026 7:07 PM</t>
  </si>
  <si>
    <t>6/23/2026 10:52 AM</t>
  </si>
  <si>
    <t>6/23/2026 8:52 PM</t>
  </si>
  <si>
    <t>6/24/2026 7:25 PM</t>
  </si>
  <si>
    <t>6/25/2026 7:24 PM</t>
  </si>
  <si>
    <t>6/28/2026 10:56 AM</t>
  </si>
  <si>
    <t>6/1/2026 12:54 PM</t>
  </si>
  <si>
    <t>6/1/2026 7:00 PM</t>
  </si>
  <si>
    <t>6/2/2026 11:04 AM</t>
  </si>
  <si>
    <t>6/2/2026 7:00 PM</t>
  </si>
  <si>
    <t>6/3/2026 7:00 PM</t>
  </si>
  <si>
    <t>6/4/2026 11:09 AM</t>
  </si>
  <si>
    <t>6/4/2026 6:56 PM</t>
  </si>
  <si>
    <t>6/7/2026 12:35 PM</t>
  </si>
  <si>
    <t>6/7/2026 7:03 PM</t>
  </si>
  <si>
    <t>6/9/2026 10:48 AM</t>
  </si>
  <si>
    <t>6/9/2026 7:00 PM</t>
  </si>
  <si>
    <t>6/10/2026 11:06 AM</t>
  </si>
  <si>
    <t>6/10/2026 7:00 PM</t>
  </si>
  <si>
    <t>6/14/2026 11:06 AM</t>
  </si>
  <si>
    <t>6/14/2026 11:09 AM</t>
  </si>
  <si>
    <t>6/15/2026 7:00 PM</t>
  </si>
  <si>
    <t>6/17/2026 10:37 AM</t>
  </si>
  <si>
    <t>6/17/2026 10:56 AM</t>
  </si>
  <si>
    <t>6/18/2026 10:52 AM</t>
  </si>
  <si>
    <t>6/18/2026 10:53 AM</t>
  </si>
  <si>
    <t>6/18/2026 7:18 PM</t>
  </si>
  <si>
    <t>6/21/2026 10:50 AM</t>
  </si>
  <si>
    <t>6/22/2026 10:58 AM</t>
  </si>
  <si>
    <t>6/22/2026 6:59 PM</t>
  </si>
  <si>
    <t>6/23/2026 11:06 AM</t>
  </si>
  <si>
    <t>6/24/2026 10:43 AM</t>
  </si>
  <si>
    <t>6/24/2026 6:58 PM</t>
  </si>
  <si>
    <t>6/25/2026 10:54 AM</t>
  </si>
  <si>
    <t>6/25/2026 7:07 PM</t>
  </si>
  <si>
    <t>6/2/2026 12:20 PM</t>
  </si>
  <si>
    <t>6/2/2026 9:48 PM</t>
  </si>
  <si>
    <t>6/3/2026 1:02 PM</t>
  </si>
  <si>
    <t>6/3/2026 11:18 PM</t>
  </si>
  <si>
    <t>6/7/2026 12:36 PM</t>
  </si>
  <si>
    <t>6/7/2026 9:40 PM</t>
  </si>
  <si>
    <t>6/9/2026 2:15 PM</t>
  </si>
  <si>
    <t>6/9/2026 8:56 PM</t>
  </si>
  <si>
    <t>6/10/2026 1:56 PM</t>
  </si>
  <si>
    <t>6/10/2026 9:42 PM</t>
  </si>
  <si>
    <t>6/11/2026 4:35 PM</t>
  </si>
  <si>
    <t>6/11/2026 8:47 PM</t>
  </si>
  <si>
    <t>6/14/2026 9:28 PM</t>
  </si>
  <si>
    <t>6/16/2026 12:07 PM</t>
  </si>
  <si>
    <t>6/16/2026 10:23 PM</t>
  </si>
  <si>
    <t>6/17/2026 11:12 PM</t>
  </si>
  <si>
    <t>6/18/2026 2:52 PM</t>
  </si>
  <si>
    <t>6/21/2026 3:29 PM</t>
  </si>
  <si>
    <t>6/21/2026 9:15 PM</t>
  </si>
  <si>
    <t>6/22/2026 6:48 PM</t>
  </si>
  <si>
    <t>6/24/2026 1:33 PM</t>
  </si>
  <si>
    <t>6/24/2026 9:24 PM</t>
  </si>
  <si>
    <t>SHAHD</t>
  </si>
  <si>
    <t>6/1/2026 1:21 PM</t>
  </si>
  <si>
    <t>6/2/2026 10:39 AM</t>
  </si>
  <si>
    <t>6/2/2026 8:05 PM</t>
  </si>
  <si>
    <t>6/3/2026 10:40 AM</t>
  </si>
  <si>
    <t>6/4/2026 10:42 AM</t>
  </si>
  <si>
    <t>6/7/2026 10:40 AM</t>
  </si>
  <si>
    <t>6/8/2026 10:50 AM</t>
  </si>
  <si>
    <t>6/9/2026 10:50 AM</t>
  </si>
  <si>
    <t>6/10/2026 10:53 AM</t>
  </si>
  <si>
    <t>6/11/2026 10:49 AM</t>
  </si>
  <si>
    <t>6/11/2026 8:03 PM</t>
  </si>
  <si>
    <t>6/13/2026 11:52 AM</t>
  </si>
  <si>
    <t>6/14/2026 8:10 PM</t>
  </si>
  <si>
    <t>6/15/2026 10:53 AM</t>
  </si>
  <si>
    <t>6/17/2026 10:54 AM</t>
  </si>
  <si>
    <t>6/18/2026 10:56 AM</t>
  </si>
  <si>
    <t>6/18/2026 7:19 PM</t>
  </si>
  <si>
    <t>6/20/2026 12:00 PM</t>
  </si>
  <si>
    <t>6/21/2026 8:28 PM</t>
  </si>
  <si>
    <t>6/22/2026 10:53 AM</t>
  </si>
  <si>
    <t>6/22/2026 8:28 PM</t>
  </si>
  <si>
    <t>6/24/2026 11:05 AM</t>
  </si>
  <si>
    <t>6/25/2026 10:56 AM</t>
  </si>
  <si>
    <t>6/1/2026 12:03 PM</t>
  </si>
  <si>
    <t>6/1/2026 8:10 PM</t>
  </si>
  <si>
    <t>6/2/2026 12:55 PM</t>
  </si>
  <si>
    <t>6/2/2026 8:09 PM</t>
  </si>
  <si>
    <t>6/3/2026 11:59 AM</t>
  </si>
  <si>
    <t>6/3/2026 8:18 PM</t>
  </si>
  <si>
    <t>6/3/2026 8:19 PM</t>
  </si>
  <si>
    <t>6/4/2026 11:53 AM</t>
  </si>
  <si>
    <t>6/4/2026 7:11 PM</t>
  </si>
  <si>
    <t>6/7/2026 1:16 PM</t>
  </si>
  <si>
    <t>6/8/2026 10:55 AM</t>
  </si>
  <si>
    <t>6/10/2026 12:38 PM</t>
  </si>
  <si>
    <t>6/10/2026 6:08 PM</t>
  </si>
  <si>
    <t>6/10/2026 6:12 PM</t>
  </si>
  <si>
    <t>6/21/2026 1:10 PM</t>
  </si>
  <si>
    <t>6/21/2026 7:44 PM</t>
  </si>
  <si>
    <t>6/21/2026 7:47 PM</t>
  </si>
  <si>
    <t>6/23/2026 10:56 AM</t>
  </si>
  <si>
    <t>6/23/2026 9:14 PM</t>
  </si>
  <si>
    <t>6/24/2026 11:49 AM</t>
  </si>
  <si>
    <t>6/24/2026 8:45 PM</t>
  </si>
  <si>
    <t>6/25/2026 12:09 PM</t>
  </si>
  <si>
    <t>6/25/2026 7:35 PM</t>
  </si>
  <si>
    <t>6/1/2026 11:56 AM</t>
  </si>
  <si>
    <t>6/2/2026 1:05 PM</t>
  </si>
  <si>
    <t>6/2/2026 10:12 PM</t>
  </si>
  <si>
    <t>6/3/2026 12:21 PM</t>
  </si>
  <si>
    <t>6/7/2026 12:52 PM</t>
  </si>
  <si>
    <t>6/8/2026 7:44 PM</t>
  </si>
  <si>
    <t>6/9/2026 7:22 PM</t>
  </si>
  <si>
    <t>6/13/2026 7:03 PM</t>
  </si>
  <si>
    <t>6/14/2026 1:45 PM</t>
  </si>
  <si>
    <t>6/14/2026 4:43 PM</t>
  </si>
  <si>
    <t>6/15/2026 8:26 PM</t>
  </si>
  <si>
    <t>6/16/2026 11:14 AM</t>
  </si>
  <si>
    <t>6/16/2026 10:24 PM</t>
  </si>
  <si>
    <t>6/18/2026 7:43 PM</t>
  </si>
  <si>
    <t>6/20/2026 1:57 PM</t>
  </si>
  <si>
    <t>6/21/2026 1:15 PM</t>
  </si>
  <si>
    <t>6/22/2026 2:11 PM</t>
  </si>
  <si>
    <t>6/23/2026 11:18 AM</t>
  </si>
  <si>
    <t>6/25/2026 10:40 AM</t>
  </si>
  <si>
    <t>6/28/2026 11:12 AM</t>
  </si>
  <si>
    <t>6/1/2026 11:06 AM</t>
  </si>
  <si>
    <t>6/2/2026 11:29 AM</t>
  </si>
  <si>
    <t>6/2/2026 8:26 PM</t>
  </si>
  <si>
    <t>6/3/2026 11:58 AM</t>
  </si>
  <si>
    <t>6/3/2026 8:03 PM</t>
  </si>
  <si>
    <t>6/4/2026 10:45 AM</t>
  </si>
  <si>
    <t>6/4/2026 7:04 PM</t>
  </si>
  <si>
    <t>6/7/2026 12:51 PM</t>
  </si>
  <si>
    <t>6/7/2026 8:23 PM</t>
  </si>
  <si>
    <t>6/8/2026 11:19 AM</t>
  </si>
  <si>
    <t>6/10/2026 11:12 AM</t>
  </si>
  <si>
    <t>6/14/2026 11:36 AM</t>
  </si>
  <si>
    <t>6/14/2026 7:38 PM</t>
  </si>
  <si>
    <t>6/21/2026 11:32 AM</t>
  </si>
  <si>
    <t>6/21/2026 8:30 PM</t>
  </si>
  <si>
    <t>6/22/2026 1:14 PM</t>
  </si>
  <si>
    <t>6/23/2026 2:50 PM</t>
  </si>
  <si>
    <t>6/23/2026 8:49 PM</t>
  </si>
  <si>
    <t>6/24/2026 11:28 AM</t>
  </si>
  <si>
    <t>6/24/2026 8:06 PM</t>
  </si>
  <si>
    <t>6/25/2026 11:27 AM</t>
  </si>
  <si>
    <t>6/1/2026 7:12 PM</t>
  </si>
  <si>
    <t>6/2/2026 10:55 AM</t>
  </si>
  <si>
    <t>6/3/2026 11:10 AM</t>
  </si>
  <si>
    <t>6/4/2026 10:49 AM</t>
  </si>
  <si>
    <t>6/7/2026 10:52 AM</t>
  </si>
  <si>
    <t>6/8/2026 10:49 AM</t>
  </si>
  <si>
    <t>6/14/2026 10:48 AM</t>
  </si>
  <si>
    <t>6/15/2026 10:45 AM</t>
  </si>
  <si>
    <t>6/17/2026 7:00 PM</t>
  </si>
  <si>
    <t>6/18/2026 5:00 PM</t>
  </si>
  <si>
    <t>6/21/2026 10:54 AM</t>
  </si>
  <si>
    <t>6/22/2026 10:43 AM</t>
  </si>
  <si>
    <t>6/23/2026 10:50 AM</t>
  </si>
  <si>
    <t>6/23/2026 10:55 AM</t>
  </si>
  <si>
    <t>6/24/2026 10:50 AM</t>
  </si>
  <si>
    <t>6/24/2026 5:00 PM</t>
  </si>
  <si>
    <t>Shahd Magdy Salah Abood</t>
  </si>
  <si>
    <t>Amal Ahmed Abbas Ebrahim</t>
  </si>
  <si>
    <t>Amira Lotfi Mohamed Lotfi</t>
  </si>
  <si>
    <t>7 days off annual</t>
  </si>
  <si>
    <t>starting date 23-6</t>
  </si>
  <si>
    <t>HABEBA</t>
  </si>
  <si>
    <t>6/1/2026 11:00 AM</t>
  </si>
  <si>
    <t>6/1/2026 8:00 PM</t>
  </si>
  <si>
    <t>6/2/2026 11:20 AM</t>
  </si>
  <si>
    <t>6/2/2026 5:35 PM</t>
  </si>
  <si>
    <t>6/7/2026 8:16 PM</t>
  </si>
  <si>
    <t>6/8/2026 7:07 PM</t>
  </si>
  <si>
    <t>6/9/2026 8:22 PM</t>
  </si>
  <si>
    <t>6/10/2026 11:28 AM</t>
  </si>
  <si>
    <t>6/11/2026 11:16 AM</t>
  </si>
  <si>
    <t>6/11/2026 6:01 PM</t>
  </si>
  <si>
    <t>6/13/2026 12:14 PM</t>
  </si>
  <si>
    <t>6/14/2026 11:11 AM</t>
  </si>
  <si>
    <t>6/17/2026 11:08 AM</t>
  </si>
  <si>
    <t>6/17/2026 3:50 PM</t>
  </si>
  <si>
    <t>6/18/2026 11:11 AM</t>
  </si>
  <si>
    <t>6/21/2026 11:14 AM</t>
  </si>
  <si>
    <t>6/21/2026 8:05 PM</t>
  </si>
  <si>
    <t>6/22/2026 11:03 AM</t>
  </si>
  <si>
    <t>6/22/2026 8:13 PM</t>
  </si>
  <si>
    <t>6/23/2026 11:12 AM</t>
  </si>
  <si>
    <t>6/23/2026 6:26 PM</t>
  </si>
  <si>
    <t>6/28/2026 11:21 AM</t>
  </si>
  <si>
    <t xml:space="preserve">6 days annual </t>
  </si>
  <si>
    <t>22-6</t>
  </si>
  <si>
    <t>4 days off annual</t>
  </si>
  <si>
    <t>excuswe</t>
  </si>
  <si>
    <t>18/6</t>
  </si>
  <si>
    <t>1 days off annual</t>
  </si>
  <si>
    <t>5 days annual</t>
  </si>
  <si>
    <t>exception from selim</t>
  </si>
  <si>
    <t>no in</t>
  </si>
  <si>
    <t>nor 2a63 29-6</t>
  </si>
  <si>
    <t>nor kan 2a63 on Monday\</t>
  </si>
  <si>
    <t>Ahmed Mohamed Ahmed Nashat</t>
  </si>
  <si>
    <t>off</t>
  </si>
  <si>
    <t>no form</t>
  </si>
  <si>
    <t>30-6</t>
  </si>
  <si>
    <t>30-6-2026</t>
  </si>
  <si>
    <t>?</t>
  </si>
  <si>
    <t>رصيد اجازات 1</t>
  </si>
  <si>
    <t xml:space="preserve">سليم </t>
  </si>
  <si>
    <t>meeting informed by samaher</t>
  </si>
  <si>
    <t>6 days off  --- dedctued from salary no form</t>
  </si>
  <si>
    <t>d</t>
  </si>
  <si>
    <t>AHMEDGENDY</t>
  </si>
  <si>
    <t>6/1/2026 11:23 AM</t>
  </si>
  <si>
    <t>6/1/2026 8:01 PM</t>
  </si>
  <si>
    <t>6/2/2026 8:02 PM</t>
  </si>
  <si>
    <t>6/3/2026 11:30 AM</t>
  </si>
  <si>
    <t>6/7/2026 12:03 PM</t>
  </si>
  <si>
    <t>6/7/2026 7:58 PM</t>
  </si>
  <si>
    <t>6/8/2026 1:53 PM</t>
  </si>
  <si>
    <t>6/8/2026 7:47 PM</t>
  </si>
  <si>
    <t>6/9/2026 4:13 PM</t>
  </si>
  <si>
    <t>6/9/2026 7:38 PM</t>
  </si>
  <si>
    <t>Yara Medhat Ghaleb</t>
  </si>
  <si>
    <t>MOHAMEDOSAMA</t>
  </si>
  <si>
    <t>6/1/2026 12:57 PM</t>
  </si>
  <si>
    <t>6/1/2026 7:04 PM</t>
  </si>
  <si>
    <t>6/4/2026 11:26 AM</t>
  </si>
  <si>
    <t>MOHLABEB</t>
  </si>
  <si>
    <t>6/1/2026 11:20 AM</t>
  </si>
  <si>
    <t>6/1/2026 8:23 PM</t>
  </si>
  <si>
    <t>6/2/2026 11:22 AM</t>
  </si>
  <si>
    <t>6/2/2026 9:13 PM</t>
  </si>
  <si>
    <t>6/3/2026 11:56 AM</t>
  </si>
  <si>
    <t>6/4/2026 11:20 AM</t>
  </si>
  <si>
    <t>6/7/2026 10:59 AM</t>
  </si>
  <si>
    <t>6/7/2026 8:45 PM</t>
  </si>
  <si>
    <t>ANGHAM</t>
  </si>
  <si>
    <t>6/1/2026 11:19 AM</t>
  </si>
  <si>
    <t>6/4/2026 6:37 PM</t>
  </si>
  <si>
    <t>6/7/2026 11:32 AM</t>
  </si>
  <si>
    <t>MOSTAFA</t>
  </si>
  <si>
    <t>6/1/2026 12:37 PM</t>
  </si>
  <si>
    <t>6/1/2026 8:09 PM</t>
  </si>
  <si>
    <t>6/2/2026 11:07 AM</t>
  </si>
  <si>
    <t>6/2/2026 9:11 PM</t>
  </si>
  <si>
    <t>6/3/2026 1:01 PM</t>
  </si>
  <si>
    <t>6/3/2026 7:54 PM</t>
  </si>
  <si>
    <t>6/7/2026 10:57 AM</t>
  </si>
  <si>
    <t>BASMALA</t>
  </si>
  <si>
    <t>6/7/2026 8:43 PM</t>
  </si>
  <si>
    <t>Mostafa Mohamed Ahmed Afify</t>
  </si>
  <si>
    <t>Mohamed Labeb Labeb Hassan</t>
  </si>
  <si>
    <t>Angham Mahmoud Sayed</t>
  </si>
  <si>
    <t>Basmala Shokry Mohamed Maayof</t>
  </si>
  <si>
    <t>last day 9-6</t>
  </si>
  <si>
    <t>last day 7-6</t>
  </si>
  <si>
    <t>Column1</t>
  </si>
  <si>
    <t>last day 4-6 له شهر 5 - 5600 الاجمالي الذي سيتم صرفه 6242</t>
  </si>
  <si>
    <t xml:space="preserve">last day 7-6 ---- لا يتم صرف لها </t>
  </si>
  <si>
    <t>تصفية وانتظار راتب</t>
  </si>
  <si>
    <t>باقي له 20K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</si>
</sst>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-* #,##0.00_-;\-* #,##0.00_-;_-* &quot;-&quot;??_-;_-@_-"/>
    <numFmt numFmtId="165" formatCode="[$EGP]\ #,##0.00"/>
    <numFmt numFmtId="166" formatCode="#,##0.00\ [$ج.م.‏-C01]"/>
    <numFmt numFmtId="167" formatCode="_-[$EGP]\ * #,##0.00_-;\-[$EGP]\ * #,##0.00_-;_-[$EGP]\ * &quot;-&quot;??_-;_-@_-"/>
    <numFmt numFmtId="168" formatCode="&quot;£&quot;#,##0.00"/>
    <numFmt numFmtId="169" formatCode="_-* #,##0_-;\-* #,##0_-;_-* &quot;-&quot;??_-;_-@_-"/>
    <numFmt numFmtId="170" formatCode="0.0"/>
  </numFmts>
  <fonts count="61" x14ac:knownFonts="1">
    <font>
      <sz val="11"/>
      <color theme="1"/>
      <name val="Calibri"/>
      <family val="2"/>
      <scheme val="minor"/>
    </font>
    <font>
      <b/>
      <sz val="20"/>
      <color theme="3" tint="-0.499984740745262"/>
      <name val="Arial"/>
      <family val="2"/>
    </font>
    <font>
      <sz val="20"/>
      <color theme="3" tint="-0.499984740745262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2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</font>
    <font>
      <b/>
      <sz val="10"/>
      <name val="Arial"/>
    </font>
    <font>
      <b/>
      <sz val="18"/>
      <color theme="1"/>
      <name val="Calibri"/>
      <family val="2"/>
      <scheme val="minor"/>
    </font>
    <font>
      <b/>
      <sz val="18"/>
      <name val="Arial"/>
      <family val="2"/>
    </font>
    <font>
      <sz val="18"/>
      <name val="Arial"/>
      <family val="2"/>
    </font>
    <font>
      <sz val="18"/>
      <color theme="1"/>
      <name val="Calibri"/>
      <family val="2"/>
      <scheme val="minor"/>
    </font>
    <font>
      <b/>
      <sz val="20"/>
      <name val="Arial"/>
      <family val="2"/>
    </font>
    <font>
      <sz val="20"/>
      <color theme="1"/>
      <name val="Calibri"/>
      <family val="2"/>
      <scheme val="minor"/>
    </font>
    <font>
      <b/>
      <sz val="20"/>
      <color theme="2" tint="-0.89999084444715716"/>
      <name val="Calibri"/>
      <family val="2"/>
      <scheme val="minor"/>
    </font>
    <font>
      <b/>
      <sz val="20"/>
      <color rgb="FFFF0000"/>
      <name val="Arial"/>
      <family val="2"/>
    </font>
    <font>
      <b/>
      <sz val="20"/>
      <color theme="1"/>
      <name val="Arial"/>
      <family val="2"/>
    </font>
    <font>
      <b/>
      <sz val="20"/>
      <color theme="2" tint="-0.89999084444715716"/>
      <name val="Arial"/>
      <family val="2"/>
    </font>
    <font>
      <sz val="20"/>
      <color theme="2" tint="-0.89999084444715716"/>
      <name val="Arial"/>
      <family val="2"/>
    </font>
    <font>
      <sz val="20"/>
      <color theme="2" tint="-0.89999084444715716"/>
      <name val="Calibri"/>
      <family val="2"/>
      <scheme val="minor"/>
    </font>
    <font>
      <b/>
      <sz val="18"/>
      <name val="Calibri"/>
      <family val="2"/>
      <scheme val="minor"/>
    </font>
    <font>
      <b/>
      <sz val="2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Arial"/>
      <family val="2"/>
    </font>
    <font>
      <sz val="22"/>
      <name val="Calibri"/>
      <family val="2"/>
      <scheme val="minor"/>
    </font>
    <font>
      <b/>
      <sz val="26"/>
      <color theme="1"/>
      <name val="Arial"/>
      <family val="2"/>
    </font>
    <font>
      <b/>
      <sz val="26"/>
      <color rgb="FFFF0000"/>
      <name val="Arial"/>
      <family val="2"/>
    </font>
    <font>
      <sz val="26"/>
      <color theme="3" tint="-0.499984740745262"/>
      <name val="Arial"/>
      <family val="2"/>
    </font>
    <font>
      <b/>
      <sz val="26"/>
      <color theme="3" tint="-0.499984740745262"/>
      <name val="Arial"/>
      <family val="2"/>
    </font>
    <font>
      <sz val="26"/>
      <name val="Arial"/>
      <family val="2"/>
    </font>
    <font>
      <sz val="26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rgb="FFFF0000"/>
      <name val="Arial"/>
      <family val="2"/>
    </font>
    <font>
      <b/>
      <sz val="14"/>
      <color theme="3" tint="-0.499984740745262"/>
      <name val="Arial"/>
      <family val="2"/>
    </font>
    <font>
      <sz val="14"/>
      <color theme="3" tint="-0.499984740745262"/>
      <name val="Arial"/>
      <family val="2"/>
    </font>
    <font>
      <sz val="14"/>
      <color rgb="FFFF0000"/>
      <name val="Arial"/>
      <family val="2"/>
    </font>
    <font>
      <sz val="14"/>
      <color rgb="FF002060"/>
      <name val="Arial"/>
      <family val="2"/>
    </font>
    <font>
      <b/>
      <sz val="16"/>
      <color theme="1"/>
      <name val="Arial"/>
      <family val="2"/>
    </font>
    <font>
      <b/>
      <sz val="16"/>
      <color rgb="FF002060"/>
      <name val="Arial"/>
      <family val="2"/>
    </font>
    <font>
      <sz val="16"/>
      <color theme="3" tint="-0.499984740745262"/>
      <name val="Arial"/>
      <family val="2"/>
    </font>
    <font>
      <sz val="16"/>
      <name val="Arial"/>
      <family val="2"/>
    </font>
    <font>
      <sz val="16"/>
      <color rgb="FF002060"/>
      <name val="Arial"/>
      <family val="2"/>
    </font>
    <font>
      <b/>
      <sz val="16"/>
      <color theme="3" tint="-0.499984740745262"/>
      <name val="Arial"/>
      <family val="2"/>
    </font>
    <font>
      <b/>
      <sz val="16"/>
      <name val="Arial"/>
      <family val="2"/>
    </font>
    <font>
      <b/>
      <sz val="2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3" fillId="0" borderId="0"/>
    <xf numFmtId="0" fontId="5" fillId="0" borderId="0"/>
    <xf numFmtId="0" fontId="6" fillId="0" borderId="0"/>
    <xf numFmtId="0" fontId="7" fillId="0" borderId="0"/>
    <xf numFmtId="0" fontId="9" fillId="0" borderId="0"/>
    <xf numFmtId="0" fontId="12" fillId="0" borderId="0"/>
    <xf numFmtId="164" fontId="8" fillId="0" borderId="0" applyFont="0" applyFill="0" applyBorder="0" applyAlignment="0" applyProtection="0"/>
    <xf numFmtId="0" fontId="13" fillId="0" borderId="0"/>
    <xf numFmtId="0" fontId="22" fillId="0" borderId="0"/>
  </cellStyleXfs>
  <cellXfs count="308">
    <xf numFmtId="0" fontId="0" fillId="0" borderId="0" xfId="0"/>
    <xf numFmtId="0" fontId="2" fillId="0" borderId="0" xfId="0" applyFont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9" fillId="6" borderId="0" xfId="0" applyFont="1" applyFill="1"/>
    <xf numFmtId="0" fontId="19" fillId="6" borderId="0" xfId="0" applyFont="1" applyFill="1" applyAlignment="1">
      <alignment horizontal="center"/>
    </xf>
    <xf numFmtId="0" fontId="3" fillId="0" borderId="0" xfId="1"/>
    <xf numFmtId="0" fontId="15" fillId="0" borderId="0" xfId="0" applyFont="1"/>
    <xf numFmtId="0" fontId="0" fillId="0" borderId="0" xfId="0" applyAlignment="1">
      <alignment horizontal="left"/>
    </xf>
    <xf numFmtId="0" fontId="23" fillId="0" borderId="0" xfId="9" applyFont="1"/>
    <xf numFmtId="0" fontId="0" fillId="0" borderId="0" xfId="0" applyAlignment="1">
      <alignment horizontal="center" vertical="center"/>
    </xf>
    <xf numFmtId="0" fontId="14" fillId="0" borderId="0" xfId="8" applyFont="1"/>
    <xf numFmtId="0" fontId="10" fillId="0" borderId="0" xfId="1" applyFont="1"/>
    <xf numFmtId="0" fontId="10" fillId="0" borderId="0" xfId="1" applyFont="1" applyAlignment="1">
      <alignment horizontal="left"/>
    </xf>
    <xf numFmtId="22" fontId="17" fillId="0" borderId="0" xfId="8" applyNumberFormat="1" applyFont="1"/>
    <xf numFmtId="0" fontId="0" fillId="0" borderId="0" xfId="0" applyAlignment="1">
      <alignment horizontal="center"/>
    </xf>
    <xf numFmtId="0" fontId="22" fillId="0" borderId="0" xfId="9"/>
    <xf numFmtId="0" fontId="13" fillId="0" borderId="0" xfId="8"/>
    <xf numFmtId="0" fontId="3" fillId="0" borderId="0" xfId="1" applyAlignment="1">
      <alignment horizontal="left"/>
    </xf>
    <xf numFmtId="0" fontId="17" fillId="0" borderId="0" xfId="8" applyFont="1"/>
    <xf numFmtId="0" fontId="3" fillId="0" borderId="0" xfId="9" applyFont="1"/>
    <xf numFmtId="0" fontId="13" fillId="0" borderId="0" xfId="8" applyAlignment="1">
      <alignment horizontal="left"/>
    </xf>
    <xf numFmtId="0" fontId="3" fillId="0" borderId="0" xfId="8" applyFont="1"/>
    <xf numFmtId="0" fontId="13" fillId="0" borderId="0" xfId="8" applyAlignment="1">
      <alignment horizontal="center"/>
    </xf>
    <xf numFmtId="14" fontId="3" fillId="0" borderId="0" xfId="1" applyNumberFormat="1" applyAlignment="1">
      <alignment horizontal="left"/>
    </xf>
    <xf numFmtId="0" fontId="16" fillId="0" borderId="0" xfId="0" applyFont="1"/>
    <xf numFmtId="22" fontId="3" fillId="0" borderId="0" xfId="1" applyNumberFormat="1" applyAlignment="1">
      <alignment horizontal="left"/>
    </xf>
    <xf numFmtId="14" fontId="3" fillId="0" borderId="0" xfId="1" applyNumberFormat="1"/>
    <xf numFmtId="14" fontId="13" fillId="0" borderId="0" xfId="8" applyNumberFormat="1" applyAlignment="1">
      <alignment horizontal="left"/>
    </xf>
    <xf numFmtId="22" fontId="13" fillId="0" borderId="0" xfId="8" applyNumberFormat="1"/>
    <xf numFmtId="22" fontId="3" fillId="0" borderId="0" xfId="1" applyNumberFormat="1"/>
    <xf numFmtId="0" fontId="21" fillId="0" borderId="0" xfId="8" applyFont="1"/>
    <xf numFmtId="0" fontId="14" fillId="0" borderId="0" xfId="0" applyFont="1"/>
    <xf numFmtId="0" fontId="13" fillId="0" borderId="0" xfId="0" applyFont="1"/>
    <xf numFmtId="22" fontId="22" fillId="0" borderId="0" xfId="9" applyNumberFormat="1"/>
    <xf numFmtId="0" fontId="3" fillId="0" borderId="0" xfId="0" applyFont="1"/>
    <xf numFmtId="14" fontId="0" fillId="0" borderId="0" xfId="0" applyNumberFormat="1" applyAlignment="1">
      <alignment horizontal="left"/>
    </xf>
    <xf numFmtId="14" fontId="0" fillId="0" borderId="0" xfId="0" applyNumberFormat="1"/>
    <xf numFmtId="22" fontId="13" fillId="0" borderId="0" xfId="8" applyNumberFormat="1" applyAlignment="1">
      <alignment horizontal="left"/>
    </xf>
    <xf numFmtId="14" fontId="22" fillId="0" borderId="0" xfId="9" applyNumberFormat="1"/>
    <xf numFmtId="0" fontId="22" fillId="2" borderId="0" xfId="9" applyFill="1"/>
    <xf numFmtId="0" fontId="10" fillId="0" borderId="0" xfId="1" applyFont="1" applyAlignment="1">
      <alignment horizontal="center"/>
    </xf>
    <xf numFmtId="22" fontId="22" fillId="0" borderId="0" xfId="9" applyNumberFormat="1" applyAlignment="1">
      <alignment horizontal="left"/>
    </xf>
    <xf numFmtId="169" fontId="20" fillId="6" borderId="0" xfId="7" applyNumberFormat="1" applyFont="1" applyFill="1" applyAlignment="1">
      <alignment horizontal="center"/>
    </xf>
    <xf numFmtId="20" fontId="0" fillId="0" borderId="0" xfId="0" applyNumberFormat="1"/>
    <xf numFmtId="14" fontId="0" fillId="2" borderId="0" xfId="0" applyNumberFormat="1" applyFill="1"/>
    <xf numFmtId="0" fontId="17" fillId="2" borderId="0" xfId="9" applyFont="1" applyFill="1"/>
    <xf numFmtId="0" fontId="3" fillId="0" borderId="0" xfId="8" applyFont="1" applyAlignment="1">
      <alignment horizontal="left"/>
    </xf>
    <xf numFmtId="22" fontId="0" fillId="0" borderId="0" xfId="0" applyNumberFormat="1"/>
    <xf numFmtId="0" fontId="22" fillId="12" borderId="0" xfId="9" applyFill="1"/>
    <xf numFmtId="0" fontId="25" fillId="0" borderId="0" xfId="9" applyFont="1"/>
    <xf numFmtId="0" fontId="25" fillId="0" borderId="0" xfId="8" applyFont="1"/>
    <xf numFmtId="0" fontId="26" fillId="0" borderId="0" xfId="9" applyFont="1"/>
    <xf numFmtId="0" fontId="26" fillId="0" borderId="0" xfId="8" applyFont="1"/>
    <xf numFmtId="0" fontId="26" fillId="0" borderId="0" xfId="1" applyFont="1"/>
    <xf numFmtId="0" fontId="27" fillId="0" borderId="0" xfId="0" applyFont="1"/>
    <xf numFmtId="22" fontId="26" fillId="0" borderId="0" xfId="9" applyNumberFormat="1" applyFont="1"/>
    <xf numFmtId="0" fontId="28" fillId="0" borderId="0" xfId="9" applyFont="1"/>
    <xf numFmtId="0" fontId="29" fillId="0" borderId="0" xfId="0" applyFont="1"/>
    <xf numFmtId="0" fontId="11" fillId="0" borderId="0" xfId="9" applyFont="1"/>
    <xf numFmtId="0" fontId="11" fillId="0" borderId="0" xfId="1" applyFont="1"/>
    <xf numFmtId="22" fontId="11" fillId="0" borderId="0" xfId="9" applyNumberFormat="1" applyFont="1"/>
    <xf numFmtId="0" fontId="29" fillId="10" borderId="0" xfId="0" applyFont="1" applyFill="1"/>
    <xf numFmtId="0" fontId="31" fillId="11" borderId="0" xfId="0" applyFont="1" applyFill="1" applyAlignment="1">
      <alignment horizontal="center" vertical="center"/>
    </xf>
    <xf numFmtId="0" fontId="32" fillId="11" borderId="6" xfId="0" applyFont="1" applyFill="1" applyBorder="1" applyAlignment="1">
      <alignment horizontal="center" vertical="center"/>
    </xf>
    <xf numFmtId="2" fontId="32" fillId="11" borderId="3" xfId="0" applyNumberFormat="1" applyFont="1" applyFill="1" applyBorder="1" applyAlignment="1">
      <alignment horizontal="center" vertical="center"/>
    </xf>
    <xf numFmtId="164" fontId="32" fillId="11" borderId="1" xfId="7" applyFont="1" applyFill="1" applyBorder="1" applyAlignment="1">
      <alignment horizontal="center" vertical="center"/>
    </xf>
    <xf numFmtId="169" fontId="32" fillId="11" borderId="1" xfId="7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33" fillId="5" borderId="1" xfId="0" applyFont="1" applyFill="1" applyBorder="1" applyAlignment="1">
      <alignment horizontal="center" vertical="center"/>
    </xf>
    <xf numFmtId="165" fontId="33" fillId="5" borderId="1" xfId="0" applyNumberFormat="1" applyFont="1" applyFill="1" applyBorder="1" applyAlignment="1">
      <alignment horizontal="center" vertical="center"/>
    </xf>
    <xf numFmtId="164" fontId="30" fillId="5" borderId="1" xfId="7" applyFont="1" applyFill="1" applyBorder="1" applyAlignment="1">
      <alignment horizontal="center"/>
    </xf>
    <xf numFmtId="0" fontId="29" fillId="0" borderId="1" xfId="0" applyFont="1" applyBorder="1"/>
    <xf numFmtId="0" fontId="29" fillId="0" borderId="1" xfId="0" applyFont="1" applyBorder="1" applyAlignment="1">
      <alignment horizontal="center"/>
    </xf>
    <xf numFmtId="169" fontId="29" fillId="0" borderId="1" xfId="7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left"/>
    </xf>
    <xf numFmtId="0" fontId="29" fillId="0" borderId="0" xfId="0" applyFont="1" applyAlignment="1">
      <alignment horizontal="center"/>
    </xf>
    <xf numFmtId="169" fontId="18" fillId="0" borderId="1" xfId="7" applyNumberFormat="1" applyFont="1" applyBorder="1"/>
    <xf numFmtId="0" fontId="34" fillId="0" borderId="1" xfId="0" applyFont="1" applyBorder="1" applyAlignment="1">
      <alignment horizontal="center" vertical="center"/>
    </xf>
    <xf numFmtId="164" fontId="35" fillId="0" borderId="1" xfId="7" applyFont="1" applyBorder="1" applyAlignment="1">
      <alignment horizontal="center"/>
    </xf>
    <xf numFmtId="169" fontId="33" fillId="0" borderId="1" xfId="7" applyNumberFormat="1" applyFont="1" applyBorder="1" applyAlignment="1">
      <alignment vertical="center"/>
    </xf>
    <xf numFmtId="0" fontId="29" fillId="5" borderId="0" xfId="0" applyFont="1" applyFill="1"/>
    <xf numFmtId="169" fontId="18" fillId="5" borderId="0" xfId="0" applyNumberFormat="1" applyFont="1" applyFill="1"/>
    <xf numFmtId="0" fontId="29" fillId="9" borderId="0" xfId="0" applyFont="1" applyFill="1"/>
    <xf numFmtId="0" fontId="30" fillId="9" borderId="0" xfId="0" applyFont="1" applyFill="1"/>
    <xf numFmtId="0" fontId="32" fillId="5" borderId="1" xfId="0" applyFont="1" applyFill="1" applyBorder="1" applyAlignment="1">
      <alignment horizontal="center" vertical="center"/>
    </xf>
    <xf numFmtId="164" fontId="32" fillId="5" borderId="1" xfId="7" applyFont="1" applyFill="1" applyBorder="1" applyAlignment="1">
      <alignment horizontal="center" vertical="center"/>
    </xf>
    <xf numFmtId="170" fontId="32" fillId="5" borderId="1" xfId="7" applyNumberFormat="1" applyFont="1" applyFill="1" applyBorder="1" applyAlignment="1">
      <alignment vertical="center"/>
    </xf>
    <xf numFmtId="169" fontId="29" fillId="0" borderId="1" xfId="7" applyNumberFormat="1" applyFont="1" applyBorder="1"/>
    <xf numFmtId="169" fontId="29" fillId="0" borderId="0" xfId="0" applyNumberFormat="1" applyFont="1"/>
    <xf numFmtId="0" fontId="32" fillId="0" borderId="0" xfId="0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164" fontId="32" fillId="0" borderId="0" xfId="7" applyFont="1" applyFill="1" applyBorder="1" applyAlignment="1">
      <alignment horizontal="center" vertical="center"/>
    </xf>
    <xf numFmtId="169" fontId="32" fillId="0" borderId="0" xfId="7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67" fontId="11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4" fontId="2" fillId="0" borderId="0" xfId="7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9" fontId="1" fillId="0" borderId="0" xfId="7" applyNumberFormat="1" applyFont="1" applyFill="1" applyBorder="1" applyAlignment="1">
      <alignment horizontal="center" vertical="center"/>
    </xf>
    <xf numFmtId="169" fontId="32" fillId="11" borderId="6" xfId="7" applyNumberFormat="1" applyFont="1" applyFill="1" applyBorder="1" applyAlignment="1">
      <alignment horizontal="center" vertical="center"/>
    </xf>
    <xf numFmtId="169" fontId="29" fillId="0" borderId="0" xfId="7" applyNumberFormat="1" applyFont="1" applyAlignment="1">
      <alignment horizontal="center"/>
    </xf>
    <xf numFmtId="169" fontId="29" fillId="10" borderId="0" xfId="7" applyNumberFormat="1" applyFont="1" applyFill="1" applyAlignment="1">
      <alignment horizontal="center"/>
    </xf>
    <xf numFmtId="0" fontId="31" fillId="11" borderId="6" xfId="0" applyFont="1" applyFill="1" applyBorder="1" applyAlignment="1">
      <alignment horizontal="center" vertical="center"/>
    </xf>
    <xf numFmtId="169" fontId="29" fillId="0" borderId="1" xfId="7" applyNumberFormat="1" applyFont="1" applyBorder="1" applyAlignment="1">
      <alignment horizontal="center"/>
    </xf>
    <xf numFmtId="0" fontId="29" fillId="0" borderId="1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169" fontId="29" fillId="2" borderId="0" xfId="7" applyNumberFormat="1" applyFont="1" applyFill="1" applyAlignment="1">
      <alignment horizontal="center"/>
    </xf>
    <xf numFmtId="0" fontId="32" fillId="4" borderId="6" xfId="0" applyFont="1" applyFill="1" applyBorder="1" applyAlignment="1">
      <alignment horizontal="center" vertical="center"/>
    </xf>
    <xf numFmtId="2" fontId="32" fillId="4" borderId="3" xfId="0" applyNumberFormat="1" applyFont="1" applyFill="1" applyBorder="1" applyAlignment="1">
      <alignment horizontal="center" vertical="center"/>
    </xf>
    <xf numFmtId="164" fontId="32" fillId="4" borderId="1" xfId="7" applyFont="1" applyFill="1" applyBorder="1" applyAlignment="1">
      <alignment horizontal="center" vertical="center"/>
    </xf>
    <xf numFmtId="169" fontId="32" fillId="4" borderId="1" xfId="7" applyNumberFormat="1" applyFont="1" applyFill="1" applyBorder="1" applyAlignment="1">
      <alignment horizontal="center" vertical="center"/>
    </xf>
    <xf numFmtId="169" fontId="29" fillId="0" borderId="1" xfId="7" applyNumberFormat="1" applyFont="1" applyFill="1" applyBorder="1" applyAlignment="1">
      <alignment horizontal="center" vertical="center"/>
    </xf>
    <xf numFmtId="169" fontId="32" fillId="4" borderId="6" xfId="7" applyNumberFormat="1" applyFont="1" applyFill="1" applyBorder="1" applyAlignment="1">
      <alignment horizontal="center" vertical="center"/>
    </xf>
    <xf numFmtId="0" fontId="32" fillId="8" borderId="0" xfId="0" applyFont="1" applyFill="1" applyAlignment="1">
      <alignment horizontal="center" vertical="center"/>
    </xf>
    <xf numFmtId="169" fontId="32" fillId="8" borderId="0" xfId="7" applyNumberFormat="1" applyFont="1" applyFill="1" applyBorder="1" applyAlignment="1">
      <alignment horizontal="center" vertical="center"/>
    </xf>
    <xf numFmtId="0" fontId="29" fillId="8" borderId="0" xfId="0" applyFont="1" applyFill="1"/>
    <xf numFmtId="0" fontId="29" fillId="2" borderId="0" xfId="0" applyFont="1" applyFill="1"/>
    <xf numFmtId="169" fontId="31" fillId="0" borderId="0" xfId="7" applyNumberFormat="1" applyFont="1" applyAlignment="1">
      <alignment horizontal="center" vertical="center"/>
    </xf>
    <xf numFmtId="22" fontId="26" fillId="0" borderId="0" xfId="9" applyNumberFormat="1" applyFont="1" applyAlignment="1">
      <alignment horizontal="left"/>
    </xf>
    <xf numFmtId="0" fontId="24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169" fontId="1" fillId="0" borderId="0" xfId="0" applyNumberFormat="1" applyFont="1" applyAlignment="1">
      <alignment horizontal="center"/>
    </xf>
    <xf numFmtId="0" fontId="36" fillId="0" borderId="0" xfId="0" applyFont="1"/>
    <xf numFmtId="0" fontId="36" fillId="3" borderId="3" xfId="0" applyFont="1" applyFill="1" applyBorder="1" applyAlignment="1">
      <alignment vertical="center"/>
    </xf>
    <xf numFmtId="0" fontId="36" fillId="3" borderId="6" xfId="0" applyFont="1" applyFill="1" applyBorder="1"/>
    <xf numFmtId="169" fontId="36" fillId="3" borderId="6" xfId="7" applyNumberFormat="1" applyFont="1" applyFill="1" applyBorder="1" applyAlignment="1">
      <alignment horizontal="center"/>
    </xf>
    <xf numFmtId="0" fontId="25" fillId="0" borderId="1" xfId="0" applyFont="1" applyBorder="1" applyAlignment="1">
      <alignment horizontal="left"/>
    </xf>
    <xf numFmtId="0" fontId="36" fillId="0" borderId="1" xfId="0" applyFont="1" applyBorder="1" applyAlignment="1">
      <alignment horizontal="left" vertical="center"/>
    </xf>
    <xf numFmtId="0" fontId="36" fillId="0" borderId="9" xfId="0" applyFont="1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36" fillId="0" borderId="6" xfId="0" applyFont="1" applyBorder="1" applyAlignment="1">
      <alignment horizontal="left" vertical="center"/>
    </xf>
    <xf numFmtId="168" fontId="36" fillId="0" borderId="0" xfId="0" applyNumberFormat="1" applyFont="1" applyAlignment="1">
      <alignment horizontal="center" vertical="center"/>
    </xf>
    <xf numFmtId="169" fontId="36" fillId="3" borderId="7" xfId="7" applyNumberFormat="1" applyFont="1" applyFill="1" applyBorder="1" applyAlignment="1">
      <alignment horizontal="center"/>
    </xf>
    <xf numFmtId="0" fontId="25" fillId="0" borderId="0" xfId="0" applyFont="1" applyAlignment="1">
      <alignment horizontal="left"/>
    </xf>
    <xf numFmtId="0" fontId="36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49" fontId="36" fillId="0" borderId="0" xfId="7" applyNumberFormat="1" applyFont="1" applyFill="1" applyBorder="1" applyAlignment="1">
      <alignment horizontal="left" vertical="center"/>
    </xf>
    <xf numFmtId="0" fontId="25" fillId="0" borderId="0" xfId="0" applyFont="1" applyAlignment="1">
      <alignment vertical="center"/>
    </xf>
    <xf numFmtId="0" fontId="26" fillId="0" borderId="6" xfId="0" applyFont="1" applyBorder="1" applyAlignment="1">
      <alignment vertical="center"/>
    </xf>
    <xf numFmtId="49" fontId="36" fillId="0" borderId="6" xfId="7" applyNumberFormat="1" applyFont="1" applyFill="1" applyBorder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49" fontId="36" fillId="0" borderId="1" xfId="0" applyNumberFormat="1" applyFont="1" applyBorder="1" applyAlignment="1">
      <alignment horizontal="left" vertical="center"/>
    </xf>
    <xf numFmtId="169" fontId="36" fillId="0" borderId="0" xfId="7" applyNumberFormat="1" applyFont="1" applyFill="1" applyAlignment="1">
      <alignment horizontal="center"/>
    </xf>
    <xf numFmtId="0" fontId="25" fillId="0" borderId="9" xfId="0" applyFont="1" applyBorder="1" applyAlignment="1">
      <alignment horizontal="left" vertical="center"/>
    </xf>
    <xf numFmtId="49" fontId="36" fillId="0" borderId="9" xfId="0" applyNumberFormat="1" applyFont="1" applyBorder="1" applyAlignment="1">
      <alignment horizontal="left" vertical="center"/>
    </xf>
    <xf numFmtId="169" fontId="36" fillId="0" borderId="0" xfId="7" applyNumberFormat="1" applyFont="1" applyFill="1" applyBorder="1" applyAlignment="1">
      <alignment horizontal="center"/>
    </xf>
    <xf numFmtId="0" fontId="36" fillId="0" borderId="0" xfId="0" applyFont="1" applyAlignment="1">
      <alignment vertical="center"/>
    </xf>
    <xf numFmtId="169" fontId="36" fillId="0" borderId="0" xfId="7" applyNumberFormat="1" applyFont="1" applyAlignment="1">
      <alignment horizontal="center"/>
    </xf>
    <xf numFmtId="0" fontId="37" fillId="2" borderId="1" xfId="0" applyFont="1" applyFill="1" applyBorder="1" applyAlignment="1">
      <alignment horizontal="center" vertical="center"/>
    </xf>
    <xf numFmtId="167" fontId="37" fillId="2" borderId="1" xfId="0" applyNumberFormat="1" applyFont="1" applyFill="1" applyBorder="1" applyAlignment="1">
      <alignment horizontal="center"/>
    </xf>
    <xf numFmtId="169" fontId="37" fillId="2" borderId="2" xfId="7" applyNumberFormat="1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169" fontId="37" fillId="0" borderId="1" xfId="7" applyNumberFormat="1" applyFont="1" applyFill="1" applyBorder="1" applyAlignment="1">
      <alignment horizontal="center"/>
    </xf>
    <xf numFmtId="0" fontId="37" fillId="0" borderId="1" xfId="0" applyFont="1" applyBorder="1" applyAlignment="1">
      <alignment horizontal="left" vertical="center"/>
    </xf>
    <xf numFmtId="167" fontId="37" fillId="2" borderId="1" xfId="0" applyNumberFormat="1" applyFont="1" applyFill="1" applyBorder="1" applyAlignment="1">
      <alignment vertical="center"/>
    </xf>
    <xf numFmtId="167" fontId="37" fillId="2" borderId="1" xfId="0" applyNumberFormat="1" applyFont="1" applyFill="1" applyBorder="1" applyAlignment="1">
      <alignment horizontal="left"/>
    </xf>
    <xf numFmtId="169" fontId="37" fillId="2" borderId="1" xfId="0" applyNumberFormat="1" applyFont="1" applyFill="1" applyBorder="1" applyAlignment="1">
      <alignment horizontal="center"/>
    </xf>
    <xf numFmtId="0" fontId="15" fillId="2" borderId="0" xfId="0" applyFont="1" applyFill="1"/>
    <xf numFmtId="0" fontId="38" fillId="0" borderId="0" xfId="0" applyFont="1"/>
    <xf numFmtId="0" fontId="39" fillId="0" borderId="1" xfId="9" applyFont="1" applyBorder="1"/>
    <xf numFmtId="0" fontId="38" fillId="0" borderId="1" xfId="0" applyFont="1" applyBorder="1"/>
    <xf numFmtId="0" fontId="38" fillId="8" borderId="0" xfId="0" applyFont="1" applyFill="1"/>
    <xf numFmtId="0" fontId="37" fillId="0" borderId="0" xfId="0" applyFont="1"/>
    <xf numFmtId="169" fontId="37" fillId="0" borderId="1" xfId="7" applyNumberFormat="1" applyFont="1" applyFill="1" applyBorder="1" applyAlignment="1">
      <alignment horizontal="center" vertical="center"/>
    </xf>
    <xf numFmtId="169" fontId="36" fillId="0" borderId="11" xfId="7" applyNumberFormat="1" applyFont="1" applyFill="1" applyBorder="1" applyAlignment="1">
      <alignment horizontal="center" vertical="center"/>
    </xf>
    <xf numFmtId="169" fontId="25" fillId="0" borderId="1" xfId="7" applyNumberFormat="1" applyFont="1" applyBorder="1" applyAlignment="1">
      <alignment horizontal="center" vertical="center"/>
    </xf>
    <xf numFmtId="169" fontId="36" fillId="0" borderId="1" xfId="7" applyNumberFormat="1" applyFont="1" applyBorder="1" applyAlignment="1">
      <alignment horizontal="center" vertical="center"/>
    </xf>
    <xf numFmtId="169" fontId="36" fillId="0" borderId="1" xfId="7" applyNumberFormat="1" applyFont="1" applyFill="1" applyBorder="1" applyAlignment="1">
      <alignment horizontal="center" vertical="center"/>
    </xf>
    <xf numFmtId="169" fontId="36" fillId="0" borderId="4" xfId="7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37" fillId="13" borderId="1" xfId="0" applyFont="1" applyFill="1" applyBorder="1" applyAlignment="1">
      <alignment horizontal="left"/>
    </xf>
    <xf numFmtId="169" fontId="37" fillId="13" borderId="1" xfId="7" applyNumberFormat="1" applyFont="1" applyFill="1" applyBorder="1" applyAlignment="1">
      <alignment horizontal="center"/>
    </xf>
    <xf numFmtId="0" fontId="37" fillId="13" borderId="0" xfId="0" applyFont="1" applyFill="1"/>
    <xf numFmtId="0" fontId="37" fillId="14" borderId="1" xfId="0" applyFont="1" applyFill="1" applyBorder="1" applyAlignment="1">
      <alignment horizontal="left"/>
    </xf>
    <xf numFmtId="169" fontId="37" fillId="14" borderId="1" xfId="7" applyNumberFormat="1" applyFont="1" applyFill="1" applyBorder="1" applyAlignment="1">
      <alignment horizontal="center"/>
    </xf>
    <xf numFmtId="0" fontId="37" fillId="14" borderId="1" xfId="0" applyFont="1" applyFill="1" applyBorder="1" applyAlignment="1">
      <alignment horizontal="left" vertical="center"/>
    </xf>
    <xf numFmtId="169" fontId="37" fillId="14" borderId="1" xfId="7" applyNumberFormat="1" applyFont="1" applyFill="1" applyBorder="1" applyAlignment="1">
      <alignment horizontal="center" vertical="center"/>
    </xf>
    <xf numFmtId="169" fontId="37" fillId="14" borderId="4" xfId="7" applyNumberFormat="1" applyFont="1" applyFill="1" applyBorder="1" applyAlignment="1">
      <alignment horizontal="center" vertical="center"/>
    </xf>
    <xf numFmtId="0" fontId="37" fillId="14" borderId="1" xfId="0" applyFont="1" applyFill="1" applyBorder="1"/>
    <xf numFmtId="0" fontId="37" fillId="2" borderId="6" xfId="0" applyFont="1" applyFill="1" applyBorder="1" applyAlignment="1">
      <alignment horizontal="center" vertical="center"/>
    </xf>
    <xf numFmtId="0" fontId="37" fillId="14" borderId="0" xfId="0" applyFont="1" applyFill="1" applyAlignment="1">
      <alignment horizontal="center" vertical="center"/>
    </xf>
    <xf numFmtId="0" fontId="40" fillId="2" borderId="12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69" fontId="36" fillId="0" borderId="0" xfId="7" applyNumberFormat="1" applyFont="1" applyFill="1" applyBorder="1" applyAlignment="1">
      <alignment horizontal="center" vertical="center"/>
    </xf>
    <xf numFmtId="167" fontId="37" fillId="13" borderId="1" xfId="0" applyNumberFormat="1" applyFont="1" applyFill="1" applyBorder="1" applyAlignment="1">
      <alignment horizontal="left"/>
    </xf>
    <xf numFmtId="169" fontId="37" fillId="13" borderId="2" xfId="7" applyNumberFormat="1" applyFont="1" applyFill="1" applyBorder="1" applyAlignment="1">
      <alignment horizontal="center"/>
    </xf>
    <xf numFmtId="0" fontId="41" fillId="7" borderId="1" xfId="0" applyFont="1" applyFill="1" applyBorder="1" applyAlignment="1">
      <alignment horizontal="center" vertical="center"/>
    </xf>
    <xf numFmtId="0" fontId="41" fillId="7" borderId="6" xfId="0" applyFont="1" applyFill="1" applyBorder="1" applyAlignment="1">
      <alignment horizontal="center" vertical="center"/>
    </xf>
    <xf numFmtId="0" fontId="41" fillId="7" borderId="3" xfId="0" applyFont="1" applyFill="1" applyBorder="1" applyAlignment="1">
      <alignment horizontal="center" vertical="center"/>
    </xf>
    <xf numFmtId="2" fontId="41" fillId="7" borderId="3" xfId="0" applyNumberFormat="1" applyFont="1" applyFill="1" applyBorder="1" applyAlignment="1">
      <alignment horizontal="center" vertical="center"/>
    </xf>
    <xf numFmtId="164" fontId="41" fillId="7" borderId="1" xfId="7" applyFont="1" applyFill="1" applyBorder="1" applyAlignment="1">
      <alignment horizontal="center" vertical="center"/>
    </xf>
    <xf numFmtId="169" fontId="41" fillId="7" borderId="1" xfId="7" applyNumberFormat="1" applyFont="1" applyFill="1" applyBorder="1" applyAlignment="1">
      <alignment vertical="center"/>
    </xf>
    <xf numFmtId="0" fontId="42" fillId="7" borderId="0" xfId="0" applyFont="1" applyFill="1" applyAlignment="1">
      <alignment horizontal="center" vertical="center"/>
    </xf>
    <xf numFmtId="0" fontId="43" fillId="0" borderId="0" xfId="0" applyFont="1" applyAlignment="1">
      <alignment horizontal="center"/>
    </xf>
    <xf numFmtId="0" fontId="44" fillId="0" borderId="1" xfId="0" applyFont="1" applyBorder="1" applyAlignment="1">
      <alignment horizontal="center"/>
    </xf>
    <xf numFmtId="0" fontId="45" fillId="0" borderId="1" xfId="0" applyFont="1" applyBorder="1" applyAlignment="1">
      <alignment horizontal="left"/>
    </xf>
    <xf numFmtId="167" fontId="45" fillId="0" borderId="1" xfId="0" applyNumberFormat="1" applyFont="1" applyBorder="1" applyAlignment="1">
      <alignment horizontal="center"/>
    </xf>
    <xf numFmtId="0" fontId="43" fillId="0" borderId="4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166" fontId="43" fillId="0" borderId="4" xfId="0" applyNumberFormat="1" applyFont="1" applyBorder="1" applyAlignment="1">
      <alignment horizontal="center" vertical="center"/>
    </xf>
    <xf numFmtId="164" fontId="43" fillId="0" borderId="1" xfId="7" applyFont="1" applyBorder="1" applyAlignment="1">
      <alignment horizontal="center" vertical="center"/>
    </xf>
    <xf numFmtId="2" fontId="43" fillId="0" borderId="4" xfId="0" applyNumberFormat="1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left" vertical="center"/>
    </xf>
    <xf numFmtId="0" fontId="43" fillId="12" borderId="0" xfId="0" applyFont="1" applyFill="1" applyAlignment="1">
      <alignment horizontal="center"/>
    </xf>
    <xf numFmtId="0" fontId="44" fillId="12" borderId="1" xfId="0" applyFont="1" applyFill="1" applyBorder="1" applyAlignment="1">
      <alignment horizontal="center"/>
    </xf>
    <xf numFmtId="0" fontId="45" fillId="12" borderId="1" xfId="0" applyFont="1" applyFill="1" applyBorder="1" applyAlignment="1">
      <alignment horizontal="left"/>
    </xf>
    <xf numFmtId="167" fontId="45" fillId="12" borderId="1" xfId="0" applyNumberFormat="1" applyFont="1" applyFill="1" applyBorder="1" applyAlignment="1">
      <alignment horizontal="center"/>
    </xf>
    <xf numFmtId="0" fontId="43" fillId="12" borderId="4" xfId="0" applyFont="1" applyFill="1" applyBorder="1" applyAlignment="1">
      <alignment horizontal="center" vertical="center"/>
    </xf>
    <xf numFmtId="0" fontId="43" fillId="12" borderId="1" xfId="0" applyFont="1" applyFill="1" applyBorder="1" applyAlignment="1">
      <alignment horizontal="center" vertical="center"/>
    </xf>
    <xf numFmtId="166" fontId="43" fillId="12" borderId="4" xfId="0" applyNumberFormat="1" applyFont="1" applyFill="1" applyBorder="1" applyAlignment="1">
      <alignment horizontal="center" vertical="center"/>
    </xf>
    <xf numFmtId="164" fontId="43" fillId="12" borderId="1" xfId="7" applyFont="1" applyFill="1" applyBorder="1" applyAlignment="1">
      <alignment horizontal="center" vertical="center"/>
    </xf>
    <xf numFmtId="2" fontId="43" fillId="12" borderId="4" xfId="0" applyNumberFormat="1" applyFont="1" applyFill="1" applyBorder="1" applyAlignment="1">
      <alignment horizontal="center" vertical="center"/>
    </xf>
    <xf numFmtId="0" fontId="44" fillId="12" borderId="1" xfId="0" applyFont="1" applyFill="1" applyBorder="1" applyAlignment="1">
      <alignment horizontal="center" vertical="center"/>
    </xf>
    <xf numFmtId="0" fontId="44" fillId="12" borderId="1" xfId="0" applyFont="1" applyFill="1" applyBorder="1" applyAlignment="1">
      <alignment horizontal="center" vertical="center" wrapText="1"/>
    </xf>
    <xf numFmtId="0" fontId="45" fillId="0" borderId="0" xfId="0" applyFont="1" applyAlignment="1">
      <alignment horizontal="center"/>
    </xf>
    <xf numFmtId="0" fontId="46" fillId="0" borderId="0" xfId="0" applyFont="1"/>
    <xf numFmtId="17" fontId="47" fillId="0" borderId="0" xfId="0" applyNumberFormat="1" applyFont="1" applyAlignment="1">
      <alignment horizontal="center" vertical="center"/>
    </xf>
    <xf numFmtId="17" fontId="47" fillId="0" borderId="1" xfId="0" applyNumberFormat="1" applyFont="1" applyBorder="1" applyAlignment="1">
      <alignment horizontal="center" vertical="center"/>
    </xf>
    <xf numFmtId="0" fontId="48" fillId="7" borderId="0" xfId="0" applyFont="1" applyFill="1" applyAlignment="1">
      <alignment horizontal="center" vertical="center"/>
    </xf>
    <xf numFmtId="0" fontId="49" fillId="0" borderId="0" xfId="0" applyFont="1" applyAlignment="1">
      <alignment horizontal="center"/>
    </xf>
    <xf numFmtId="0" fontId="49" fillId="0" borderId="0" xfId="0" applyFont="1" applyAlignment="1">
      <alignment horizontal="center" vertical="center"/>
    </xf>
    <xf numFmtId="0" fontId="49" fillId="7" borderId="0" xfId="0" applyFont="1" applyFill="1" applyAlignment="1">
      <alignment horizontal="center"/>
    </xf>
    <xf numFmtId="0" fontId="49" fillId="0" borderId="0" xfId="0" applyFont="1" applyAlignment="1">
      <alignment horizontal="left"/>
    </xf>
    <xf numFmtId="2" fontId="49" fillId="0" borderId="0" xfId="0" applyNumberFormat="1" applyFont="1" applyAlignment="1">
      <alignment horizontal="center" vertical="center"/>
    </xf>
    <xf numFmtId="165" fontId="49" fillId="0" borderId="0" xfId="0" applyNumberFormat="1" applyFont="1" applyAlignment="1">
      <alignment horizontal="center" vertical="center"/>
    </xf>
    <xf numFmtId="164" fontId="49" fillId="0" borderId="0" xfId="7" applyFont="1" applyAlignment="1">
      <alignment horizontal="center" vertical="center"/>
    </xf>
    <xf numFmtId="169" fontId="49" fillId="0" borderId="0" xfId="7" applyNumberFormat="1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0" fillId="0" borderId="0" xfId="0" applyFont="1" applyAlignment="1">
      <alignment horizontal="center"/>
    </xf>
    <xf numFmtId="0" fontId="50" fillId="0" borderId="0" xfId="0" applyFont="1" applyAlignment="1">
      <alignment horizontal="center" vertical="center"/>
    </xf>
    <xf numFmtId="16" fontId="50" fillId="0" borderId="0" xfId="0" applyNumberFormat="1" applyFont="1" applyAlignment="1">
      <alignment horizontal="center"/>
    </xf>
    <xf numFmtId="0" fontId="52" fillId="0" borderId="0" xfId="0" applyFont="1" applyAlignment="1">
      <alignment horizontal="center" vertical="center"/>
    </xf>
    <xf numFmtId="2" fontId="52" fillId="0" borderId="0" xfId="0" applyNumberFormat="1" applyFont="1" applyAlignment="1">
      <alignment horizontal="center" vertical="center"/>
    </xf>
    <xf numFmtId="165" fontId="52" fillId="0" borderId="0" xfId="0" applyNumberFormat="1" applyFont="1" applyAlignment="1">
      <alignment horizontal="center" vertical="center"/>
    </xf>
    <xf numFmtId="22" fontId="0" fillId="0" borderId="0" xfId="0" applyNumberFormat="1" applyAlignment="1">
      <alignment horizontal="left"/>
    </xf>
    <xf numFmtId="0" fontId="37" fillId="14" borderId="0" xfId="0" applyFont="1" applyFill="1"/>
    <xf numFmtId="17" fontId="53" fillId="0" borderId="0" xfId="0" applyNumberFormat="1" applyFont="1" applyAlignment="1">
      <alignment horizontal="center" vertical="center"/>
    </xf>
    <xf numFmtId="169" fontId="53" fillId="0" borderId="0" xfId="7" applyNumberFormat="1" applyFont="1" applyAlignment="1">
      <alignment horizontal="center" vertical="center"/>
    </xf>
    <xf numFmtId="0" fontId="53" fillId="7" borderId="1" xfId="0" applyFont="1" applyFill="1" applyBorder="1" applyAlignment="1">
      <alignment horizontal="center" vertical="center"/>
    </xf>
    <xf numFmtId="0" fontId="53" fillId="7" borderId="6" xfId="0" applyFont="1" applyFill="1" applyBorder="1" applyAlignment="1">
      <alignment horizontal="center" vertical="center"/>
    </xf>
    <xf numFmtId="0" fontId="53" fillId="7" borderId="3" xfId="0" applyFont="1" applyFill="1" applyBorder="1" applyAlignment="1">
      <alignment horizontal="center" vertical="center"/>
    </xf>
    <xf numFmtId="2" fontId="53" fillId="7" borderId="3" xfId="0" applyNumberFormat="1" applyFont="1" applyFill="1" applyBorder="1" applyAlignment="1">
      <alignment horizontal="center" vertical="center"/>
    </xf>
    <xf numFmtId="2" fontId="53" fillId="7" borderId="6" xfId="0" applyNumberFormat="1" applyFont="1" applyFill="1" applyBorder="1" applyAlignment="1">
      <alignment horizontal="center" vertical="center"/>
    </xf>
    <xf numFmtId="164" fontId="53" fillId="7" borderId="1" xfId="7" applyFont="1" applyFill="1" applyBorder="1" applyAlignment="1">
      <alignment horizontal="center" vertical="center"/>
    </xf>
    <xf numFmtId="169" fontId="53" fillId="7" borderId="1" xfId="7" applyNumberFormat="1" applyFont="1" applyFill="1" applyBorder="1" applyAlignment="1">
      <alignment horizontal="center" vertical="center"/>
    </xf>
    <xf numFmtId="0" fontId="55" fillId="0" borderId="1" xfId="0" applyFont="1" applyBorder="1" applyAlignment="1">
      <alignment horizontal="center"/>
    </xf>
    <xf numFmtId="0" fontId="56" fillId="0" borderId="1" xfId="0" applyFont="1" applyBorder="1" applyAlignment="1">
      <alignment horizontal="left"/>
    </xf>
    <xf numFmtId="167" fontId="56" fillId="0" borderId="1" xfId="0" applyNumberFormat="1" applyFont="1" applyBorder="1" applyAlignment="1">
      <alignment horizontal="center"/>
    </xf>
    <xf numFmtId="0" fontId="55" fillId="0" borderId="4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164" fontId="55" fillId="0" borderId="4" xfId="7" applyFont="1" applyBorder="1" applyAlignment="1">
      <alignment horizontal="center" vertical="center"/>
    </xf>
    <xf numFmtId="164" fontId="55" fillId="0" borderId="1" xfId="7" applyFont="1" applyFill="1" applyBorder="1" applyAlignment="1">
      <alignment horizontal="center" vertical="center"/>
    </xf>
    <xf numFmtId="2" fontId="55" fillId="0" borderId="4" xfId="0" applyNumberFormat="1" applyFont="1" applyBorder="1" applyAlignment="1">
      <alignment horizontal="center" vertical="center"/>
    </xf>
    <xf numFmtId="169" fontId="55" fillId="0" borderId="1" xfId="7" applyNumberFormat="1" applyFont="1" applyFill="1" applyBorder="1" applyAlignment="1">
      <alignment horizontal="center" vertical="center"/>
    </xf>
    <xf numFmtId="0" fontId="55" fillId="0" borderId="1" xfId="0" applyFont="1" applyBorder="1" applyAlignment="1">
      <alignment horizontal="center" vertical="center" wrapText="1"/>
    </xf>
    <xf numFmtId="164" fontId="55" fillId="0" borderId="5" xfId="7" applyFont="1" applyFill="1" applyBorder="1" applyAlignment="1">
      <alignment horizontal="center" vertical="center"/>
    </xf>
    <xf numFmtId="0" fontId="55" fillId="0" borderId="5" xfId="0" applyFont="1" applyBorder="1" applyAlignment="1">
      <alignment horizontal="center" vertical="center" wrapText="1"/>
    </xf>
    <xf numFmtId="0" fontId="55" fillId="0" borderId="1" xfId="7" applyNumberFormat="1" applyFont="1" applyFill="1" applyBorder="1" applyAlignment="1">
      <alignment horizontal="center" vertical="center"/>
    </xf>
    <xf numFmtId="0" fontId="56" fillId="0" borderId="1" xfId="0" applyFont="1" applyBorder="1" applyAlignment="1">
      <alignment horizontal="left" vertical="center"/>
    </xf>
    <xf numFmtId="167" fontId="56" fillId="0" borderId="1" xfId="0" applyNumberFormat="1" applyFont="1" applyBorder="1" applyAlignment="1">
      <alignment horizontal="center" vertical="center"/>
    </xf>
    <xf numFmtId="1" fontId="55" fillId="0" borderId="1" xfId="7" applyNumberFormat="1" applyFont="1" applyFill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14" fontId="55" fillId="0" borderId="5" xfId="0" applyNumberFormat="1" applyFont="1" applyBorder="1" applyAlignment="1">
      <alignment horizontal="center" vertical="center" wrapText="1"/>
    </xf>
    <xf numFmtId="0" fontId="55" fillId="0" borderId="9" xfId="0" applyFont="1" applyBorder="1" applyAlignment="1">
      <alignment horizontal="center"/>
    </xf>
    <xf numFmtId="0" fontId="56" fillId="0" borderId="9" xfId="0" applyFont="1" applyBorder="1" applyAlignment="1">
      <alignment horizontal="left" vertical="center"/>
    </xf>
    <xf numFmtId="167" fontId="56" fillId="0" borderId="9" xfId="0" applyNumberFormat="1" applyFont="1" applyBorder="1" applyAlignment="1">
      <alignment horizontal="center"/>
    </xf>
    <xf numFmtId="0" fontId="55" fillId="0" borderId="11" xfId="0" applyFont="1" applyBorder="1" applyAlignment="1">
      <alignment horizontal="center" vertical="center"/>
    </xf>
    <xf numFmtId="0" fontId="55" fillId="0" borderId="9" xfId="0" applyFont="1" applyBorder="1" applyAlignment="1">
      <alignment horizontal="center" vertical="center"/>
    </xf>
    <xf numFmtId="164" fontId="55" fillId="0" borderId="9" xfId="7" applyFont="1" applyFill="1" applyBorder="1" applyAlignment="1">
      <alignment horizontal="center" vertical="center"/>
    </xf>
    <xf numFmtId="2" fontId="55" fillId="0" borderId="11" xfId="0" applyNumberFormat="1" applyFont="1" applyBorder="1" applyAlignment="1">
      <alignment horizontal="center" vertical="center"/>
    </xf>
    <xf numFmtId="169" fontId="55" fillId="0" borderId="9" xfId="7" applyNumberFormat="1" applyFont="1" applyFill="1" applyBorder="1" applyAlignment="1">
      <alignment horizontal="center" vertical="center"/>
    </xf>
    <xf numFmtId="0" fontId="55" fillId="0" borderId="9" xfId="0" applyFont="1" applyBorder="1" applyAlignment="1">
      <alignment horizontal="center" vertical="center" wrapText="1"/>
    </xf>
    <xf numFmtId="2" fontId="55" fillId="0" borderId="1" xfId="0" applyNumberFormat="1" applyFont="1" applyBorder="1" applyAlignment="1">
      <alignment horizontal="center" vertical="center"/>
    </xf>
    <xf numFmtId="14" fontId="55" fillId="0" borderId="1" xfId="0" applyNumberFormat="1" applyFont="1" applyBorder="1" applyAlignment="1">
      <alignment horizontal="center" vertical="center" wrapText="1"/>
    </xf>
    <xf numFmtId="0" fontId="58" fillId="7" borderId="0" xfId="0" applyFont="1" applyFill="1" applyAlignment="1">
      <alignment horizontal="center"/>
    </xf>
    <xf numFmtId="0" fontId="59" fillId="7" borderId="9" xfId="0" applyFont="1" applyFill="1" applyBorder="1" applyAlignment="1">
      <alignment horizontal="left"/>
    </xf>
    <xf numFmtId="167" fontId="59" fillId="7" borderId="9" xfId="0" applyNumberFormat="1" applyFont="1" applyFill="1" applyBorder="1" applyAlignment="1">
      <alignment horizontal="center"/>
    </xf>
    <xf numFmtId="0" fontId="58" fillId="7" borderId="9" xfId="0" applyFont="1" applyFill="1" applyBorder="1" applyAlignment="1">
      <alignment horizontal="center" vertical="center"/>
    </xf>
    <xf numFmtId="166" fontId="58" fillId="7" borderId="9" xfId="0" applyNumberFormat="1" applyFont="1" applyFill="1" applyBorder="1" applyAlignment="1">
      <alignment horizontal="center" vertical="center"/>
    </xf>
    <xf numFmtId="2" fontId="58" fillId="7" borderId="0" xfId="0" applyNumberFormat="1" applyFont="1" applyFill="1" applyAlignment="1">
      <alignment horizontal="center" vertical="center"/>
    </xf>
    <xf numFmtId="2" fontId="58" fillId="7" borderId="9" xfId="0" applyNumberFormat="1" applyFont="1" applyFill="1" applyBorder="1" applyAlignment="1">
      <alignment horizontal="center" vertical="center"/>
    </xf>
    <xf numFmtId="165" fontId="58" fillId="7" borderId="9" xfId="0" applyNumberFormat="1" applyFont="1" applyFill="1" applyBorder="1" applyAlignment="1">
      <alignment horizontal="center" vertical="center"/>
    </xf>
    <xf numFmtId="164" fontId="58" fillId="7" borderId="9" xfId="0" applyNumberFormat="1" applyFont="1" applyFill="1" applyBorder="1" applyAlignment="1">
      <alignment horizontal="center" vertical="center"/>
    </xf>
    <xf numFmtId="164" fontId="58" fillId="7" borderId="7" xfId="0" applyNumberFormat="1" applyFont="1" applyFill="1" applyBorder="1" applyAlignment="1">
      <alignment horizontal="center" vertical="center"/>
    </xf>
    <xf numFmtId="169" fontId="58" fillId="7" borderId="9" xfId="0" applyNumberFormat="1" applyFont="1" applyFill="1" applyBorder="1" applyAlignment="1">
      <alignment horizontal="center" vertical="center"/>
    </xf>
    <xf numFmtId="0" fontId="58" fillId="7" borderId="11" xfId="0" applyFont="1" applyFill="1" applyBorder="1" applyAlignment="1">
      <alignment horizontal="center" vertical="center"/>
    </xf>
    <xf numFmtId="0" fontId="58" fillId="7" borderId="7" xfId="0" applyFont="1" applyFill="1" applyBorder="1" applyAlignment="1">
      <alignment horizontal="center" vertical="center" wrapText="1"/>
    </xf>
    <xf numFmtId="169" fontId="60" fillId="0" borderId="0" xfId="0" applyNumberFormat="1" applyFont="1" applyAlignment="1">
      <alignment horizontal="center"/>
    </xf>
    <xf numFmtId="169" fontId="44" fillId="0" borderId="1" xfId="7" applyNumberFormat="1" applyFont="1" applyBorder="1" applyAlignment="1">
      <alignment horizontal="center"/>
    </xf>
    <xf numFmtId="169" fontId="44" fillId="12" borderId="1" xfId="7" applyNumberFormat="1" applyFont="1" applyFill="1" applyBorder="1" applyAlignment="1">
      <alignment horizontal="center"/>
    </xf>
    <xf numFmtId="0" fontId="36" fillId="0" borderId="5" xfId="0" applyFont="1" applyBorder="1" applyAlignment="1">
      <alignment horizontal="center"/>
    </xf>
    <xf numFmtId="0" fontId="36" fillId="0" borderId="8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center"/>
    </xf>
    <xf numFmtId="0" fontId="30" fillId="10" borderId="10" xfId="0" applyFont="1" applyFill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0" fontId="18" fillId="9" borderId="10" xfId="0" applyFont="1" applyFill="1" applyBorder="1" applyAlignment="1">
      <alignment horizontal="center" vertical="center"/>
    </xf>
    <xf numFmtId="164" fontId="18" fillId="0" borderId="0" xfId="0" applyNumberFormat="1" applyFont="1"/>
    <xf numFmtId="0" fontId="30" fillId="2" borderId="10" xfId="0" applyFont="1" applyFill="1" applyBorder="1" applyAlignment="1">
      <alignment horizontal="center" vertical="center"/>
    </xf>
    <xf numFmtId="17" fontId="54" fillId="0" borderId="0" xfId="0" applyNumberFormat="1" applyFont="1" applyAlignment="1">
      <alignment horizontal="center" vertical="center"/>
    </xf>
  </cellXfs>
  <cellStyles count="10">
    <cellStyle name="Comma" xfId="7" builtinId="3"/>
    <cellStyle name="Normal" xfId="0" builtinId="0"/>
    <cellStyle name="Normal 2" xfId="1" xr:uid="{805EDE50-A3FC-43D3-9493-779BB3C561B6}"/>
    <cellStyle name="Normal 3" xfId="2" xr:uid="{51170E50-4F59-4044-915F-3ABE827BFCAF}"/>
    <cellStyle name="Normal 4" xfId="3" xr:uid="{6A4100A4-0A11-4F00-A00F-7A08BF23EB93}"/>
    <cellStyle name="Normal 5" xfId="4" xr:uid="{D28E7CB3-6AFC-4094-ADDF-3EE88A0FDE10}"/>
    <cellStyle name="Normal 6" xfId="5" xr:uid="{5F1087E2-8C3C-41CB-93E7-A2383D73AEC9}"/>
    <cellStyle name="Normal 7" xfId="6" xr:uid="{F8FFA8D9-80FC-48C9-9168-7D8E99086F46}"/>
    <cellStyle name="Normal 8" xfId="8" xr:uid="{C18D615E-1068-4615-BAEF-8E9D1D13F3B9}"/>
    <cellStyle name="Normal 9" xfId="9" xr:uid="{68EF592B-68E8-4042-B398-10BC59D19321}"/>
  </cellStyles>
  <dxfs count="1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 tint="-0.499984740745262"/>
        <name val="Arial"/>
        <family val="2"/>
        <scheme val="none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6"/>
        <color theme="3" tint="-0.49998474074526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 tint="-0.499984740745262"/>
        <name val="Arial"/>
        <family val="2"/>
        <scheme val="none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6"/>
        <color theme="3" tint="-0.49998474074526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 tint="-0.499984740745262"/>
        <name val="Arial"/>
        <family val="2"/>
        <scheme val="none"/>
      </font>
      <numFmt numFmtId="169" formatCode="_-* #,##0_-;\-* #,##0_-;_-* &quot;-&quot;??_-;_-@_-"/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6"/>
        <color theme="3" tint="-0.499984740745262"/>
        <name val="Arial"/>
        <family val="2"/>
        <scheme val="none"/>
      </font>
      <numFmt numFmtId="169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 tint="-0.499984740745262"/>
        <name val="Arial"/>
        <family val="2"/>
        <scheme val="none"/>
      </font>
      <numFmt numFmtId="164" formatCode="_-* #,##0.00_-;\-* #,##0.00_-;_-* &quot;-&quot;??_-;_-@_-"/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6"/>
        <color theme="3" tint="-0.49998474074526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 tint="-0.499984740745262"/>
        <name val="Arial"/>
        <family val="2"/>
        <scheme val="none"/>
      </font>
      <numFmt numFmtId="164" formatCode="_-* #,##0.00_-;\-* #,##0.00_-;_-* &quot;-&quot;??_-;_-@_-"/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3" tint="-0.49998474074526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 tint="-0.499984740745262"/>
        <name val="Arial"/>
        <family val="2"/>
        <scheme val="none"/>
      </font>
      <numFmt numFmtId="165" formatCode="[$EGP]\ #,##0.00"/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6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 tint="-0.499984740745262"/>
        <name val="Arial"/>
        <family val="2"/>
        <scheme val="none"/>
      </font>
      <numFmt numFmtId="2" formatCode="0.00"/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6"/>
        <color theme="3" tint="-0.499984740745262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 tint="-0.499984740745262"/>
        <name val="Arial"/>
        <family val="2"/>
        <scheme val="none"/>
      </font>
      <numFmt numFmtId="2" formatCode="0.00"/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6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 tint="-0.499984740745262"/>
        <name val="Arial"/>
        <family val="2"/>
        <scheme val="none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6"/>
        <color theme="3" tint="-0.499984740745262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 tint="-0.499984740745262"/>
        <name val="Arial"/>
        <family val="2"/>
        <scheme val="none"/>
      </font>
      <numFmt numFmtId="166" formatCode="#,##0.00\ [$ج.م.‏-C01]"/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6"/>
        <color theme="3" tint="-0.499984740745262"/>
        <name val="Arial"/>
        <family val="2"/>
        <scheme val="none"/>
      </font>
      <numFmt numFmtId="166" formatCode="#,##0.00\ [$ج.م.‏-C01]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 tint="-0.499984740745262"/>
        <name val="Arial"/>
        <family val="2"/>
        <scheme val="none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6"/>
        <color theme="3" tint="-0.49998474074526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 tint="-0.499984740745262"/>
        <name val="Arial"/>
        <family val="2"/>
        <scheme val="none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6"/>
        <color theme="3" tint="-0.49998474074526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numFmt numFmtId="167" formatCode="_-[$EGP]\ * #,##0.00_-;\-[$EGP]\ * #,##0.00_-;_-[$EGP]\ * &quot;-&quot;??_-;_-@_-"/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Arial"/>
        <family val="2"/>
        <scheme val="none"/>
      </font>
      <numFmt numFmtId="167" formatCode="_-[$EGP]\ * #,##0.00_-;\-[$EGP]\ * #,##0.00_-;_-[$EGP]\ 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fill>
        <patternFill patternType="solid">
          <fgColor indexed="64"/>
          <bgColor rgb="FF00B05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 tint="-0.499984740745262"/>
        <name val="Arial"/>
        <family val="2"/>
        <scheme val="none"/>
      </font>
      <fill>
        <patternFill>
          <fgColor indexed="64"/>
          <bgColor rgb="FF00B050"/>
        </patternFill>
      </fill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theme="3" tint="-0.49998474074526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6"/>
        <color theme="1"/>
        <name val="Arial"/>
        <family val="2"/>
        <scheme val="none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2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Calibri"/>
        <family val="2"/>
        <scheme val="minor"/>
      </font>
      <numFmt numFmtId="169" formatCode="_-* #,##0_-;\-* #,##0_-;_-* &quot;-&quot;??_-;_-@_-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Calibri"/>
        <family val="2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Calibri"/>
        <family val="2"/>
        <scheme val="minor"/>
      </font>
      <numFmt numFmtId="167" formatCode="_-[$EGP]\ * #,##0.00_-;\-[$EGP]\ * #,##0.00_-;_-[$EGP]\ * &quot;-&quot;??_-;_-@_-"/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Calibri"/>
        <family val="2"/>
        <scheme val="minor"/>
      </font>
      <numFmt numFmtId="167" formatCode="_-[$EGP]\ * #,##0.00_-;\-[$EGP]\ * #,##0.00_-;_-[$EGP]\ * &quot;-&quot;??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22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solid">
          <fgColor indexed="64"/>
          <bgColor theme="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Table Style 1" pivot="0" count="0" xr9:uid="{1BBF6C19-CF69-439B-949A-77FB28301A1D}"/>
  </tableStyles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999A62-99DC-4ABD-BC8E-E2BD687C5B67}" name="Table36" displayName="Table36" ref="A27:C45" totalsRowShown="0" headerRowDxfId="146" dataDxfId="144" headerRowBorderDxfId="145" tableBorderDxfId="143" totalsRowBorderDxfId="142">
  <autoFilter ref="A27:C45" xr:uid="{3C999A62-99DC-4ABD-BC8E-E2BD687C5B67}"/>
  <sortState xmlns:xlrd2="http://schemas.microsoft.com/office/spreadsheetml/2017/richdata2" ref="A28:D45">
    <sortCondition ref="B27:B45"/>
  </sortState>
  <tableColumns count="3">
    <tableColumn id="1" xr3:uid="{D3C22C3D-3336-423F-B5AE-5589A2B3D80C}" name="#" dataDxfId="141"/>
    <tableColumn id="2" xr3:uid="{E6ADF3A4-80A2-4791-9997-EC69BDBFC788}" name="NAME" dataDxfId="140"/>
    <tableColumn id="5" xr3:uid="{B5FA4EFF-B539-4233-A8CE-CA05DA036719}" name="NET" dataDxfId="139" dataCellStyle="Comma"/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ECF1F8-39D6-4E55-AD8A-045CBB30F483}" name="Table2" displayName="Table2" ref="A1:D24" totalsRowCount="1" headerRowDxfId="138" dataDxfId="136" totalsRowDxfId="134" headerRowBorderDxfId="137" tableBorderDxfId="135" totalsRowBorderDxfId="133">
  <autoFilter ref="A1:D23" xr:uid="{95ECF1F8-39D6-4E55-AD8A-045CBB30F483}"/>
  <sortState xmlns:xlrd2="http://schemas.microsoft.com/office/spreadsheetml/2017/richdata2" ref="A2:C23">
    <sortCondition ref="B1:B23"/>
  </sortState>
  <tableColumns count="4">
    <tableColumn id="1" xr3:uid="{3DDF8AAC-8B9C-4841-9BAF-B574A1E1CD48}" name="#" dataDxfId="132" totalsRowDxfId="131"/>
    <tableColumn id="2" xr3:uid="{3AE11F52-C2B6-41B6-96B7-EE19735F343E}" name="CASH" dataDxfId="130" totalsRowDxfId="129"/>
    <tableColumn id="3" xr3:uid="{EA939826-D729-4279-9D9D-78C068199157}" name="NET CASH" totalsRowFunction="custom" dataDxfId="128" totalsRowDxfId="127" dataCellStyle="Comma">
      <totalsRowFormula>SUM(C2:C23)</totalsRowFormula>
    </tableColumn>
    <tableColumn id="4" xr3:uid="{5F21756E-B6EA-4A89-BC36-67AD32F7C5B4}" name="Column1" dataDxfId="126" totalsRowDxfId="125"/>
  </tableColumns>
  <tableStyleInfo name="Table Style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D8D9D1-FBF1-47E5-BA1E-5029A2D7D06C}" name="Table352" displayName="Table352" ref="C2:P42" totalsRowCount="1" headerRowDxfId="124" dataDxfId="122" totalsRowDxfId="120" headerRowBorderDxfId="123" tableBorderDxfId="121">
  <autoFilter ref="C2:P41" xr:uid="{E1D8D9D1-FBF1-47E5-BA1E-5029A2D7D06C}"/>
  <sortState xmlns:xlrd2="http://schemas.microsoft.com/office/spreadsheetml/2017/richdata2" ref="C3:P41">
    <sortCondition ref="C2:C41"/>
  </sortState>
  <tableColumns count="14">
    <tableColumn id="3" xr3:uid="{99B1CDDF-98AB-4515-8A6E-6106DD60F37E}" name="Name " dataDxfId="119" totalsRowDxfId="118"/>
    <tableColumn id="4" xr3:uid="{EF296CDC-4AAC-4998-B6C1-EC6ED1E6E972}" name="Basic Salary" dataDxfId="117" totalsRowDxfId="116"/>
    <tableColumn id="5" xr3:uid="{BAD1D902-53F6-4A75-AEFF-D8F53C7C02A3}" name="Days" dataDxfId="115" totalsRowDxfId="114"/>
    <tableColumn id="6" xr3:uid="{CD957339-9627-4ABD-9FEE-80392034619F}" name="Absence Days" dataDxfId="113" totalsRowDxfId="112"/>
    <tableColumn id="7" xr3:uid="{CE0636F4-7FFE-4F60-B224-99B6AFB5BEF7}" name="Day Value" dataDxfId="111" totalsRowDxfId="110">
      <calculatedColumnFormula>Table352[[#This Row],[Basic Salary]]/Table352[[#This Row],[Days]]</calculatedColumnFormula>
    </tableColumn>
    <tableColumn id="13" xr3:uid="{E82CD979-0198-48DD-8B9D-F312DCFC5A72}" name="warning" dataDxfId="109" totalsRowDxfId="108"/>
    <tableColumn id="2" xr3:uid="{555177D7-2105-4904-B67E-2F74546CEA0B}" name="Late Deduction" dataDxfId="107" totalsRowDxfId="106"/>
    <tableColumn id="18" xr3:uid="{E0AF7167-89D4-4EF0-BA85-0612E74D5883}" name="Total Cuts " dataDxfId="105" totalsRowDxfId="104">
      <calculatedColumnFormula>Table352[[#This Row],[Late Deduction]]+Table352[[#This Row],[Absence Days]]+Table352[[#This Row],[warning]]</calculatedColumnFormula>
    </tableColumn>
    <tableColumn id="8" xr3:uid="{93656764-1BB1-49F0-9C80-2D86C6D2F51A}" name="extra from last month" dataDxfId="103" totalsRowDxfId="102"/>
    <tableColumn id="10" xr3:uid="{434EC986-B0CE-49A9-AE48-42D632A8E580}" name="Loan" dataDxfId="101" totalsRowDxfId="100" dataCellStyle="Comma"/>
    <tableColumn id="17" xr3:uid="{23B8F0E5-3300-4E8F-BE45-60862CB8F68C}" name="Total cuts Cash" dataDxfId="99" totalsRowDxfId="98" dataCellStyle="Comma">
      <calculatedColumnFormula>Table352[[#This Row],[Total Cuts ]]*Table352[[#This Row],[Day Value]]</calculatedColumnFormula>
    </tableColumn>
    <tableColumn id="14" xr3:uid="{44788993-55B8-4E4D-9B18-1F85B95ABAF2}" name="Net" totalsRowFunction="sum" dataDxfId="97" totalsRowDxfId="96" dataCellStyle="Comma">
      <calculatedColumnFormula>Table352[[#This Row],[Basic Salary]]-(Table352[[#This Row],[Total cuts Cash]]+Table352[[#This Row],[Loan]])+Table352[[#This Row],[extra from last month]]</calculatedColumnFormula>
    </tableColumn>
    <tableColumn id="9" xr3:uid="{0AF1CDF0-09A1-4480-9D2C-F26C8B2A0437}" name="Working days" dataDxfId="95" totalsRowDxfId="94"/>
    <tableColumn id="11" xr3:uid="{5A74A777-92B1-4F0E-B686-7B6D1E272903}" name="notes" dataDxfId="93" totalsRowDxfId="92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B2D75-E26B-478C-BEEF-6406455C3955}">
  <dimension ref="A1:ER53"/>
  <sheetViews>
    <sheetView topLeftCell="BH26" zoomScale="74" zoomScaleNormal="61" zoomScaleSheetLayoutView="84" workbookViewId="0">
      <selection activeCell="BX41" sqref="BX41"/>
    </sheetView>
  </sheetViews>
  <sheetFormatPr defaultRowHeight="15" x14ac:dyDescent="0.25"/>
  <cols>
    <col min="1" max="1" width="25.140625" bestFit="1" customWidth="1"/>
    <col min="2" max="2" width="18.5703125" bestFit="1" customWidth="1"/>
    <col min="3" max="3" width="6.42578125" style="9" bestFit="1" customWidth="1"/>
    <col min="4" max="4" width="20.5703125" bestFit="1" customWidth="1"/>
    <col min="5" max="5" width="17.5703125" bestFit="1" customWidth="1"/>
    <col min="6" max="6" width="6.42578125" bestFit="1" customWidth="1"/>
    <col min="7" max="7" width="14.140625" bestFit="1" customWidth="1"/>
    <col min="8" max="8" width="17.5703125" bestFit="1" customWidth="1"/>
    <col min="9" max="9" width="6.42578125" bestFit="1" customWidth="1"/>
    <col min="10" max="10" width="18.85546875" style="14" bestFit="1" customWidth="1"/>
    <col min="11" max="11" width="17.5703125" bestFit="1" customWidth="1"/>
    <col min="12" max="12" width="6.42578125" bestFit="1" customWidth="1"/>
    <col min="13" max="13" width="14.85546875" style="9" bestFit="1" customWidth="1"/>
    <col min="14" max="14" width="17.5703125" bestFit="1" customWidth="1"/>
    <col min="15" max="15" width="5.140625" style="14" bestFit="1" customWidth="1"/>
    <col min="16" max="16" width="8.85546875" bestFit="1" customWidth="1"/>
    <col min="17" max="17" width="17.5703125" bestFit="1" customWidth="1"/>
    <col min="18" max="18" width="6.42578125" style="7" bestFit="1" customWidth="1"/>
    <col min="19" max="19" width="9.140625" bestFit="1" customWidth="1"/>
    <col min="20" max="20" width="17.5703125" bestFit="1" customWidth="1"/>
    <col min="21" max="21" width="6.42578125" bestFit="1" customWidth="1"/>
    <col min="22" max="22" width="5.85546875" bestFit="1" customWidth="1"/>
    <col min="23" max="23" width="17.5703125" bestFit="1" customWidth="1"/>
    <col min="24" max="24" width="12.28515625" bestFit="1" customWidth="1"/>
    <col min="25" max="25" width="11.42578125" bestFit="1" customWidth="1"/>
    <col min="26" max="26" width="17.5703125" bestFit="1" customWidth="1"/>
    <col min="27" max="27" width="15.28515625" bestFit="1" customWidth="1"/>
    <col min="28" max="28" width="8.5703125" bestFit="1" customWidth="1"/>
    <col min="29" max="29" width="17.5703125" bestFit="1" customWidth="1"/>
    <col min="30" max="30" width="6.42578125" bestFit="1" customWidth="1"/>
    <col min="31" max="31" width="8.5703125" bestFit="1" customWidth="1"/>
    <col min="32" max="32" width="17.5703125" bestFit="1" customWidth="1"/>
    <col min="33" max="33" width="6.42578125" bestFit="1" customWidth="1"/>
    <col min="34" max="34" width="7.42578125" bestFit="1" customWidth="1"/>
    <col min="35" max="35" width="17.5703125" bestFit="1" customWidth="1"/>
    <col min="37" max="37" width="7.5703125" bestFit="1" customWidth="1"/>
    <col min="38" max="38" width="17.5703125" bestFit="1" customWidth="1"/>
    <col min="40" max="40" width="10.85546875" bestFit="1" customWidth="1"/>
    <col min="41" max="41" width="17.5703125" bestFit="1" customWidth="1"/>
    <col min="42" max="42" width="6.42578125" bestFit="1" customWidth="1"/>
    <col min="43" max="43" width="6.7109375" bestFit="1" customWidth="1"/>
    <col min="44" max="44" width="17.5703125" bestFit="1" customWidth="1"/>
    <col min="45" max="45" width="8.42578125" customWidth="1"/>
    <col min="46" max="46" width="8" bestFit="1" customWidth="1"/>
    <col min="47" max="47" width="17.5703125" bestFit="1" customWidth="1"/>
    <col min="48" max="48" width="5.140625" style="14" bestFit="1" customWidth="1"/>
    <col min="49" max="49" width="6.7109375" bestFit="1" customWidth="1"/>
    <col min="50" max="50" width="17.5703125" bestFit="1" customWidth="1"/>
    <col min="51" max="51" width="5.140625" bestFit="1" customWidth="1"/>
    <col min="52" max="52" width="18.85546875" bestFit="1" customWidth="1"/>
    <col min="53" max="53" width="17.5703125" bestFit="1" customWidth="1"/>
    <col min="54" max="54" width="5.140625" bestFit="1" customWidth="1"/>
    <col min="55" max="55" width="9.140625" bestFit="1" customWidth="1"/>
    <col min="56" max="56" width="17.5703125" bestFit="1" customWidth="1"/>
    <col min="57" max="57" width="4" bestFit="1" customWidth="1"/>
    <col min="58" max="58" width="7.7109375" bestFit="1" customWidth="1"/>
    <col min="59" max="59" width="17.5703125" style="7" bestFit="1" customWidth="1"/>
    <col min="60" max="60" width="9.85546875" customWidth="1"/>
    <col min="61" max="61" width="8.140625" bestFit="1" customWidth="1"/>
    <col min="62" max="62" width="17.5703125" bestFit="1" customWidth="1"/>
    <col min="63" max="63" width="6.42578125" bestFit="1" customWidth="1"/>
    <col min="64" max="64" width="7.42578125" bestFit="1" customWidth="1"/>
    <col min="65" max="65" width="17.5703125" bestFit="1" customWidth="1"/>
    <col min="66" max="66" width="5.140625" bestFit="1" customWidth="1"/>
    <col min="67" max="67" width="8.140625" bestFit="1" customWidth="1"/>
    <col min="68" max="68" width="17.5703125" bestFit="1" customWidth="1"/>
    <col min="69" max="69" width="6.42578125" bestFit="1" customWidth="1"/>
    <col min="70" max="70" width="8.42578125" bestFit="1" customWidth="1"/>
    <col min="71" max="71" width="17.5703125" bestFit="1" customWidth="1"/>
    <col min="72" max="72" width="8.7109375" style="14"/>
    <col min="73" max="73" width="8.5703125" bestFit="1" customWidth="1"/>
    <col min="74" max="74" width="17.5703125" bestFit="1" customWidth="1"/>
    <col min="75" max="76" width="15.28515625" bestFit="1" customWidth="1"/>
    <col min="77" max="77" width="31.42578125" bestFit="1" customWidth="1"/>
    <col min="78" max="78" width="8.85546875" bestFit="1" customWidth="1"/>
    <col min="79" max="79" width="15.28515625" bestFit="1" customWidth="1"/>
    <col min="80" max="80" width="7.140625" bestFit="1" customWidth="1"/>
    <col min="81" max="81" width="17.5703125" bestFit="1" customWidth="1"/>
    <col min="83" max="83" width="22.140625" bestFit="1" customWidth="1"/>
    <col min="84" max="84" width="35.7109375" bestFit="1" customWidth="1"/>
    <col min="85" max="85" width="4.28515625" bestFit="1" customWidth="1"/>
    <col min="86" max="86" width="8.42578125" bestFit="1" customWidth="1"/>
    <col min="87" max="87" width="17.5703125" bestFit="1" customWidth="1"/>
    <col min="88" max="88" width="11.42578125" bestFit="1" customWidth="1"/>
    <col min="89" max="89" width="9.5703125" bestFit="1" customWidth="1"/>
    <col min="90" max="90" width="17.5703125" bestFit="1" customWidth="1"/>
    <col min="91" max="91" width="6.42578125" bestFit="1" customWidth="1"/>
    <col min="92" max="92" width="13.5703125" bestFit="1" customWidth="1"/>
    <col min="93" max="93" width="17.5703125" bestFit="1" customWidth="1"/>
    <col min="95" max="95" width="8.42578125" bestFit="1" customWidth="1"/>
    <col min="96" max="96" width="17.5703125" bestFit="1" customWidth="1"/>
    <col min="97" max="97" width="5.140625" bestFit="1" customWidth="1"/>
    <col min="98" max="98" width="15.28515625" bestFit="1" customWidth="1"/>
    <col min="101" max="101" width="15.28515625" bestFit="1" customWidth="1"/>
    <col min="103" max="103" width="25.42578125" customWidth="1"/>
    <col min="104" max="104" width="15.28515625" bestFit="1" customWidth="1"/>
    <col min="105" max="105" width="6.140625" style="9" bestFit="1" customWidth="1"/>
    <col min="107" max="107" width="16.28515625" customWidth="1"/>
    <col min="110" max="110" width="15.28515625" bestFit="1" customWidth="1"/>
    <col min="111" max="111" width="8.7109375" style="14"/>
    <col min="113" max="113" width="15.28515625" bestFit="1" customWidth="1"/>
    <col min="116" max="116" width="15.28515625" bestFit="1" customWidth="1"/>
    <col min="119" max="119" width="15.28515625" style="7" bestFit="1" customWidth="1"/>
    <col min="123" max="123" width="15.28515625" bestFit="1" customWidth="1"/>
    <col min="124" max="124" width="8.7109375" style="9"/>
    <col min="126" max="126" width="15.28515625" bestFit="1" customWidth="1"/>
    <col min="130" max="130" width="15.28515625" bestFit="1" customWidth="1"/>
    <col min="133" max="133" width="15.28515625" bestFit="1" customWidth="1"/>
    <col min="137" max="137" width="15.28515625" bestFit="1" customWidth="1"/>
    <col min="140" max="140" width="15.28515625" bestFit="1" customWidth="1"/>
    <col min="144" max="144" width="15.28515625" bestFit="1" customWidth="1"/>
    <col min="148" max="148" width="15.28515625" bestFit="1" customWidth="1"/>
  </cols>
  <sheetData>
    <row r="1" spans="1:148" s="2" customFormat="1" ht="28.5" customHeight="1" x14ac:dyDescent="0.25">
      <c r="C1" s="2">
        <f>SUM(C3:C40)</f>
        <v>5.25</v>
      </c>
      <c r="F1" s="2">
        <f>SUM(F5:F41)</f>
        <v>3.5</v>
      </c>
      <c r="I1" s="2">
        <f>SUM(I3:I40)</f>
        <v>4</v>
      </c>
      <c r="L1" s="2">
        <v>0.25</v>
      </c>
      <c r="O1" s="2">
        <f>SUM(O4:O37)</f>
        <v>3.25</v>
      </c>
      <c r="R1" s="2">
        <f>SUM(R3:R41)</f>
        <v>1.25</v>
      </c>
      <c r="U1" s="2">
        <f>SUM(U3:U44)</f>
        <v>2.75</v>
      </c>
      <c r="X1" s="2">
        <f>SUM(X3:X41)</f>
        <v>2.25</v>
      </c>
      <c r="AD1" s="2">
        <f>SUM(AD4:AD50)</f>
        <v>0.75</v>
      </c>
      <c r="AG1" s="2">
        <f>SUM(AG6:AG49)</f>
        <v>1.25</v>
      </c>
      <c r="AP1" s="2">
        <f>SUM(AP3:AP43)</f>
        <v>1</v>
      </c>
      <c r="AV1" s="2">
        <f>SUM(AV3:AV37)</f>
        <v>3.5</v>
      </c>
      <c r="AY1" s="2">
        <f>SUM(AY5:AY37)</f>
        <v>4.5</v>
      </c>
      <c r="AZ1" s="300"/>
      <c r="BA1" s="300"/>
      <c r="BB1" s="2">
        <f>SUM(BB3:BB47)</f>
        <v>7</v>
      </c>
      <c r="BE1" s="2">
        <f>SUM(BE9:BE43)</f>
        <v>2</v>
      </c>
      <c r="BK1" s="2">
        <f>SUM(BK5:BK39)</f>
        <v>5.5</v>
      </c>
      <c r="BN1" s="2">
        <f>SUM(BN3:BN42)</f>
        <v>2</v>
      </c>
      <c r="BQ1" s="2">
        <f>SUM(BQ3:BQ41)</f>
        <v>2</v>
      </c>
      <c r="BX1" s="122"/>
      <c r="BY1" s="122"/>
      <c r="BZ1" s="122">
        <f>SUM(BZ2:BZ28)</f>
        <v>7.25</v>
      </c>
      <c r="CE1" s="123"/>
      <c r="CF1" s="123"/>
      <c r="CG1" s="123">
        <f>SUM(CG4:CG40)</f>
        <v>4.5</v>
      </c>
      <c r="CJ1" s="2">
        <f>SUM(CJ9:CJ42)</f>
        <v>3</v>
      </c>
      <c r="CM1" s="2">
        <f>SUM(CM4:CM40)</f>
        <v>2.75</v>
      </c>
    </row>
    <row r="2" spans="1:148" ht="26.25" x14ac:dyDescent="0.4">
      <c r="A2" s="8" t="s">
        <v>1</v>
      </c>
      <c r="B2" s="8" t="s">
        <v>33</v>
      </c>
      <c r="D2" s="8" t="s">
        <v>1</v>
      </c>
      <c r="E2" s="8" t="s">
        <v>33</v>
      </c>
      <c r="F2" s="10"/>
      <c r="G2" s="8" t="s">
        <v>1</v>
      </c>
      <c r="H2" s="8" t="s">
        <v>33</v>
      </c>
      <c r="I2" s="10"/>
      <c r="J2" s="8" t="s">
        <v>1</v>
      </c>
      <c r="K2" s="8" t="s">
        <v>33</v>
      </c>
      <c r="L2" s="11"/>
      <c r="M2" s="8" t="s">
        <v>1</v>
      </c>
      <c r="N2" s="8" t="s">
        <v>33</v>
      </c>
      <c r="O2" s="40"/>
      <c r="P2" s="8" t="s">
        <v>1</v>
      </c>
      <c r="Q2" s="8" t="s">
        <v>33</v>
      </c>
      <c r="R2" s="12"/>
      <c r="S2" s="8" t="s">
        <v>1</v>
      </c>
      <c r="T2" s="8" t="s">
        <v>33</v>
      </c>
      <c r="U2" s="11"/>
      <c r="V2" s="8" t="s">
        <v>1</v>
      </c>
      <c r="W2" s="8" t="s">
        <v>33</v>
      </c>
      <c r="X2" s="10"/>
      <c r="Y2" s="8" t="s">
        <v>1</v>
      </c>
      <c r="Z2" s="8" t="s">
        <v>33</v>
      </c>
      <c r="AA2" s="13"/>
      <c r="AB2" s="8" t="s">
        <v>1</v>
      </c>
      <c r="AC2" s="8" t="s">
        <v>33</v>
      </c>
      <c r="AD2" s="10"/>
      <c r="AE2" s="8" t="s">
        <v>1</v>
      </c>
      <c r="AF2" s="8" t="s">
        <v>33</v>
      </c>
      <c r="AG2" s="10"/>
      <c r="AH2" s="8" t="s">
        <v>1</v>
      </c>
      <c r="AI2" s="8" t="s">
        <v>33</v>
      </c>
      <c r="AJ2" s="10"/>
      <c r="AK2" s="8" t="s">
        <v>1</v>
      </c>
      <c r="AL2" s="8" t="s">
        <v>33</v>
      </c>
      <c r="AM2" s="10"/>
      <c r="AN2" s="8" t="s">
        <v>1</v>
      </c>
      <c r="AO2" s="8" t="s">
        <v>33</v>
      </c>
      <c r="AQ2" s="8" t="s">
        <v>1</v>
      </c>
      <c r="AR2" s="8" t="s">
        <v>33</v>
      </c>
      <c r="AT2" s="8" t="s">
        <v>1</v>
      </c>
      <c r="AU2" s="8" t="s">
        <v>33</v>
      </c>
      <c r="AW2" s="8" t="s">
        <v>1</v>
      </c>
      <c r="AX2" s="8" t="s">
        <v>33</v>
      </c>
      <c r="AZ2" s="8" t="s">
        <v>1</v>
      </c>
      <c r="BA2" s="8" t="s">
        <v>33</v>
      </c>
      <c r="BC2" s="8" t="s">
        <v>1</v>
      </c>
      <c r="BD2" s="8" t="s">
        <v>33</v>
      </c>
      <c r="BE2" s="11"/>
      <c r="BF2" s="8" t="s">
        <v>1</v>
      </c>
      <c r="BG2" s="8" t="s">
        <v>33</v>
      </c>
      <c r="BH2" s="10"/>
      <c r="BI2" s="8" t="s">
        <v>1</v>
      </c>
      <c r="BJ2" s="8" t="s">
        <v>33</v>
      </c>
      <c r="BK2" s="10"/>
      <c r="BL2" s="8" t="s">
        <v>1</v>
      </c>
      <c r="BM2" s="8" t="s">
        <v>33</v>
      </c>
      <c r="BN2" s="10"/>
      <c r="BO2" s="8" t="s">
        <v>1</v>
      </c>
      <c r="BP2" s="8" t="s">
        <v>33</v>
      </c>
      <c r="BR2" s="8" t="s">
        <v>1</v>
      </c>
      <c r="BS2" s="8" t="s">
        <v>33</v>
      </c>
      <c r="BU2" s="8" t="s">
        <v>1</v>
      </c>
      <c r="BV2" s="8" t="s">
        <v>33</v>
      </c>
      <c r="BW2" s="10"/>
      <c r="BX2" s="49" t="s">
        <v>1</v>
      </c>
      <c r="BY2" s="49" t="s">
        <v>33</v>
      </c>
      <c r="BZ2" s="50"/>
      <c r="CA2" s="10"/>
      <c r="CB2" s="8" t="s">
        <v>1</v>
      </c>
      <c r="CC2" s="8" t="s">
        <v>33</v>
      </c>
      <c r="CD2" s="10"/>
      <c r="CE2" s="56" t="s">
        <v>1</v>
      </c>
      <c r="CF2" s="56" t="s">
        <v>33</v>
      </c>
      <c r="CG2" s="57"/>
      <c r="CH2" s="8" t="s">
        <v>1</v>
      </c>
      <c r="CI2" s="8" t="s">
        <v>33</v>
      </c>
      <c r="CK2" s="8" t="s">
        <v>1</v>
      </c>
      <c r="CL2" s="8" t="s">
        <v>33</v>
      </c>
      <c r="CM2" s="11"/>
      <c r="CN2" s="8" t="s">
        <v>1</v>
      </c>
      <c r="CO2" s="8" t="s">
        <v>33</v>
      </c>
      <c r="CP2" s="10"/>
      <c r="CQ2" s="8" t="s">
        <v>1</v>
      </c>
      <c r="CR2" s="8" t="s">
        <v>33</v>
      </c>
      <c r="CS2" s="10"/>
      <c r="CT2" s="11"/>
      <c r="CV2" s="10"/>
      <c r="CW2" s="11"/>
      <c r="CY2" s="10"/>
      <c r="CZ2" s="11"/>
      <c r="DB2" s="10"/>
      <c r="DC2" s="11"/>
      <c r="DE2" s="10"/>
      <c r="DF2" s="10"/>
      <c r="DH2" s="10"/>
      <c r="DI2" s="11"/>
      <c r="DK2" s="10"/>
      <c r="DL2" s="10"/>
      <c r="DN2" s="10"/>
      <c r="DO2" s="12"/>
      <c r="DR2" s="10"/>
      <c r="DS2" s="11"/>
      <c r="DU2" s="10"/>
      <c r="DV2" s="10"/>
      <c r="DY2" s="10"/>
      <c r="DZ2" s="10"/>
      <c r="EB2" s="10"/>
      <c r="EC2" s="10"/>
      <c r="EF2" s="10"/>
      <c r="EG2" s="11"/>
      <c r="EI2" s="10"/>
      <c r="EJ2" s="10"/>
      <c r="EM2" s="10"/>
      <c r="EN2" s="10"/>
      <c r="EQ2" s="11"/>
      <c r="ER2" s="11"/>
    </row>
    <row r="3" spans="1:148" ht="26.25" x14ac:dyDescent="0.4">
      <c r="A3" s="15" t="s">
        <v>34</v>
      </c>
      <c r="B3" s="15" t="s">
        <v>111</v>
      </c>
      <c r="D3" s="15" t="s">
        <v>96</v>
      </c>
      <c r="E3" s="15" t="s">
        <v>144</v>
      </c>
      <c r="F3" s="16"/>
      <c r="G3" s="15" t="s">
        <v>75</v>
      </c>
      <c r="H3" s="15" t="s">
        <v>176</v>
      </c>
      <c r="I3" s="16">
        <v>1</v>
      </c>
      <c r="J3" s="15" t="s">
        <v>45</v>
      </c>
      <c r="K3" s="15" t="s">
        <v>210</v>
      </c>
      <c r="L3" s="5"/>
      <c r="M3" s="15" t="s">
        <v>379</v>
      </c>
      <c r="N3" s="15" t="s">
        <v>147</v>
      </c>
      <c r="P3" s="15" t="s">
        <v>45</v>
      </c>
      <c r="Q3" s="15" t="s">
        <v>260</v>
      </c>
      <c r="R3" s="17">
        <v>0</v>
      </c>
      <c r="S3" s="15" t="s">
        <v>86</v>
      </c>
      <c r="T3" s="15" t="s">
        <v>294</v>
      </c>
      <c r="U3" s="5">
        <v>0.5</v>
      </c>
      <c r="V3" s="15" t="s">
        <v>92</v>
      </c>
      <c r="W3" s="15" t="s">
        <v>144</v>
      </c>
      <c r="X3" s="16"/>
      <c r="Y3" s="39" t="s">
        <v>369</v>
      </c>
      <c r="Z3" s="39" t="s">
        <v>363</v>
      </c>
      <c r="AA3" s="18"/>
      <c r="AB3" s="15" t="s">
        <v>90</v>
      </c>
      <c r="AC3" s="15" t="s">
        <v>381</v>
      </c>
      <c r="AD3" s="16"/>
      <c r="AE3" s="15" t="s">
        <v>78</v>
      </c>
      <c r="AF3" s="15" t="s">
        <v>409</v>
      </c>
      <c r="AG3" s="16"/>
      <c r="AH3" s="15" t="s">
        <v>76</v>
      </c>
      <c r="AI3" s="15" t="s">
        <v>449</v>
      </c>
      <c r="AJ3" s="16"/>
      <c r="AK3" s="15" t="s">
        <v>95</v>
      </c>
      <c r="AL3" s="15" t="s">
        <v>485</v>
      </c>
      <c r="AM3" s="16"/>
      <c r="AN3" s="15" t="s">
        <v>43</v>
      </c>
      <c r="AO3" s="15" t="s">
        <v>510</v>
      </c>
      <c r="AP3">
        <v>0.25</v>
      </c>
      <c r="AQ3" s="15" t="s">
        <v>539</v>
      </c>
      <c r="AR3" s="15" t="s">
        <v>540</v>
      </c>
      <c r="AT3" s="15" t="s">
        <v>85</v>
      </c>
      <c r="AU3" s="15" t="s">
        <v>545</v>
      </c>
      <c r="AV3" s="14">
        <v>0.5</v>
      </c>
      <c r="AW3" s="48" t="s">
        <v>74</v>
      </c>
      <c r="AX3" s="15" t="s">
        <v>574</v>
      </c>
      <c r="AZ3" s="15" t="s">
        <v>89</v>
      </c>
      <c r="BA3" s="15" t="s">
        <v>595</v>
      </c>
      <c r="BB3">
        <v>1</v>
      </c>
      <c r="BC3" s="15" t="s">
        <v>93</v>
      </c>
      <c r="BD3" s="15" t="s">
        <v>625</v>
      </c>
      <c r="BE3" s="5"/>
      <c r="BF3" s="19" t="s">
        <v>45</v>
      </c>
      <c r="BG3" s="15" t="s">
        <v>662</v>
      </c>
      <c r="BH3" s="16"/>
      <c r="BI3" s="15" t="s">
        <v>88</v>
      </c>
      <c r="BJ3" s="15" t="s">
        <v>144</v>
      </c>
      <c r="BK3" s="16"/>
      <c r="BL3" s="15" t="s">
        <v>79</v>
      </c>
      <c r="BM3" s="15" t="s">
        <v>409</v>
      </c>
      <c r="BN3" s="16"/>
      <c r="BO3" s="15" t="s">
        <v>91</v>
      </c>
      <c r="BP3" s="15" t="s">
        <v>711</v>
      </c>
      <c r="BQ3">
        <v>0.5</v>
      </c>
      <c r="BR3" s="15" t="s">
        <v>83</v>
      </c>
      <c r="BS3" s="15" t="s">
        <v>731</v>
      </c>
      <c r="BU3" s="15" t="s">
        <v>77</v>
      </c>
      <c r="BV3" s="15" t="s">
        <v>763</v>
      </c>
      <c r="BW3" s="16"/>
      <c r="BX3" s="51">
        <v>2</v>
      </c>
      <c r="BY3" s="51" t="s">
        <v>792</v>
      </c>
      <c r="BZ3" s="52">
        <v>1</v>
      </c>
      <c r="CA3" s="16"/>
      <c r="CB3" s="15" t="s">
        <v>814</v>
      </c>
      <c r="CC3" s="15" t="s">
        <v>815</v>
      </c>
      <c r="CD3" s="16"/>
      <c r="CE3" s="58" t="s">
        <v>80</v>
      </c>
      <c r="CF3" s="58" t="s">
        <v>838</v>
      </c>
      <c r="CG3" s="57"/>
      <c r="CH3" s="15" t="s">
        <v>36</v>
      </c>
      <c r="CI3" s="15" t="s">
        <v>861</v>
      </c>
      <c r="CK3" s="15" t="s">
        <v>94</v>
      </c>
      <c r="CL3" s="15" t="s">
        <v>881</v>
      </c>
      <c r="CM3" s="5"/>
      <c r="CN3" s="15" t="s">
        <v>54</v>
      </c>
      <c r="CO3" s="15" t="s">
        <v>381</v>
      </c>
      <c r="CP3" s="16"/>
      <c r="CQ3" s="15" t="s">
        <v>923</v>
      </c>
      <c r="CR3" s="15" t="s">
        <v>924</v>
      </c>
      <c r="CS3" s="16"/>
      <c r="CT3" s="5"/>
      <c r="CV3" s="16"/>
      <c r="CW3" s="5"/>
      <c r="CY3" s="16"/>
      <c r="CZ3" s="5"/>
      <c r="DB3" s="16"/>
      <c r="DC3" s="5"/>
      <c r="DE3" s="16"/>
      <c r="DF3" s="16"/>
      <c r="DH3" s="16"/>
      <c r="DI3" s="5"/>
      <c r="DK3" s="16"/>
      <c r="DL3" s="16"/>
      <c r="DN3" s="16"/>
      <c r="DO3" s="17"/>
      <c r="DR3" s="16"/>
      <c r="DS3" s="5"/>
      <c r="DU3" s="16"/>
      <c r="DV3" s="16"/>
      <c r="DY3" s="16"/>
      <c r="DZ3" s="16"/>
      <c r="EB3" s="16"/>
      <c r="EC3" s="16"/>
      <c r="EF3" s="16"/>
      <c r="EG3" s="5"/>
      <c r="EI3" s="16"/>
      <c r="EJ3" s="16"/>
      <c r="EM3" s="16"/>
      <c r="EN3" s="16"/>
      <c r="EQ3" s="5"/>
      <c r="ER3" s="5"/>
    </row>
    <row r="4" spans="1:148" ht="26.25" x14ac:dyDescent="0.4">
      <c r="A4" s="15" t="s">
        <v>34</v>
      </c>
      <c r="B4" s="15" t="s">
        <v>112</v>
      </c>
      <c r="D4" s="15" t="s">
        <v>96</v>
      </c>
      <c r="E4" s="15" t="s">
        <v>144</v>
      </c>
      <c r="F4" s="16"/>
      <c r="G4" s="15" t="s">
        <v>75</v>
      </c>
      <c r="H4" s="15" t="s">
        <v>177</v>
      </c>
      <c r="I4" s="16"/>
      <c r="J4" s="15" t="s">
        <v>81</v>
      </c>
      <c r="K4" s="15" t="s">
        <v>211</v>
      </c>
      <c r="L4" s="5"/>
      <c r="M4" s="15" t="s">
        <v>244</v>
      </c>
      <c r="N4" s="15" t="s">
        <v>245</v>
      </c>
      <c r="O4" s="22">
        <v>0.25</v>
      </c>
      <c r="P4" s="15" t="s">
        <v>84</v>
      </c>
      <c r="Q4" s="15" t="s">
        <v>261</v>
      </c>
      <c r="R4" s="17"/>
      <c r="S4" s="15" t="s">
        <v>86</v>
      </c>
      <c r="T4" s="15" t="s">
        <v>295</v>
      </c>
      <c r="U4" s="5"/>
      <c r="V4" s="15" t="s">
        <v>92</v>
      </c>
      <c r="W4" s="15" t="s">
        <v>328</v>
      </c>
      <c r="X4" s="16"/>
      <c r="Y4" s="15" t="s">
        <v>362</v>
      </c>
      <c r="Z4" s="15" t="s">
        <v>363</v>
      </c>
      <c r="AA4" s="5"/>
      <c r="AB4" s="15" t="s">
        <v>90</v>
      </c>
      <c r="AC4" s="15" t="s">
        <v>382</v>
      </c>
      <c r="AD4" s="16"/>
      <c r="AE4" s="15" t="s">
        <v>78</v>
      </c>
      <c r="AF4" s="15" t="s">
        <v>410</v>
      </c>
      <c r="AG4" s="16"/>
      <c r="AH4" s="15" t="s">
        <v>76</v>
      </c>
      <c r="AI4" s="15" t="s">
        <v>449</v>
      </c>
      <c r="AJ4" s="16"/>
      <c r="AK4" s="15" t="s">
        <v>95</v>
      </c>
      <c r="AL4" s="15" t="s">
        <v>450</v>
      </c>
      <c r="AM4" s="16"/>
      <c r="AN4" s="15" t="s">
        <v>43</v>
      </c>
      <c r="AO4" s="15" t="s">
        <v>511</v>
      </c>
      <c r="AQ4" s="15" t="s">
        <v>539</v>
      </c>
      <c r="AR4" s="15" t="s">
        <v>541</v>
      </c>
      <c r="AT4" s="15" t="s">
        <v>85</v>
      </c>
      <c r="AU4" s="15" t="s">
        <v>545</v>
      </c>
      <c r="AW4" s="48" t="s">
        <v>74</v>
      </c>
      <c r="AX4" s="15" t="s">
        <v>575</v>
      </c>
      <c r="AZ4" s="15" t="s">
        <v>89</v>
      </c>
      <c r="BA4" s="15" t="s">
        <v>596</v>
      </c>
      <c r="BC4" s="15" t="s">
        <v>93</v>
      </c>
      <c r="BD4" s="15" t="s">
        <v>626</v>
      </c>
      <c r="BE4" s="5"/>
      <c r="BF4" s="15" t="s">
        <v>35</v>
      </c>
      <c r="BG4" s="15" t="s">
        <v>663</v>
      </c>
      <c r="BH4" s="16"/>
      <c r="BI4" s="15" t="s">
        <v>88</v>
      </c>
      <c r="BJ4" s="15" t="s">
        <v>674</v>
      </c>
      <c r="BK4" s="16"/>
      <c r="BL4" s="15" t="s">
        <v>79</v>
      </c>
      <c r="BM4" s="15" t="s">
        <v>382</v>
      </c>
      <c r="BN4" s="16"/>
      <c r="BO4" s="15" t="s">
        <v>91</v>
      </c>
      <c r="BP4" s="15" t="s">
        <v>712</v>
      </c>
      <c r="BR4" s="15" t="s">
        <v>83</v>
      </c>
      <c r="BS4" s="15" t="s">
        <v>732</v>
      </c>
      <c r="BU4" s="15" t="s">
        <v>77</v>
      </c>
      <c r="BV4" s="15" t="s">
        <v>764</v>
      </c>
      <c r="BW4" s="16"/>
      <c r="BX4" s="51" t="s">
        <v>87</v>
      </c>
      <c r="BY4" s="51" t="s">
        <v>793</v>
      </c>
      <c r="BZ4" s="52"/>
      <c r="CA4" s="16"/>
      <c r="CB4" s="15" t="s">
        <v>814</v>
      </c>
      <c r="CC4" s="15" t="s">
        <v>328</v>
      </c>
      <c r="CD4" s="16"/>
      <c r="CE4" s="58" t="s">
        <v>80</v>
      </c>
      <c r="CF4" s="58" t="s">
        <v>839</v>
      </c>
      <c r="CG4" s="57"/>
      <c r="CH4" s="15" t="s">
        <v>36</v>
      </c>
      <c r="CI4" s="15" t="s">
        <v>862</v>
      </c>
      <c r="CK4" s="15" t="s">
        <v>94</v>
      </c>
      <c r="CL4" s="15" t="s">
        <v>839</v>
      </c>
      <c r="CM4" s="5"/>
      <c r="CN4" s="15" t="s">
        <v>54</v>
      </c>
      <c r="CO4" s="15" t="s">
        <v>902</v>
      </c>
      <c r="CP4" s="16"/>
      <c r="CQ4" s="15" t="s">
        <v>923</v>
      </c>
      <c r="CR4" s="15" t="s">
        <v>925</v>
      </c>
      <c r="CS4" s="16"/>
      <c r="CT4" s="5"/>
      <c r="CV4" s="16"/>
      <c r="CW4" s="5"/>
      <c r="CY4" s="16"/>
      <c r="CZ4" s="5"/>
      <c r="DB4" s="16"/>
      <c r="DC4" s="5"/>
      <c r="DE4" s="16"/>
      <c r="DF4" s="16"/>
      <c r="DH4" s="16"/>
      <c r="DI4" s="5"/>
      <c r="DK4" s="16"/>
      <c r="DL4" s="16"/>
      <c r="DN4" s="16"/>
      <c r="DO4" s="17"/>
      <c r="DR4" s="16"/>
      <c r="DS4" s="5"/>
      <c r="DU4" s="16"/>
      <c r="DV4" s="16"/>
      <c r="DY4" s="16"/>
      <c r="DZ4" s="16"/>
      <c r="EB4" s="16"/>
      <c r="EC4" s="16"/>
      <c r="EF4" s="16"/>
      <c r="EG4" s="5"/>
      <c r="EI4" s="16"/>
      <c r="EJ4" s="16"/>
      <c r="EM4" s="16"/>
      <c r="EN4" s="16"/>
      <c r="EQ4" s="5"/>
      <c r="ER4" s="5"/>
    </row>
    <row r="5" spans="1:148" ht="26.25" x14ac:dyDescent="0.4">
      <c r="A5" s="15" t="s">
        <v>34</v>
      </c>
      <c r="B5" s="15" t="s">
        <v>113</v>
      </c>
      <c r="D5" s="15" t="s">
        <v>96</v>
      </c>
      <c r="E5" s="15" t="s">
        <v>145</v>
      </c>
      <c r="F5" s="16"/>
      <c r="G5" s="15" t="s">
        <v>75</v>
      </c>
      <c r="H5" s="15" t="s">
        <v>178</v>
      </c>
      <c r="I5" s="16">
        <v>0.25</v>
      </c>
      <c r="J5" s="15" t="s">
        <v>45</v>
      </c>
      <c r="K5" s="15" t="s">
        <v>212</v>
      </c>
      <c r="L5" s="5"/>
      <c r="M5" s="15" t="s">
        <v>244</v>
      </c>
      <c r="N5" s="15" t="s">
        <v>192</v>
      </c>
      <c r="O5" s="22"/>
      <c r="P5" s="15" t="s">
        <v>84</v>
      </c>
      <c r="Q5" s="15" t="s">
        <v>262</v>
      </c>
      <c r="R5" s="17"/>
      <c r="S5" s="15" t="s">
        <v>86</v>
      </c>
      <c r="T5" s="15" t="s">
        <v>296</v>
      </c>
      <c r="U5" s="5"/>
      <c r="V5" s="15" t="s">
        <v>92</v>
      </c>
      <c r="W5" s="15" t="s">
        <v>329</v>
      </c>
      <c r="X5" s="16"/>
      <c r="Y5" s="15" t="s">
        <v>362</v>
      </c>
      <c r="Z5" s="15" t="s">
        <v>364</v>
      </c>
      <c r="AA5" s="5"/>
      <c r="AB5" s="15" t="s">
        <v>90</v>
      </c>
      <c r="AC5" s="15" t="s">
        <v>383</v>
      </c>
      <c r="AD5" s="16"/>
      <c r="AE5" s="15" t="s">
        <v>78</v>
      </c>
      <c r="AF5" s="15" t="s">
        <v>411</v>
      </c>
      <c r="AG5" s="16"/>
      <c r="AH5" s="15" t="s">
        <v>76</v>
      </c>
      <c r="AI5" s="15" t="s">
        <v>450</v>
      </c>
      <c r="AJ5" s="16"/>
      <c r="AK5" s="15" t="s">
        <v>95</v>
      </c>
      <c r="AL5" s="15" t="s">
        <v>486</v>
      </c>
      <c r="AM5" s="16"/>
      <c r="AN5" s="15" t="s">
        <v>43</v>
      </c>
      <c r="AO5" s="15" t="s">
        <v>512</v>
      </c>
      <c r="AQ5" s="15" t="s">
        <v>539</v>
      </c>
      <c r="AR5" s="15" t="s">
        <v>506</v>
      </c>
      <c r="AT5" s="15" t="s">
        <v>85</v>
      </c>
      <c r="AU5" s="15" t="s">
        <v>328</v>
      </c>
      <c r="AW5" s="48" t="s">
        <v>74</v>
      </c>
      <c r="AX5" s="15" t="s">
        <v>576</v>
      </c>
      <c r="AZ5" s="15" t="s">
        <v>89</v>
      </c>
      <c r="BA5" s="15" t="s">
        <v>597</v>
      </c>
      <c r="BC5" s="15" t="s">
        <v>93</v>
      </c>
      <c r="BD5" s="15" t="s">
        <v>627</v>
      </c>
      <c r="BE5" s="5"/>
      <c r="BF5" s="15" t="s">
        <v>35</v>
      </c>
      <c r="BG5" s="15" t="s">
        <v>664</v>
      </c>
      <c r="BH5" s="16"/>
      <c r="BI5" s="15" t="s">
        <v>88</v>
      </c>
      <c r="BJ5" s="15" t="s">
        <v>675</v>
      </c>
      <c r="BK5" s="16">
        <v>0.25</v>
      </c>
      <c r="BL5" s="15" t="s">
        <v>79</v>
      </c>
      <c r="BM5" s="15" t="s">
        <v>411</v>
      </c>
      <c r="BN5" s="16"/>
      <c r="BO5" s="15" t="s">
        <v>91</v>
      </c>
      <c r="BP5" s="15" t="s">
        <v>713</v>
      </c>
      <c r="BQ5">
        <v>0.25</v>
      </c>
      <c r="BR5" s="15" t="s">
        <v>83</v>
      </c>
      <c r="BS5" s="15" t="s">
        <v>733</v>
      </c>
      <c r="BT5" s="14">
        <v>2</v>
      </c>
      <c r="BU5" s="15" t="s">
        <v>77</v>
      </c>
      <c r="BV5" s="15" t="s">
        <v>765</v>
      </c>
      <c r="BW5" s="16"/>
      <c r="BX5" s="51" t="s">
        <v>87</v>
      </c>
      <c r="BY5" s="51" t="s">
        <v>794</v>
      </c>
      <c r="BZ5" s="52">
        <v>1</v>
      </c>
      <c r="CA5" s="16"/>
      <c r="CB5" s="15" t="s">
        <v>814</v>
      </c>
      <c r="CC5" s="15" t="s">
        <v>816</v>
      </c>
      <c r="CD5" s="16"/>
      <c r="CE5" s="58" t="s">
        <v>80</v>
      </c>
      <c r="CF5" s="58" t="s">
        <v>840</v>
      </c>
      <c r="CG5" s="57"/>
      <c r="CH5" s="15" t="s">
        <v>36</v>
      </c>
      <c r="CI5" s="15" t="s">
        <v>863</v>
      </c>
      <c r="CK5" s="15" t="s">
        <v>94</v>
      </c>
      <c r="CL5" s="15" t="s">
        <v>882</v>
      </c>
      <c r="CM5" s="5">
        <v>0.25</v>
      </c>
      <c r="CN5" s="15" t="s">
        <v>54</v>
      </c>
      <c r="CO5" s="15" t="s">
        <v>903</v>
      </c>
      <c r="CP5" s="16"/>
      <c r="CQ5" s="15" t="s">
        <v>923</v>
      </c>
      <c r="CR5" s="15" t="s">
        <v>926</v>
      </c>
      <c r="CS5" s="16">
        <v>2</v>
      </c>
      <c r="CT5" s="5"/>
      <c r="CV5" s="16"/>
      <c r="CW5" s="5"/>
      <c r="CY5" s="16"/>
      <c r="CZ5" s="5"/>
      <c r="DB5" s="16"/>
      <c r="DC5" s="5"/>
      <c r="DE5" s="16"/>
      <c r="DF5" s="16"/>
      <c r="DH5" s="16"/>
      <c r="DI5" s="5"/>
      <c r="DK5" s="16"/>
      <c r="DL5" s="16"/>
      <c r="DN5" s="16"/>
      <c r="DO5" s="17"/>
      <c r="DR5" s="16"/>
      <c r="DS5" s="5"/>
      <c r="DU5" s="16"/>
      <c r="DV5" s="16"/>
      <c r="DY5" s="16"/>
      <c r="DZ5" s="16"/>
      <c r="EB5" s="16"/>
      <c r="EC5" s="16"/>
      <c r="EF5" s="16"/>
      <c r="EG5" s="5"/>
      <c r="EI5" s="16"/>
      <c r="EJ5" s="16"/>
      <c r="EM5" s="16"/>
      <c r="EN5" s="16"/>
      <c r="EQ5" s="5"/>
      <c r="ER5" s="5"/>
    </row>
    <row r="6" spans="1:148" ht="26.25" x14ac:dyDescent="0.4">
      <c r="A6" s="15" t="s">
        <v>34</v>
      </c>
      <c r="B6" s="15" t="s">
        <v>114</v>
      </c>
      <c r="D6" s="15" t="s">
        <v>96</v>
      </c>
      <c r="E6" s="15" t="s">
        <v>145</v>
      </c>
      <c r="F6" s="16"/>
      <c r="G6" s="15" t="s">
        <v>75</v>
      </c>
      <c r="H6" s="15" t="s">
        <v>179</v>
      </c>
      <c r="I6" s="16"/>
      <c r="J6" s="15" t="s">
        <v>81</v>
      </c>
      <c r="K6" s="15" t="s">
        <v>213</v>
      </c>
      <c r="L6" s="5"/>
      <c r="M6" s="15" t="s">
        <v>45</v>
      </c>
      <c r="N6" s="15" t="s">
        <v>246</v>
      </c>
      <c r="O6" s="22"/>
      <c r="P6" s="15" t="s">
        <v>84</v>
      </c>
      <c r="Q6" s="15" t="s">
        <v>263</v>
      </c>
      <c r="R6" s="17"/>
      <c r="S6" s="15" t="s">
        <v>86</v>
      </c>
      <c r="T6" s="15" t="s">
        <v>297</v>
      </c>
      <c r="U6" s="5">
        <v>0.25</v>
      </c>
      <c r="V6" s="15" t="s">
        <v>92</v>
      </c>
      <c r="W6" s="15" t="s">
        <v>330</v>
      </c>
      <c r="X6" s="16"/>
      <c r="Y6" s="15" t="s">
        <v>362</v>
      </c>
      <c r="Z6" s="15" t="s">
        <v>364</v>
      </c>
      <c r="AA6" s="5"/>
      <c r="AB6" s="15" t="s">
        <v>90</v>
      </c>
      <c r="AC6" s="15" t="s">
        <v>384</v>
      </c>
      <c r="AD6" s="16"/>
      <c r="AE6" s="15" t="s">
        <v>78</v>
      </c>
      <c r="AF6" s="15" t="s">
        <v>412</v>
      </c>
      <c r="AG6" s="21"/>
      <c r="AH6" s="15" t="s">
        <v>76</v>
      </c>
      <c r="AI6" s="15" t="s">
        <v>451</v>
      </c>
      <c r="AJ6" s="16"/>
      <c r="AK6" s="15" t="s">
        <v>95</v>
      </c>
      <c r="AL6" s="15" t="s">
        <v>487</v>
      </c>
      <c r="AM6" s="16"/>
      <c r="AN6" s="15" t="s">
        <v>43</v>
      </c>
      <c r="AO6" s="15" t="s">
        <v>513</v>
      </c>
      <c r="AQ6" s="15" t="s">
        <v>539</v>
      </c>
      <c r="AR6" s="15" t="s">
        <v>542</v>
      </c>
      <c r="AT6" s="15" t="s">
        <v>85</v>
      </c>
      <c r="AU6" s="15" t="s">
        <v>546</v>
      </c>
      <c r="AV6" s="14">
        <v>0.5</v>
      </c>
      <c r="AW6" s="48" t="s">
        <v>74</v>
      </c>
      <c r="AX6" s="15" t="s">
        <v>577</v>
      </c>
      <c r="AZ6" s="15" t="s">
        <v>89</v>
      </c>
      <c r="BA6" s="15" t="s">
        <v>598</v>
      </c>
      <c r="BC6" s="15" t="s">
        <v>93</v>
      </c>
      <c r="BD6" s="15" t="s">
        <v>628</v>
      </c>
      <c r="BE6" s="5"/>
      <c r="BF6" s="15" t="s">
        <v>35</v>
      </c>
      <c r="BG6" s="15" t="s">
        <v>664</v>
      </c>
      <c r="BH6" s="16"/>
      <c r="BI6" s="15" t="s">
        <v>88</v>
      </c>
      <c r="BJ6" s="15" t="s">
        <v>676</v>
      </c>
      <c r="BK6" s="21"/>
      <c r="BL6" s="15" t="s">
        <v>79</v>
      </c>
      <c r="BM6" s="15" t="s">
        <v>700</v>
      </c>
      <c r="BN6" s="16"/>
      <c r="BO6" s="15" t="s">
        <v>91</v>
      </c>
      <c r="BP6" s="15" t="s">
        <v>714</v>
      </c>
      <c r="BR6" s="15" t="s">
        <v>83</v>
      </c>
      <c r="BS6" s="15" t="s">
        <v>734</v>
      </c>
      <c r="BU6" s="15" t="s">
        <v>77</v>
      </c>
      <c r="BV6" s="15" t="s">
        <v>766</v>
      </c>
      <c r="BW6" s="16"/>
      <c r="BX6" s="51" t="s">
        <v>87</v>
      </c>
      <c r="BY6" s="51" t="s">
        <v>795</v>
      </c>
      <c r="BZ6" s="52">
        <v>0.25</v>
      </c>
      <c r="CA6" s="16"/>
      <c r="CB6" s="15" t="s">
        <v>814</v>
      </c>
      <c r="CC6" s="15" t="s">
        <v>817</v>
      </c>
      <c r="CD6" s="21"/>
      <c r="CE6" s="58" t="s">
        <v>80</v>
      </c>
      <c r="CF6" s="58" t="s">
        <v>841</v>
      </c>
      <c r="CG6" s="57"/>
      <c r="CH6" s="15" t="s">
        <v>36</v>
      </c>
      <c r="CI6" s="15" t="s">
        <v>864</v>
      </c>
      <c r="CK6" s="15" t="s">
        <v>94</v>
      </c>
      <c r="CL6" s="15" t="s">
        <v>883</v>
      </c>
      <c r="CM6" s="5"/>
      <c r="CN6" s="15" t="s">
        <v>54</v>
      </c>
      <c r="CO6" s="15" t="s">
        <v>903</v>
      </c>
      <c r="CP6" s="16"/>
      <c r="CQ6" s="15" t="s">
        <v>923</v>
      </c>
      <c r="CR6" s="15" t="s">
        <v>927</v>
      </c>
      <c r="CS6" s="16"/>
      <c r="CT6" s="5"/>
      <c r="CV6" s="16"/>
      <c r="CW6" s="5"/>
      <c r="CY6" s="16"/>
      <c r="CZ6" s="5"/>
      <c r="DB6" s="16"/>
      <c r="DC6" s="5"/>
      <c r="DE6" s="16"/>
      <c r="DF6" s="16"/>
      <c r="DH6" s="16"/>
      <c r="DI6" s="5"/>
      <c r="DK6" s="16"/>
      <c r="DL6" s="16"/>
      <c r="DN6" s="16"/>
      <c r="DO6" s="17"/>
      <c r="DR6" s="16"/>
      <c r="DS6" s="5"/>
      <c r="DU6" s="16"/>
      <c r="DV6" s="16"/>
      <c r="DY6" s="16"/>
      <c r="DZ6" s="16"/>
      <c r="EB6" s="16"/>
      <c r="EC6" s="16"/>
      <c r="EF6" s="16"/>
      <c r="EG6" s="5"/>
      <c r="EM6" s="16"/>
      <c r="EN6" s="16"/>
      <c r="EQ6" s="5"/>
      <c r="ER6" s="5"/>
    </row>
    <row r="7" spans="1:148" ht="26.25" x14ac:dyDescent="0.4">
      <c r="A7" s="15" t="s">
        <v>34</v>
      </c>
      <c r="B7" s="15" t="s">
        <v>115</v>
      </c>
      <c r="D7" s="19" t="s">
        <v>82</v>
      </c>
      <c r="E7" s="15" t="s">
        <v>146</v>
      </c>
      <c r="F7" s="16">
        <v>0</v>
      </c>
      <c r="G7" s="15" t="s">
        <v>75</v>
      </c>
      <c r="H7" s="15" t="s">
        <v>180</v>
      </c>
      <c r="I7" s="16"/>
      <c r="J7" s="15" t="s">
        <v>81</v>
      </c>
      <c r="K7" s="15" t="s">
        <v>214</v>
      </c>
      <c r="L7" s="5"/>
      <c r="M7" s="15" t="s">
        <v>244</v>
      </c>
      <c r="N7" s="15" t="s">
        <v>158</v>
      </c>
      <c r="O7" s="22"/>
      <c r="P7" s="15" t="s">
        <v>84</v>
      </c>
      <c r="Q7" s="15" t="s">
        <v>264</v>
      </c>
      <c r="R7" s="17">
        <v>0.25</v>
      </c>
      <c r="S7" s="15" t="s">
        <v>86</v>
      </c>
      <c r="T7" s="15" t="s">
        <v>298</v>
      </c>
      <c r="U7" s="5"/>
      <c r="V7" s="15" t="s">
        <v>92</v>
      </c>
      <c r="W7" s="15" t="s">
        <v>331</v>
      </c>
      <c r="X7" s="16">
        <v>1</v>
      </c>
      <c r="Y7" s="15" t="s">
        <v>362</v>
      </c>
      <c r="Z7" s="15" t="s">
        <v>365</v>
      </c>
      <c r="AA7" s="5"/>
      <c r="AB7" s="15" t="s">
        <v>90</v>
      </c>
      <c r="AC7" s="15" t="s">
        <v>385</v>
      </c>
      <c r="AD7" s="16"/>
      <c r="AE7" s="15" t="s">
        <v>78</v>
      </c>
      <c r="AF7" s="15" t="s">
        <v>413</v>
      </c>
      <c r="AG7" s="16"/>
      <c r="AH7" s="15" t="s">
        <v>76</v>
      </c>
      <c r="AI7" s="15" t="s">
        <v>452</v>
      </c>
      <c r="AJ7" s="16"/>
      <c r="AK7" s="15" t="s">
        <v>95</v>
      </c>
      <c r="AL7" s="15" t="s">
        <v>488</v>
      </c>
      <c r="AM7" s="16"/>
      <c r="AN7" s="15" t="s">
        <v>43</v>
      </c>
      <c r="AO7" s="15" t="s">
        <v>514</v>
      </c>
      <c r="AQ7" s="15" t="s">
        <v>539</v>
      </c>
      <c r="AR7" s="15" t="s">
        <v>543</v>
      </c>
      <c r="AT7" s="15" t="s">
        <v>85</v>
      </c>
      <c r="AU7" s="15" t="s">
        <v>547</v>
      </c>
      <c r="AW7" s="48"/>
      <c r="AX7" s="15" t="s">
        <v>578</v>
      </c>
      <c r="AY7">
        <v>1</v>
      </c>
      <c r="AZ7" s="15" t="s">
        <v>89</v>
      </c>
      <c r="BA7" s="15" t="s">
        <v>548</v>
      </c>
      <c r="BB7">
        <v>0.5</v>
      </c>
      <c r="BC7" s="15" t="s">
        <v>93</v>
      </c>
      <c r="BD7" s="15" t="s">
        <v>629</v>
      </c>
      <c r="BE7" s="5">
        <v>0.5</v>
      </c>
      <c r="BF7" s="15" t="s">
        <v>35</v>
      </c>
      <c r="BG7" s="15" t="s">
        <v>665</v>
      </c>
      <c r="BH7" s="16"/>
      <c r="BI7" s="15" t="s">
        <v>88</v>
      </c>
      <c r="BJ7" s="15" t="s">
        <v>677</v>
      </c>
      <c r="BK7" s="16"/>
      <c r="BL7" s="15" t="s">
        <v>79</v>
      </c>
      <c r="BM7" s="15" t="s">
        <v>413</v>
      </c>
      <c r="BN7" s="16"/>
      <c r="BO7" s="15" t="s">
        <v>91</v>
      </c>
      <c r="BP7" s="15" t="s">
        <v>413</v>
      </c>
      <c r="BR7" s="15" t="s">
        <v>83</v>
      </c>
      <c r="BS7" s="15" t="s">
        <v>735</v>
      </c>
      <c r="BU7" s="15" t="s">
        <v>77</v>
      </c>
      <c r="BV7" s="15" t="s">
        <v>454</v>
      </c>
      <c r="BW7" s="16"/>
      <c r="BX7" s="51" t="s">
        <v>87</v>
      </c>
      <c r="BY7" s="51" t="s">
        <v>796</v>
      </c>
      <c r="BZ7" s="52"/>
      <c r="CA7" s="16"/>
      <c r="CB7" s="15" t="s">
        <v>814</v>
      </c>
      <c r="CC7" s="15" t="s">
        <v>818</v>
      </c>
      <c r="CD7" s="16"/>
      <c r="CE7" s="58" t="s">
        <v>80</v>
      </c>
      <c r="CF7" s="58" t="s">
        <v>842</v>
      </c>
      <c r="CG7" s="57"/>
      <c r="CH7" s="15" t="s">
        <v>36</v>
      </c>
      <c r="CI7" s="15" t="s">
        <v>115</v>
      </c>
      <c r="CK7" s="15" t="s">
        <v>94</v>
      </c>
      <c r="CL7" s="15" t="s">
        <v>884</v>
      </c>
      <c r="CM7" s="5">
        <v>0.5</v>
      </c>
      <c r="CN7" s="15" t="s">
        <v>54</v>
      </c>
      <c r="CO7" s="15" t="s">
        <v>213</v>
      </c>
      <c r="CP7" s="16"/>
      <c r="CQ7" s="15" t="s">
        <v>923</v>
      </c>
      <c r="CR7" s="15" t="s">
        <v>515</v>
      </c>
      <c r="CS7" s="21"/>
      <c r="CT7" s="5"/>
      <c r="CV7" s="16"/>
      <c r="CW7" s="5"/>
      <c r="CY7" s="22"/>
      <c r="CZ7" s="5"/>
      <c r="DB7" s="16"/>
      <c r="DC7" s="5"/>
      <c r="DE7" s="16"/>
      <c r="DF7" s="16"/>
      <c r="DH7" s="16"/>
      <c r="DI7" s="5"/>
      <c r="DK7" s="21"/>
      <c r="DL7" s="16"/>
      <c r="DN7" s="16"/>
      <c r="DO7" s="17"/>
      <c r="DR7" s="16"/>
      <c r="DS7" s="5"/>
      <c r="DU7" s="16"/>
      <c r="DV7" s="16"/>
      <c r="DY7" s="16"/>
      <c r="DZ7" s="16"/>
      <c r="EB7" s="16"/>
      <c r="EC7" s="16"/>
      <c r="EF7" s="16"/>
      <c r="EG7" s="5"/>
      <c r="EM7" s="16"/>
      <c r="EN7" s="16"/>
      <c r="EQ7" s="5"/>
      <c r="ER7" s="5"/>
    </row>
    <row r="8" spans="1:148" ht="26.25" x14ac:dyDescent="0.4">
      <c r="A8" s="15" t="s">
        <v>34</v>
      </c>
      <c r="B8" s="15" t="s">
        <v>116</v>
      </c>
      <c r="C8" s="9">
        <v>0.5</v>
      </c>
      <c r="D8" s="15" t="s">
        <v>96</v>
      </c>
      <c r="E8" s="15" t="s">
        <v>147</v>
      </c>
      <c r="F8" s="16"/>
      <c r="G8" s="15" t="s">
        <v>75</v>
      </c>
      <c r="H8" s="15" t="s">
        <v>181</v>
      </c>
      <c r="I8" s="16"/>
      <c r="J8" s="15" t="s">
        <v>81</v>
      </c>
      <c r="K8" s="15" t="s">
        <v>214</v>
      </c>
      <c r="L8" s="5"/>
      <c r="M8" s="15" t="s">
        <v>244</v>
      </c>
      <c r="N8" s="15" t="s">
        <v>247</v>
      </c>
      <c r="O8" s="22"/>
      <c r="P8" s="15" t="s">
        <v>84</v>
      </c>
      <c r="Q8" s="15" t="s">
        <v>265</v>
      </c>
      <c r="R8" s="17"/>
      <c r="S8" s="15" t="s">
        <v>86</v>
      </c>
      <c r="T8" s="15" t="s">
        <v>299</v>
      </c>
      <c r="U8" s="5">
        <v>0.5</v>
      </c>
      <c r="V8" s="15" t="s">
        <v>92</v>
      </c>
      <c r="W8" s="15" t="s">
        <v>332</v>
      </c>
      <c r="X8" s="16"/>
      <c r="Y8" s="15" t="s">
        <v>362</v>
      </c>
      <c r="Z8" s="15" t="s">
        <v>366</v>
      </c>
      <c r="AA8" s="5">
        <v>0.25</v>
      </c>
      <c r="AB8" s="15" t="s">
        <v>90</v>
      </c>
      <c r="AC8" s="15" t="s">
        <v>386</v>
      </c>
      <c r="AD8" s="16"/>
      <c r="AE8" s="15" t="s">
        <v>78</v>
      </c>
      <c r="AF8" s="15" t="s">
        <v>386</v>
      </c>
      <c r="AG8" s="16"/>
      <c r="AH8" s="15" t="s">
        <v>76</v>
      </c>
      <c r="AI8" s="15" t="s">
        <v>453</v>
      </c>
      <c r="AJ8" s="16"/>
      <c r="AK8" s="15" t="s">
        <v>95</v>
      </c>
      <c r="AL8" s="15" t="s">
        <v>488</v>
      </c>
      <c r="AM8" s="16"/>
      <c r="AN8" s="15" t="s">
        <v>43</v>
      </c>
      <c r="AO8" s="15" t="s">
        <v>515</v>
      </c>
      <c r="AQ8" s="15" t="s">
        <v>539</v>
      </c>
      <c r="AR8" s="15" t="s">
        <v>544</v>
      </c>
      <c r="AT8" s="15" t="s">
        <v>85</v>
      </c>
      <c r="AU8" s="15" t="s">
        <v>548</v>
      </c>
      <c r="AV8" s="14">
        <v>0.5</v>
      </c>
      <c r="AW8" s="48" t="s">
        <v>74</v>
      </c>
      <c r="AX8" s="15" t="s">
        <v>579</v>
      </c>
      <c r="AZ8" s="15" t="s">
        <v>89</v>
      </c>
      <c r="BA8" s="15" t="s">
        <v>599</v>
      </c>
      <c r="BC8" s="15" t="s">
        <v>93</v>
      </c>
      <c r="BD8" s="15" t="s">
        <v>298</v>
      </c>
      <c r="BE8" s="5"/>
      <c r="BF8" s="19" t="s">
        <v>45</v>
      </c>
      <c r="BG8" s="15" t="s">
        <v>666</v>
      </c>
      <c r="BH8" s="16"/>
      <c r="BI8" s="38">
        <v>46177</v>
      </c>
      <c r="BJ8" s="15" t="s">
        <v>678</v>
      </c>
      <c r="BK8" s="16">
        <v>1</v>
      </c>
      <c r="BL8" s="15" t="s">
        <v>79</v>
      </c>
      <c r="BM8" s="15" t="s">
        <v>455</v>
      </c>
      <c r="BN8" s="16"/>
      <c r="BO8" s="15" t="s">
        <v>91</v>
      </c>
      <c r="BP8" s="15" t="s">
        <v>715</v>
      </c>
      <c r="BR8" s="15" t="s">
        <v>83</v>
      </c>
      <c r="BS8" s="15" t="s">
        <v>736</v>
      </c>
      <c r="BU8" s="15" t="s">
        <v>77</v>
      </c>
      <c r="BV8" s="15" t="s">
        <v>767</v>
      </c>
      <c r="BW8" s="16"/>
      <c r="BX8" s="51" t="s">
        <v>87</v>
      </c>
      <c r="BY8" s="51" t="s">
        <v>797</v>
      </c>
      <c r="BZ8" s="52"/>
      <c r="CA8" s="16"/>
      <c r="CB8" s="15" t="s">
        <v>814</v>
      </c>
      <c r="CC8" s="15" t="s">
        <v>819</v>
      </c>
      <c r="CD8" s="16"/>
      <c r="CE8" s="58" t="s">
        <v>80</v>
      </c>
      <c r="CF8" s="58" t="s">
        <v>843</v>
      </c>
      <c r="CG8" s="57"/>
      <c r="CH8" s="15" t="s">
        <v>36</v>
      </c>
      <c r="CI8" s="15" t="s">
        <v>116</v>
      </c>
      <c r="CK8" s="15" t="s">
        <v>94</v>
      </c>
      <c r="CL8" s="15" t="s">
        <v>885</v>
      </c>
      <c r="CM8" s="5"/>
      <c r="CN8" s="15" t="s">
        <v>54</v>
      </c>
      <c r="CO8" s="15" t="s">
        <v>904</v>
      </c>
      <c r="CP8" s="16"/>
      <c r="CQ8" s="15" t="s">
        <v>923</v>
      </c>
      <c r="CR8" s="15" t="s">
        <v>928</v>
      </c>
      <c r="CS8" s="16"/>
      <c r="CT8" s="5"/>
      <c r="CV8" s="16"/>
      <c r="CW8" s="5"/>
      <c r="CY8" s="16"/>
      <c r="CZ8" s="5"/>
      <c r="DB8" s="16"/>
      <c r="DC8" s="5"/>
      <c r="DE8" s="16"/>
      <c r="DF8" s="16"/>
      <c r="DH8" s="16"/>
      <c r="DI8" s="5"/>
      <c r="DK8" s="16"/>
      <c r="DL8" s="16"/>
      <c r="DN8" s="16"/>
      <c r="DO8" s="17"/>
      <c r="DR8" s="16"/>
      <c r="DS8" s="5"/>
      <c r="DU8" s="16"/>
      <c r="DV8" s="16"/>
      <c r="EB8" s="16"/>
      <c r="EC8" s="16"/>
      <c r="EF8" s="16"/>
      <c r="EG8" s="5"/>
      <c r="EM8" s="16"/>
      <c r="EN8" s="16"/>
      <c r="EQ8" s="5"/>
      <c r="ER8" s="5"/>
    </row>
    <row r="9" spans="1:148" ht="26.25" x14ac:dyDescent="0.4">
      <c r="A9" s="15" t="s">
        <v>34</v>
      </c>
      <c r="B9" s="39" t="s">
        <v>117</v>
      </c>
      <c r="D9" s="15" t="s">
        <v>96</v>
      </c>
      <c r="E9" s="15" t="s">
        <v>148</v>
      </c>
      <c r="F9" s="16"/>
      <c r="G9" s="15" t="s">
        <v>75</v>
      </c>
      <c r="H9" s="15" t="s">
        <v>182</v>
      </c>
      <c r="I9" s="16"/>
      <c r="J9" s="15" t="s">
        <v>81</v>
      </c>
      <c r="K9" s="15" t="s">
        <v>215</v>
      </c>
      <c r="L9" s="5"/>
      <c r="M9" s="15" t="s">
        <v>244</v>
      </c>
      <c r="N9" s="15" t="s">
        <v>248</v>
      </c>
      <c r="O9" s="22"/>
      <c r="P9" s="15" t="s">
        <v>82</v>
      </c>
      <c r="Q9" s="15" t="s">
        <v>266</v>
      </c>
      <c r="R9" s="17">
        <v>0</v>
      </c>
      <c r="S9" s="15" t="s">
        <v>86</v>
      </c>
      <c r="T9" s="15" t="s">
        <v>300</v>
      </c>
      <c r="U9" s="5"/>
      <c r="V9" s="15" t="s">
        <v>92</v>
      </c>
      <c r="W9" s="15" t="s">
        <v>333</v>
      </c>
      <c r="X9" s="16"/>
      <c r="Y9" s="15" t="s">
        <v>362</v>
      </c>
      <c r="Z9" s="15" t="s">
        <v>367</v>
      </c>
      <c r="AA9" s="5"/>
      <c r="AB9" s="15" t="s">
        <v>90</v>
      </c>
      <c r="AC9" s="15" t="s">
        <v>216</v>
      </c>
      <c r="AD9" s="16"/>
      <c r="AE9" s="15" t="s">
        <v>82</v>
      </c>
      <c r="AF9" s="15" t="s">
        <v>414</v>
      </c>
      <c r="AG9" s="16"/>
      <c r="AH9" s="15" t="s">
        <v>76</v>
      </c>
      <c r="AI9" s="15" t="s">
        <v>454</v>
      </c>
      <c r="AJ9" s="21"/>
      <c r="AK9" s="15" t="s">
        <v>95</v>
      </c>
      <c r="AL9" s="15" t="s">
        <v>455</v>
      </c>
      <c r="AM9" s="21"/>
      <c r="AN9" s="15" t="s">
        <v>43</v>
      </c>
      <c r="AO9" s="15" t="s">
        <v>516</v>
      </c>
      <c r="AQ9" s="16"/>
      <c r="AR9" s="5"/>
      <c r="AT9" s="15" t="s">
        <v>85</v>
      </c>
      <c r="AU9" s="15" t="s">
        <v>549</v>
      </c>
      <c r="AW9" s="48"/>
      <c r="AX9" s="15" t="s">
        <v>580</v>
      </c>
      <c r="AY9">
        <v>1</v>
      </c>
      <c r="AZ9" s="15" t="s">
        <v>89</v>
      </c>
      <c r="BA9" s="15" t="s">
        <v>600</v>
      </c>
      <c r="BC9" s="15" t="s">
        <v>93</v>
      </c>
      <c r="BD9" s="15" t="s">
        <v>630</v>
      </c>
      <c r="BE9" s="5"/>
      <c r="BF9" s="15" t="s">
        <v>35</v>
      </c>
      <c r="BG9" s="15" t="s">
        <v>667</v>
      </c>
      <c r="BH9" s="16"/>
      <c r="BI9" s="15" t="s">
        <v>88</v>
      </c>
      <c r="BJ9" s="15" t="s">
        <v>679</v>
      </c>
      <c r="BK9" s="21"/>
      <c r="BL9" s="19" t="s">
        <v>45</v>
      </c>
      <c r="BM9" s="15" t="s">
        <v>701</v>
      </c>
      <c r="BN9" s="16">
        <v>0</v>
      </c>
      <c r="BO9" s="15" t="s">
        <v>91</v>
      </c>
      <c r="BP9" s="15" t="s">
        <v>513</v>
      </c>
      <c r="BR9" s="15" t="s">
        <v>83</v>
      </c>
      <c r="BS9" s="15" t="s">
        <v>737</v>
      </c>
      <c r="BU9" s="15" t="s">
        <v>77</v>
      </c>
      <c r="BV9" s="15" t="s">
        <v>768</v>
      </c>
      <c r="BW9" s="16"/>
      <c r="BX9" s="51" t="s">
        <v>87</v>
      </c>
      <c r="BY9" s="51" t="s">
        <v>798</v>
      </c>
      <c r="BZ9" s="52"/>
      <c r="CA9" s="16"/>
      <c r="CB9" s="15" t="s">
        <v>814</v>
      </c>
      <c r="CC9" s="15" t="s">
        <v>820</v>
      </c>
      <c r="CD9" s="16"/>
      <c r="CE9" s="58" t="s">
        <v>80</v>
      </c>
      <c r="CF9" s="58" t="s">
        <v>844</v>
      </c>
      <c r="CG9" s="57"/>
      <c r="CH9" s="15" t="s">
        <v>36</v>
      </c>
      <c r="CI9" s="15" t="s">
        <v>152</v>
      </c>
      <c r="CK9" s="15" t="s">
        <v>94</v>
      </c>
      <c r="CL9" s="15" t="s">
        <v>886</v>
      </c>
      <c r="CM9" s="5"/>
      <c r="CN9" s="15" t="s">
        <v>54</v>
      </c>
      <c r="CO9" s="15" t="s">
        <v>767</v>
      </c>
      <c r="CP9" s="16"/>
      <c r="CQ9" s="15" t="s">
        <v>923</v>
      </c>
      <c r="CR9" s="15" t="s">
        <v>334</v>
      </c>
      <c r="CS9" s="16"/>
      <c r="CT9" s="5"/>
      <c r="CV9" s="16"/>
      <c r="CW9" s="5"/>
      <c r="CY9" s="16"/>
      <c r="CZ9" s="5"/>
      <c r="DB9" s="16"/>
      <c r="DC9" s="5"/>
      <c r="DE9" s="16"/>
      <c r="DF9" s="16"/>
      <c r="DH9" s="16"/>
      <c r="DI9" s="5"/>
      <c r="DK9" s="16"/>
      <c r="DL9" s="16"/>
      <c r="DN9" s="21"/>
      <c r="DO9" s="17"/>
      <c r="DR9" s="16"/>
      <c r="DS9" s="5"/>
      <c r="DU9" s="16"/>
      <c r="DV9" s="16"/>
      <c r="EB9" s="16"/>
      <c r="EC9" s="16"/>
      <c r="EF9" s="16"/>
      <c r="EG9" s="5"/>
      <c r="EQ9" s="5"/>
      <c r="ER9" s="5"/>
    </row>
    <row r="10" spans="1:148" ht="26.25" x14ac:dyDescent="0.4">
      <c r="A10" s="15" t="s">
        <v>34</v>
      </c>
      <c r="B10" s="15" t="s">
        <v>118</v>
      </c>
      <c r="D10" s="15" t="s">
        <v>96</v>
      </c>
      <c r="E10" s="15" t="s">
        <v>148</v>
      </c>
      <c r="F10" s="16"/>
      <c r="G10" s="15" t="s">
        <v>75</v>
      </c>
      <c r="H10" s="15" t="s">
        <v>183</v>
      </c>
      <c r="I10" s="16"/>
      <c r="J10" s="15" t="s">
        <v>81</v>
      </c>
      <c r="K10" s="15" t="s">
        <v>216</v>
      </c>
      <c r="L10" s="5"/>
      <c r="M10" s="15" t="s">
        <v>244</v>
      </c>
      <c r="N10" s="15" t="s">
        <v>195</v>
      </c>
      <c r="O10" s="22">
        <v>0.25</v>
      </c>
      <c r="P10" s="15" t="s">
        <v>84</v>
      </c>
      <c r="Q10" s="15" t="s">
        <v>267</v>
      </c>
      <c r="R10" s="17"/>
      <c r="S10" s="15" t="s">
        <v>86</v>
      </c>
      <c r="T10" s="15" t="s">
        <v>301</v>
      </c>
      <c r="U10" s="5"/>
      <c r="V10" s="15" t="s">
        <v>92</v>
      </c>
      <c r="W10" s="15" t="s">
        <v>334</v>
      </c>
      <c r="X10" s="16"/>
      <c r="Y10" s="15" t="s">
        <v>362</v>
      </c>
      <c r="Z10" s="15" t="s">
        <v>367</v>
      </c>
      <c r="AA10" s="5"/>
      <c r="AB10" s="15" t="s">
        <v>90</v>
      </c>
      <c r="AC10" s="15" t="s">
        <v>387</v>
      </c>
      <c r="AD10" s="16"/>
      <c r="AE10" s="15" t="s">
        <v>78</v>
      </c>
      <c r="AF10" s="15" t="s">
        <v>415</v>
      </c>
      <c r="AG10" s="16"/>
      <c r="AH10" s="15" t="s">
        <v>76</v>
      </c>
      <c r="AI10" s="15" t="s">
        <v>455</v>
      </c>
      <c r="AJ10" s="16"/>
      <c r="AK10" s="15" t="s">
        <v>95</v>
      </c>
      <c r="AL10" s="15" t="s">
        <v>455</v>
      </c>
      <c r="AM10" s="16"/>
      <c r="AN10" s="15" t="s">
        <v>43</v>
      </c>
      <c r="AO10" s="15" t="s">
        <v>517</v>
      </c>
      <c r="AQ10" s="16"/>
      <c r="AR10" s="5"/>
      <c r="AT10" s="15" t="s">
        <v>85</v>
      </c>
      <c r="AU10" s="15" t="s">
        <v>550</v>
      </c>
      <c r="AW10" s="48" t="s">
        <v>74</v>
      </c>
      <c r="AX10" s="15" t="s">
        <v>581</v>
      </c>
      <c r="AZ10" s="15" t="s">
        <v>89</v>
      </c>
      <c r="BA10" s="15" t="s">
        <v>601</v>
      </c>
      <c r="BC10" s="15" t="s">
        <v>93</v>
      </c>
      <c r="BD10" s="15" t="s">
        <v>181</v>
      </c>
      <c r="BE10" s="5"/>
      <c r="BF10" s="15" t="s">
        <v>35</v>
      </c>
      <c r="BG10" s="15" t="s">
        <v>668</v>
      </c>
      <c r="BH10" s="16"/>
      <c r="BI10" s="15" t="s">
        <v>88</v>
      </c>
      <c r="BJ10" s="15" t="s">
        <v>680</v>
      </c>
      <c r="BK10" s="16"/>
      <c r="BL10" s="15" t="s">
        <v>79</v>
      </c>
      <c r="BM10" s="15" t="s">
        <v>702</v>
      </c>
      <c r="BN10" s="16"/>
      <c r="BO10" s="15" t="s">
        <v>91</v>
      </c>
      <c r="BP10" s="15" t="s">
        <v>716</v>
      </c>
      <c r="BR10" s="15" t="s">
        <v>83</v>
      </c>
      <c r="BS10" s="15" t="s">
        <v>738</v>
      </c>
      <c r="BU10" s="15" t="s">
        <v>77</v>
      </c>
      <c r="BV10" s="15" t="s">
        <v>769</v>
      </c>
      <c r="BW10" s="16"/>
      <c r="BX10" s="51" t="s">
        <v>87</v>
      </c>
      <c r="BY10" s="51" t="s">
        <v>799</v>
      </c>
      <c r="BZ10" s="52"/>
      <c r="CA10" s="16"/>
      <c r="CB10" s="15" t="s">
        <v>814</v>
      </c>
      <c r="CC10" s="15" t="s">
        <v>821</v>
      </c>
      <c r="CD10" s="16"/>
      <c r="CE10" s="58" t="s">
        <v>80</v>
      </c>
      <c r="CF10" s="58" t="s">
        <v>845</v>
      </c>
      <c r="CG10" s="57"/>
      <c r="CH10" s="15" t="s">
        <v>36</v>
      </c>
      <c r="CI10" s="15" t="s">
        <v>865</v>
      </c>
      <c r="CK10" s="15" t="s">
        <v>94</v>
      </c>
      <c r="CL10" s="15" t="s">
        <v>887</v>
      </c>
      <c r="CM10" s="5"/>
      <c r="CN10" s="15" t="s">
        <v>54</v>
      </c>
      <c r="CO10" s="15" t="s">
        <v>905</v>
      </c>
      <c r="CP10" s="16"/>
      <c r="CQ10" s="15" t="s">
        <v>923</v>
      </c>
      <c r="CR10" s="15" t="s">
        <v>929</v>
      </c>
      <c r="CS10" s="16"/>
      <c r="CT10" s="5"/>
      <c r="CV10" s="16"/>
      <c r="CW10" s="5"/>
      <c r="CY10" s="16"/>
      <c r="CZ10" s="5"/>
      <c r="DB10" s="16"/>
      <c r="DC10" s="5"/>
      <c r="DE10" s="16"/>
      <c r="DF10" s="16"/>
      <c r="DH10" s="16"/>
      <c r="DI10" s="5"/>
      <c r="DK10" s="16"/>
      <c r="DL10" s="16"/>
      <c r="DN10" s="16"/>
      <c r="DO10" s="17"/>
      <c r="DR10" s="16"/>
      <c r="DS10" s="23"/>
      <c r="DU10" s="16"/>
      <c r="DV10" s="16"/>
      <c r="EB10" s="16"/>
      <c r="EC10" s="16"/>
      <c r="EF10" s="16"/>
      <c r="EG10" s="5"/>
      <c r="EQ10" s="5"/>
      <c r="ER10" s="5"/>
    </row>
    <row r="11" spans="1:148" ht="26.25" x14ac:dyDescent="0.4">
      <c r="A11" s="15" t="s">
        <v>34</v>
      </c>
      <c r="B11" s="15" t="s">
        <v>119</v>
      </c>
      <c r="D11" s="15" t="s">
        <v>96</v>
      </c>
      <c r="E11" s="15" t="s">
        <v>115</v>
      </c>
      <c r="F11" s="16"/>
      <c r="G11" s="15" t="s">
        <v>75</v>
      </c>
      <c r="H11" s="15" t="s">
        <v>184</v>
      </c>
      <c r="I11" s="16"/>
      <c r="J11" s="15" t="s">
        <v>81</v>
      </c>
      <c r="K11" s="15" t="s">
        <v>217</v>
      </c>
      <c r="L11" s="5"/>
      <c r="M11" s="15" t="s">
        <v>244</v>
      </c>
      <c r="N11" s="15" t="s">
        <v>249</v>
      </c>
      <c r="O11" s="22"/>
      <c r="P11" s="15" t="s">
        <v>84</v>
      </c>
      <c r="Q11" s="15" t="s">
        <v>268</v>
      </c>
      <c r="R11" s="17"/>
      <c r="S11" s="15" t="s">
        <v>86</v>
      </c>
      <c r="T11" s="15" t="s">
        <v>302</v>
      </c>
      <c r="U11" s="5"/>
      <c r="V11" s="15" t="s">
        <v>92</v>
      </c>
      <c r="W11" s="15" t="s">
        <v>335</v>
      </c>
      <c r="X11" s="16"/>
      <c r="Y11" s="15" t="s">
        <v>362</v>
      </c>
      <c r="Z11" s="15" t="s">
        <v>368</v>
      </c>
      <c r="AA11" s="5"/>
      <c r="AB11" s="15" t="s">
        <v>90</v>
      </c>
      <c r="AC11" s="15" t="s">
        <v>388</v>
      </c>
      <c r="AD11" s="16"/>
      <c r="AE11" s="15" t="s">
        <v>78</v>
      </c>
      <c r="AF11" s="15" t="s">
        <v>416</v>
      </c>
      <c r="AG11" s="16"/>
      <c r="AH11" s="15" t="s">
        <v>76</v>
      </c>
      <c r="AI11" s="15" t="s">
        <v>331</v>
      </c>
      <c r="AJ11" s="16"/>
      <c r="AK11" s="15" t="s">
        <v>95</v>
      </c>
      <c r="AL11" s="15" t="s">
        <v>489</v>
      </c>
      <c r="AM11" s="16"/>
      <c r="AN11" s="15" t="s">
        <v>43</v>
      </c>
      <c r="AO11" s="15" t="s">
        <v>518</v>
      </c>
      <c r="AQ11" s="16"/>
      <c r="AR11" s="5"/>
      <c r="AT11" s="15" t="s">
        <v>85</v>
      </c>
      <c r="AU11" s="15" t="s">
        <v>551</v>
      </c>
      <c r="AW11" s="48" t="s">
        <v>74</v>
      </c>
      <c r="AX11" s="15" t="s">
        <v>582</v>
      </c>
      <c r="AZ11" s="15" t="s">
        <v>89</v>
      </c>
      <c r="BA11" s="15" t="s">
        <v>602</v>
      </c>
      <c r="BC11" s="19" t="s">
        <v>45</v>
      </c>
      <c r="BD11" s="15" t="s">
        <v>631</v>
      </c>
      <c r="BE11" s="5"/>
      <c r="BF11" s="15" t="s">
        <v>35</v>
      </c>
      <c r="BG11" s="15" t="s">
        <v>669</v>
      </c>
      <c r="BH11" s="16"/>
      <c r="BI11" s="15" t="s">
        <v>88</v>
      </c>
      <c r="BJ11" s="15" t="s">
        <v>681</v>
      </c>
      <c r="BK11" s="16"/>
      <c r="BL11" s="15" t="s">
        <v>79</v>
      </c>
      <c r="BM11" s="15" t="s">
        <v>416</v>
      </c>
      <c r="BN11" s="21"/>
      <c r="BO11" s="15" t="s">
        <v>91</v>
      </c>
      <c r="BP11" s="15" t="s">
        <v>717</v>
      </c>
      <c r="BR11" s="15" t="s">
        <v>83</v>
      </c>
      <c r="BS11" s="15" t="s">
        <v>739</v>
      </c>
      <c r="BU11" s="15" t="s">
        <v>77</v>
      </c>
      <c r="BV11" s="15" t="s">
        <v>770</v>
      </c>
      <c r="BW11" s="16"/>
      <c r="BX11" s="51" t="s">
        <v>87</v>
      </c>
      <c r="BY11" s="51" t="s">
        <v>800</v>
      </c>
      <c r="BZ11" s="52"/>
      <c r="CA11" s="16"/>
      <c r="CB11" s="15" t="s">
        <v>814</v>
      </c>
      <c r="CC11" s="15" t="s">
        <v>704</v>
      </c>
      <c r="CD11" s="16"/>
      <c r="CE11" s="58" t="s">
        <v>80</v>
      </c>
      <c r="CF11" s="58" t="s">
        <v>846</v>
      </c>
      <c r="CG11" s="57"/>
      <c r="CH11" s="15" t="s">
        <v>36</v>
      </c>
      <c r="CI11" s="15" t="s">
        <v>603</v>
      </c>
      <c r="CK11" s="15" t="s">
        <v>94</v>
      </c>
      <c r="CL11" s="15" t="s">
        <v>888</v>
      </c>
      <c r="CM11" s="5"/>
      <c r="CN11" s="15" t="s">
        <v>54</v>
      </c>
      <c r="CO11" s="15" t="s">
        <v>181</v>
      </c>
      <c r="CP11" s="16"/>
      <c r="CQ11" s="15" t="s">
        <v>923</v>
      </c>
      <c r="CR11" s="15" t="s">
        <v>272</v>
      </c>
      <c r="CS11" s="16"/>
      <c r="CT11" s="5"/>
      <c r="CV11" s="16"/>
      <c r="CW11" s="5"/>
      <c r="CY11" s="16"/>
      <c r="CZ11" s="5"/>
      <c r="DB11" s="16"/>
      <c r="DC11" s="5"/>
      <c r="DE11" s="16"/>
      <c r="DF11" s="16"/>
      <c r="DH11" s="16"/>
      <c r="DI11" s="5"/>
      <c r="DK11" s="16"/>
      <c r="DL11" s="16"/>
      <c r="DN11" s="16"/>
      <c r="DO11" s="17"/>
      <c r="DR11" s="16"/>
      <c r="DS11" s="5"/>
      <c r="DU11" s="16"/>
      <c r="DV11" s="16"/>
      <c r="EB11" s="16"/>
      <c r="EC11" s="16"/>
      <c r="EF11" s="16"/>
      <c r="EG11" s="5"/>
      <c r="EO11" s="24"/>
      <c r="EQ11" s="5"/>
      <c r="ER11" s="5"/>
    </row>
    <row r="12" spans="1:148" ht="26.25" x14ac:dyDescent="0.4">
      <c r="A12" s="15" t="s">
        <v>34</v>
      </c>
      <c r="B12" s="15" t="s">
        <v>120</v>
      </c>
      <c r="D12" s="15" t="s">
        <v>96</v>
      </c>
      <c r="E12" s="15" t="s">
        <v>149</v>
      </c>
      <c r="F12" s="16"/>
      <c r="G12" s="15" t="s">
        <v>75</v>
      </c>
      <c r="H12" s="15" t="s">
        <v>185</v>
      </c>
      <c r="I12" s="16"/>
      <c r="J12" s="15" t="s">
        <v>81</v>
      </c>
      <c r="K12" s="15" t="s">
        <v>218</v>
      </c>
      <c r="L12" s="5"/>
      <c r="M12" s="15" t="s">
        <v>44</v>
      </c>
      <c r="N12" s="15" t="s">
        <v>250</v>
      </c>
      <c r="O12" s="22"/>
      <c r="P12" s="15" t="s">
        <v>84</v>
      </c>
      <c r="Q12" s="15" t="s">
        <v>269</v>
      </c>
      <c r="R12" s="25"/>
      <c r="S12" s="15" t="s">
        <v>86</v>
      </c>
      <c r="T12" s="15" t="s">
        <v>303</v>
      </c>
      <c r="U12" s="5"/>
      <c r="V12" s="15" t="s">
        <v>92</v>
      </c>
      <c r="W12" s="15" t="s">
        <v>336</v>
      </c>
      <c r="X12" s="16">
        <v>0.25</v>
      </c>
      <c r="Z12" s="16"/>
      <c r="AA12" s="26"/>
      <c r="AB12" s="15" t="s">
        <v>90</v>
      </c>
      <c r="AC12" s="15" t="s">
        <v>389</v>
      </c>
      <c r="AD12" s="16"/>
      <c r="AE12" s="15" t="s">
        <v>78</v>
      </c>
      <c r="AF12" s="15" t="s">
        <v>417</v>
      </c>
      <c r="AG12" s="16"/>
      <c r="AH12" s="15" t="s">
        <v>76</v>
      </c>
      <c r="AI12" s="15" t="s">
        <v>300</v>
      </c>
      <c r="AJ12" s="16"/>
      <c r="AK12" s="15" t="s">
        <v>95</v>
      </c>
      <c r="AL12" s="15" t="s">
        <v>490</v>
      </c>
      <c r="AM12" s="16"/>
      <c r="AN12" s="15" t="s">
        <v>43</v>
      </c>
      <c r="AO12" s="15" t="s">
        <v>519</v>
      </c>
      <c r="AQ12" s="16"/>
      <c r="AR12" s="5"/>
      <c r="AT12" s="15" t="s">
        <v>85</v>
      </c>
      <c r="AU12" s="15" t="s">
        <v>552</v>
      </c>
      <c r="AW12" s="48" t="s">
        <v>74</v>
      </c>
      <c r="AX12" s="15" t="s">
        <v>583</v>
      </c>
      <c r="AY12">
        <v>0</v>
      </c>
      <c r="AZ12" s="15" t="s">
        <v>89</v>
      </c>
      <c r="BA12" s="15" t="s">
        <v>603</v>
      </c>
      <c r="BC12" s="15" t="s">
        <v>93</v>
      </c>
      <c r="BD12" s="15" t="s">
        <v>516</v>
      </c>
      <c r="BE12" s="5"/>
      <c r="BF12" s="15" t="s">
        <v>35</v>
      </c>
      <c r="BG12" s="15" t="s">
        <v>268</v>
      </c>
      <c r="BH12" s="16"/>
      <c r="BI12" s="15" t="s">
        <v>88</v>
      </c>
      <c r="BJ12" s="15" t="s">
        <v>682</v>
      </c>
      <c r="BK12" s="16"/>
      <c r="BL12" s="15" t="s">
        <v>79</v>
      </c>
      <c r="BM12" s="15" t="s">
        <v>703</v>
      </c>
      <c r="BN12" s="16"/>
      <c r="BO12" s="15" t="s">
        <v>91</v>
      </c>
      <c r="BP12" s="15" t="s">
        <v>389</v>
      </c>
      <c r="BR12" s="15" t="s">
        <v>83</v>
      </c>
      <c r="BS12" s="15" t="s">
        <v>222</v>
      </c>
      <c r="BU12" s="15" t="s">
        <v>77</v>
      </c>
      <c r="BV12" s="15" t="s">
        <v>771</v>
      </c>
      <c r="BW12" s="16"/>
      <c r="BX12" s="51" t="s">
        <v>87</v>
      </c>
      <c r="BY12" s="51" t="s">
        <v>801</v>
      </c>
      <c r="BZ12" s="52"/>
      <c r="CA12" s="27"/>
      <c r="CB12" s="15" t="s">
        <v>814</v>
      </c>
      <c r="CC12" s="15" t="s">
        <v>822</v>
      </c>
      <c r="CD12" s="16"/>
      <c r="CE12" s="58" t="s">
        <v>80</v>
      </c>
      <c r="CF12" s="58" t="s">
        <v>847</v>
      </c>
      <c r="CG12" s="57"/>
      <c r="CH12" s="15" t="s">
        <v>36</v>
      </c>
      <c r="CI12" s="15" t="s">
        <v>118</v>
      </c>
      <c r="CK12" s="15" t="s">
        <v>94</v>
      </c>
      <c r="CL12" s="15" t="s">
        <v>889</v>
      </c>
      <c r="CM12" s="5"/>
      <c r="CN12" s="15" t="s">
        <v>54</v>
      </c>
      <c r="CO12" s="15" t="s">
        <v>906</v>
      </c>
      <c r="CP12" s="16"/>
      <c r="CQ12" s="15" t="s">
        <v>923</v>
      </c>
      <c r="CR12" s="15" t="s">
        <v>930</v>
      </c>
      <c r="CS12" s="16"/>
      <c r="CT12" s="5"/>
      <c r="CV12" s="16"/>
      <c r="CW12" s="5"/>
      <c r="CY12" s="16"/>
      <c r="CZ12" s="5"/>
      <c r="DB12" s="16"/>
      <c r="DC12" s="5"/>
      <c r="DE12" s="16"/>
      <c r="DF12" s="16"/>
      <c r="DH12" s="16"/>
      <c r="DI12" s="5"/>
      <c r="DK12" s="16"/>
      <c r="DL12" s="16"/>
      <c r="DN12" s="16"/>
      <c r="DO12" s="17"/>
      <c r="DR12" s="16"/>
      <c r="DS12" s="5"/>
      <c r="DU12" s="16"/>
      <c r="DV12" s="16"/>
      <c r="EB12" s="16"/>
      <c r="EC12" s="28"/>
      <c r="EF12" s="21"/>
      <c r="EG12" s="29"/>
      <c r="EK12" s="24"/>
      <c r="EM12" s="11"/>
      <c r="EN12" s="11"/>
    </row>
    <row r="13" spans="1:148" ht="26.25" x14ac:dyDescent="0.4">
      <c r="A13" s="15" t="s">
        <v>34</v>
      </c>
      <c r="B13" s="15" t="s">
        <v>121</v>
      </c>
      <c r="D13" s="19" t="s">
        <v>45</v>
      </c>
      <c r="E13" s="15" t="s">
        <v>150</v>
      </c>
      <c r="F13" s="16">
        <v>0</v>
      </c>
      <c r="G13" s="15" t="s">
        <v>75</v>
      </c>
      <c r="H13" s="15" t="s">
        <v>119</v>
      </c>
      <c r="I13" s="16"/>
      <c r="J13" s="15" t="s">
        <v>81</v>
      </c>
      <c r="K13" s="15" t="s">
        <v>219</v>
      </c>
      <c r="L13" s="5"/>
      <c r="M13" s="15" t="s">
        <v>244</v>
      </c>
      <c r="N13" s="15" t="s">
        <v>251</v>
      </c>
      <c r="O13" s="22"/>
      <c r="P13" s="15" t="s">
        <v>84</v>
      </c>
      <c r="Q13" s="15" t="s">
        <v>270</v>
      </c>
      <c r="R13" s="17" t="s">
        <v>962</v>
      </c>
      <c r="S13" s="15" t="s">
        <v>86</v>
      </c>
      <c r="T13" s="15" t="s">
        <v>304</v>
      </c>
      <c r="U13" s="5" t="s">
        <v>962</v>
      </c>
      <c r="V13" s="15" t="s">
        <v>92</v>
      </c>
      <c r="W13" s="15" t="s">
        <v>337</v>
      </c>
      <c r="X13" s="16"/>
      <c r="Z13" s="16"/>
      <c r="AA13" s="5"/>
      <c r="AB13" s="15" t="s">
        <v>90</v>
      </c>
      <c r="AC13" s="15" t="s">
        <v>390</v>
      </c>
      <c r="AD13" s="16"/>
      <c r="AE13" s="15" t="s">
        <v>78</v>
      </c>
      <c r="AF13" s="15" t="s">
        <v>418</v>
      </c>
      <c r="AG13" s="16"/>
      <c r="AH13" s="15" t="s">
        <v>76</v>
      </c>
      <c r="AI13" s="15" t="s">
        <v>456</v>
      </c>
      <c r="AJ13" s="16"/>
      <c r="AK13" s="15" t="s">
        <v>95</v>
      </c>
      <c r="AL13" s="15" t="s">
        <v>491</v>
      </c>
      <c r="AM13" s="16"/>
      <c r="AN13" s="15" t="s">
        <v>43</v>
      </c>
      <c r="AO13" s="15" t="s">
        <v>186</v>
      </c>
      <c r="AQ13" s="16"/>
      <c r="AR13" s="5"/>
      <c r="AT13" s="15" t="s">
        <v>85</v>
      </c>
      <c r="AU13" s="15" t="s">
        <v>303</v>
      </c>
      <c r="AW13" s="48" t="s">
        <v>74</v>
      </c>
      <c r="AX13" s="15" t="s">
        <v>584</v>
      </c>
      <c r="AZ13" s="15" t="s">
        <v>89</v>
      </c>
      <c r="BA13" s="15" t="s">
        <v>270</v>
      </c>
      <c r="BC13" s="15" t="s">
        <v>93</v>
      </c>
      <c r="BD13" s="15" t="s">
        <v>519</v>
      </c>
      <c r="BE13" s="5"/>
      <c r="BF13" s="15" t="s">
        <v>35</v>
      </c>
      <c r="BG13" s="15" t="s">
        <v>670</v>
      </c>
      <c r="BH13" s="16"/>
      <c r="BI13" s="15" t="s">
        <v>88</v>
      </c>
      <c r="BJ13" s="15" t="s">
        <v>683</v>
      </c>
      <c r="BK13" s="16"/>
      <c r="BL13" s="15" t="s">
        <v>79</v>
      </c>
      <c r="BM13" s="15" t="s">
        <v>419</v>
      </c>
      <c r="BN13" s="16"/>
      <c r="BO13" s="15" t="s">
        <v>91</v>
      </c>
      <c r="BP13" s="15" t="s">
        <v>718</v>
      </c>
      <c r="BR13" s="15" t="s">
        <v>83</v>
      </c>
      <c r="BS13" s="15" t="s">
        <v>740</v>
      </c>
      <c r="BU13" s="15" t="s">
        <v>77</v>
      </c>
      <c r="BV13" s="15" t="s">
        <v>772</v>
      </c>
      <c r="BW13" s="16"/>
      <c r="BX13" s="51" t="s">
        <v>87</v>
      </c>
      <c r="BY13" s="51" t="s">
        <v>802</v>
      </c>
      <c r="BZ13" s="52"/>
      <c r="CA13" s="16"/>
      <c r="CB13" s="15" t="s">
        <v>814</v>
      </c>
      <c r="CC13" s="15" t="s">
        <v>684</v>
      </c>
      <c r="CD13" s="16"/>
      <c r="CE13" s="58" t="s">
        <v>80</v>
      </c>
      <c r="CF13" s="58" t="s">
        <v>303</v>
      </c>
      <c r="CG13" s="57"/>
      <c r="CH13" s="15" t="s">
        <v>36</v>
      </c>
      <c r="CI13" s="15" t="s">
        <v>866</v>
      </c>
      <c r="CK13" s="15" t="s">
        <v>94</v>
      </c>
      <c r="CL13" s="15" t="s">
        <v>890</v>
      </c>
      <c r="CM13" s="5"/>
      <c r="CN13" s="15" t="s">
        <v>54</v>
      </c>
      <c r="CO13" s="15" t="s">
        <v>771</v>
      </c>
      <c r="CP13" s="16"/>
      <c r="CQ13" s="15" t="s">
        <v>923</v>
      </c>
      <c r="CR13" s="15" t="s">
        <v>931</v>
      </c>
      <c r="CS13" s="16"/>
      <c r="CT13" s="5"/>
      <c r="CV13" s="16"/>
      <c r="CW13" s="5"/>
      <c r="CY13" s="16"/>
      <c r="CZ13" s="5"/>
      <c r="DB13" s="16"/>
      <c r="DC13" s="5"/>
      <c r="DE13" s="16"/>
      <c r="DF13" s="16"/>
      <c r="DH13" s="16"/>
      <c r="DI13" s="5"/>
      <c r="DK13" s="21"/>
      <c r="DL13" s="16"/>
      <c r="DN13" s="21"/>
      <c r="DO13" s="17"/>
      <c r="DR13" s="16"/>
      <c r="DS13" s="5"/>
      <c r="DU13" s="30"/>
      <c r="DV13" s="16"/>
      <c r="EF13" s="16"/>
      <c r="EG13" s="5"/>
      <c r="EI13" s="31"/>
      <c r="EJ13" s="31"/>
      <c r="EM13" s="5"/>
      <c r="EN13" s="5"/>
    </row>
    <row r="14" spans="1:148" ht="26.25" x14ac:dyDescent="0.4">
      <c r="A14" s="15" t="s">
        <v>34</v>
      </c>
      <c r="B14" s="15" t="s">
        <v>122</v>
      </c>
      <c r="D14" s="15" t="s">
        <v>96</v>
      </c>
      <c r="E14" s="15" t="s">
        <v>151</v>
      </c>
      <c r="F14" s="16"/>
      <c r="G14" s="15" t="s">
        <v>75</v>
      </c>
      <c r="H14" s="15" t="s">
        <v>186</v>
      </c>
      <c r="I14" s="16"/>
      <c r="J14" s="15" t="s">
        <v>81</v>
      </c>
      <c r="K14" s="15" t="s">
        <v>220</v>
      </c>
      <c r="L14" s="5"/>
      <c r="M14" s="15"/>
      <c r="N14" s="15" t="s">
        <v>252</v>
      </c>
      <c r="O14" s="22">
        <v>1</v>
      </c>
      <c r="P14" s="15" t="s">
        <v>84</v>
      </c>
      <c r="Q14" s="15" t="s">
        <v>271</v>
      </c>
      <c r="R14" s="17"/>
      <c r="S14" s="15" t="s">
        <v>86</v>
      </c>
      <c r="T14" s="15" t="s">
        <v>305</v>
      </c>
      <c r="U14" s="5"/>
      <c r="V14" s="15" t="s">
        <v>92</v>
      </c>
      <c r="W14" s="15" t="s">
        <v>338</v>
      </c>
      <c r="X14" s="16"/>
      <c r="Z14" s="16"/>
      <c r="AA14" s="5"/>
      <c r="AB14" s="15" t="s">
        <v>90</v>
      </c>
      <c r="AC14" s="15" t="s">
        <v>391</v>
      </c>
      <c r="AD14" s="16"/>
      <c r="AE14" s="15" t="s">
        <v>78</v>
      </c>
      <c r="AF14" s="15" t="s">
        <v>419</v>
      </c>
      <c r="AG14" s="16"/>
      <c r="AH14" s="15" t="s">
        <v>76</v>
      </c>
      <c r="AI14" s="15" t="s">
        <v>389</v>
      </c>
      <c r="AJ14" s="16"/>
      <c r="AK14" s="15" t="s">
        <v>95</v>
      </c>
      <c r="AL14" s="15" t="s">
        <v>492</v>
      </c>
      <c r="AM14" s="16"/>
      <c r="AN14" s="15" t="s">
        <v>43</v>
      </c>
      <c r="AO14" s="15" t="s">
        <v>520</v>
      </c>
      <c r="AQ14" s="16"/>
      <c r="AR14" s="5"/>
      <c r="AT14" s="15" t="s">
        <v>85</v>
      </c>
      <c r="AU14" s="15" t="s">
        <v>553</v>
      </c>
      <c r="AW14" s="48" t="s">
        <v>74</v>
      </c>
      <c r="AX14" s="15" t="s">
        <v>271</v>
      </c>
      <c r="AZ14" s="15" t="s">
        <v>89</v>
      </c>
      <c r="BA14" s="15" t="s">
        <v>554</v>
      </c>
      <c r="BC14" s="15" t="s">
        <v>93</v>
      </c>
      <c r="BD14" s="15" t="s">
        <v>632</v>
      </c>
      <c r="BE14" s="5"/>
      <c r="BF14" s="15" t="s">
        <v>35</v>
      </c>
      <c r="BG14" s="15" t="s">
        <v>272</v>
      </c>
      <c r="BH14" s="16"/>
      <c r="BI14" s="15" t="s">
        <v>88</v>
      </c>
      <c r="BJ14" s="15" t="s">
        <v>684</v>
      </c>
      <c r="BK14" s="16"/>
      <c r="BL14" s="15" t="s">
        <v>79</v>
      </c>
      <c r="BM14" s="15" t="s">
        <v>704</v>
      </c>
      <c r="BN14" s="16"/>
      <c r="BO14" s="15" t="s">
        <v>91</v>
      </c>
      <c r="BP14" s="15" t="s">
        <v>719</v>
      </c>
      <c r="BR14" s="15" t="s">
        <v>83</v>
      </c>
      <c r="BS14" s="15" t="s">
        <v>741</v>
      </c>
      <c r="BU14" s="15" t="s">
        <v>77</v>
      </c>
      <c r="BV14" s="15" t="s">
        <v>773</v>
      </c>
      <c r="BW14" s="16"/>
      <c r="BX14" s="51" t="s">
        <v>87</v>
      </c>
      <c r="BY14" s="51" t="s">
        <v>803</v>
      </c>
      <c r="BZ14" s="52"/>
      <c r="CA14" s="16"/>
      <c r="CB14" s="15" t="s">
        <v>814</v>
      </c>
      <c r="CC14" s="15" t="s">
        <v>823</v>
      </c>
      <c r="CD14" s="16"/>
      <c r="CE14" s="58" t="s">
        <v>80</v>
      </c>
      <c r="CF14" s="58" t="s">
        <v>848</v>
      </c>
      <c r="CG14" s="57"/>
      <c r="CH14" s="15" t="s">
        <v>36</v>
      </c>
      <c r="CI14" s="15" t="s">
        <v>740</v>
      </c>
      <c r="CK14" s="15" t="s">
        <v>94</v>
      </c>
      <c r="CL14" s="15" t="s">
        <v>891</v>
      </c>
      <c r="CM14" s="5"/>
      <c r="CN14" s="15" t="s">
        <v>54</v>
      </c>
      <c r="CO14" s="15" t="s">
        <v>907</v>
      </c>
      <c r="CP14" s="16"/>
      <c r="CQ14" s="15" t="s">
        <v>923</v>
      </c>
      <c r="CR14" s="15" t="s">
        <v>424</v>
      </c>
      <c r="CS14" s="16"/>
      <c r="CT14" s="5"/>
      <c r="CV14" s="16"/>
      <c r="CW14" s="5"/>
      <c r="CY14" s="16"/>
      <c r="CZ14" s="5"/>
      <c r="DB14" s="16"/>
      <c r="DC14" s="5"/>
      <c r="DE14" s="16"/>
      <c r="DF14" s="27"/>
      <c r="DH14" s="16"/>
      <c r="DI14" s="5"/>
      <c r="DK14" s="16"/>
      <c r="DL14" s="16"/>
      <c r="DN14" s="16"/>
      <c r="DO14" s="17"/>
      <c r="DR14" s="16"/>
      <c r="DS14" s="5"/>
      <c r="EF14" s="16"/>
      <c r="EG14" s="5"/>
      <c r="EI14" s="32"/>
      <c r="EJ14" s="32"/>
      <c r="EM14" s="5"/>
      <c r="EN14" s="5"/>
    </row>
    <row r="15" spans="1:148" ht="26.25" x14ac:dyDescent="0.4">
      <c r="A15" s="15" t="s">
        <v>34</v>
      </c>
      <c r="B15" s="15" t="s">
        <v>123</v>
      </c>
      <c r="D15" s="15" t="s">
        <v>96</v>
      </c>
      <c r="E15" s="15" t="s">
        <v>152</v>
      </c>
      <c r="F15" s="16"/>
      <c r="G15" s="15" t="s">
        <v>75</v>
      </c>
      <c r="H15" s="15" t="s">
        <v>187</v>
      </c>
      <c r="I15" s="16"/>
      <c r="J15" s="15" t="s">
        <v>81</v>
      </c>
      <c r="K15" s="15" t="s">
        <v>221</v>
      </c>
      <c r="L15" s="5"/>
      <c r="M15" s="15" t="s">
        <v>244</v>
      </c>
      <c r="N15" s="15" t="s">
        <v>253</v>
      </c>
      <c r="O15" s="22"/>
      <c r="P15" s="15" t="s">
        <v>84</v>
      </c>
      <c r="Q15" s="15" t="s">
        <v>272</v>
      </c>
      <c r="R15" s="17"/>
      <c r="S15" s="15" t="s">
        <v>86</v>
      </c>
      <c r="T15" s="15" t="s">
        <v>305</v>
      </c>
      <c r="U15" s="5"/>
      <c r="V15" s="15" t="s">
        <v>92</v>
      </c>
      <c r="W15" s="15" t="s">
        <v>339</v>
      </c>
      <c r="X15" s="16"/>
      <c r="Z15" s="16"/>
      <c r="AA15" s="5"/>
      <c r="AB15" s="15" t="s">
        <v>90</v>
      </c>
      <c r="AC15" s="15" t="s">
        <v>392</v>
      </c>
      <c r="AD15" s="16"/>
      <c r="AE15" s="15" t="s">
        <v>78</v>
      </c>
      <c r="AF15" s="15" t="s">
        <v>420</v>
      </c>
      <c r="AG15" s="16"/>
      <c r="AH15" s="15" t="s">
        <v>76</v>
      </c>
      <c r="AI15" s="15" t="s">
        <v>457</v>
      </c>
      <c r="AJ15" s="16"/>
      <c r="AK15" s="15" t="s">
        <v>95</v>
      </c>
      <c r="AL15" s="15" t="s">
        <v>493</v>
      </c>
      <c r="AM15" s="16"/>
      <c r="AN15" s="15" t="s">
        <v>43</v>
      </c>
      <c r="AO15" s="15" t="s">
        <v>521</v>
      </c>
      <c r="AQ15" s="16"/>
      <c r="AR15" s="5"/>
      <c r="AT15" s="15" t="s">
        <v>85</v>
      </c>
      <c r="AU15" s="15" t="s">
        <v>554</v>
      </c>
      <c r="AW15" s="48" t="s">
        <v>74</v>
      </c>
      <c r="AX15" s="15" t="s">
        <v>585</v>
      </c>
      <c r="AZ15" s="15" t="s">
        <v>89</v>
      </c>
      <c r="BA15" s="15" t="s">
        <v>604</v>
      </c>
      <c r="BC15" s="15" t="s">
        <v>93</v>
      </c>
      <c r="BD15" s="15" t="s">
        <v>633</v>
      </c>
      <c r="BE15" s="5"/>
      <c r="BF15" s="15" t="s">
        <v>35</v>
      </c>
      <c r="BG15" s="15" t="s">
        <v>671</v>
      </c>
      <c r="BH15" s="16"/>
      <c r="BI15" s="15" t="s">
        <v>88</v>
      </c>
      <c r="BJ15" s="15" t="s">
        <v>394</v>
      </c>
      <c r="BK15" s="16"/>
      <c r="BL15" s="15" t="s">
        <v>79</v>
      </c>
      <c r="BM15" s="15" t="s">
        <v>421</v>
      </c>
      <c r="BN15" s="16"/>
      <c r="BO15" s="15" t="s">
        <v>91</v>
      </c>
      <c r="BP15" s="15" t="s">
        <v>720</v>
      </c>
      <c r="BR15" s="15" t="s">
        <v>83</v>
      </c>
      <c r="BS15" s="15" t="s">
        <v>742</v>
      </c>
      <c r="BU15" s="15" t="s">
        <v>77</v>
      </c>
      <c r="BV15" s="15" t="s">
        <v>774</v>
      </c>
      <c r="BW15" s="16"/>
      <c r="BX15" s="51" t="s">
        <v>87</v>
      </c>
      <c r="BY15" s="51" t="s">
        <v>804</v>
      </c>
      <c r="BZ15" s="52"/>
      <c r="CA15" s="16"/>
      <c r="CB15" s="15" t="s">
        <v>814</v>
      </c>
      <c r="CC15" s="15" t="s">
        <v>275</v>
      </c>
      <c r="CD15" s="16"/>
      <c r="CE15" s="58" t="s">
        <v>80</v>
      </c>
      <c r="CF15" s="58" t="s">
        <v>271</v>
      </c>
      <c r="CG15" s="57"/>
      <c r="CH15" s="15" t="s">
        <v>36</v>
      </c>
      <c r="CI15" s="15" t="s">
        <v>867</v>
      </c>
      <c r="CK15" s="15" t="s">
        <v>94</v>
      </c>
      <c r="CL15" s="15" t="s">
        <v>338</v>
      </c>
      <c r="CM15" s="5"/>
      <c r="CN15" s="15" t="s">
        <v>54</v>
      </c>
      <c r="CO15" s="15" t="s">
        <v>222</v>
      </c>
      <c r="CP15" s="16"/>
      <c r="CQ15" s="15" t="s">
        <v>923</v>
      </c>
      <c r="CR15" s="15" t="s">
        <v>932</v>
      </c>
      <c r="CS15" s="16"/>
      <c r="CT15" s="5"/>
      <c r="CV15" s="16"/>
      <c r="CW15" s="5"/>
      <c r="CY15" s="16"/>
      <c r="CZ15" s="5"/>
      <c r="DB15" s="16"/>
      <c r="DC15" s="5"/>
      <c r="DE15" s="16"/>
      <c r="DF15" s="16"/>
      <c r="DH15" s="16"/>
      <c r="DI15" s="5"/>
      <c r="DK15" s="16"/>
      <c r="DL15" s="16"/>
      <c r="DN15" s="16"/>
      <c r="DO15" s="17"/>
      <c r="DR15" s="16"/>
      <c r="DS15" s="5"/>
      <c r="EF15" s="16"/>
      <c r="EG15" s="5"/>
      <c r="EI15" s="32"/>
      <c r="EJ15" s="32"/>
      <c r="EM15" s="5"/>
      <c r="EN15" s="5"/>
    </row>
    <row r="16" spans="1:148" ht="26.25" x14ac:dyDescent="0.4">
      <c r="A16" s="15" t="s">
        <v>44</v>
      </c>
      <c r="B16" s="33" t="s">
        <v>370</v>
      </c>
      <c r="D16" s="15" t="s">
        <v>96</v>
      </c>
      <c r="E16" s="15" t="s">
        <v>371</v>
      </c>
      <c r="F16" s="16"/>
      <c r="G16" s="15" t="s">
        <v>75</v>
      </c>
      <c r="H16" s="15" t="s">
        <v>188</v>
      </c>
      <c r="I16" s="16"/>
      <c r="J16" s="15" t="s">
        <v>81</v>
      </c>
      <c r="K16" s="15" t="s">
        <v>222</v>
      </c>
      <c r="L16" s="5"/>
      <c r="M16" s="15" t="s">
        <v>244</v>
      </c>
      <c r="N16" s="15" t="s">
        <v>253</v>
      </c>
      <c r="P16" s="15" t="s">
        <v>84</v>
      </c>
      <c r="Q16" s="15" t="s">
        <v>273</v>
      </c>
      <c r="R16" s="17"/>
      <c r="S16" s="15" t="s">
        <v>86</v>
      </c>
      <c r="T16" s="15" t="s">
        <v>306</v>
      </c>
      <c r="U16" s="5" t="s">
        <v>962</v>
      </c>
      <c r="V16" s="15" t="s">
        <v>92</v>
      </c>
      <c r="W16" s="15" t="s">
        <v>340</v>
      </c>
      <c r="X16" s="16"/>
      <c r="Z16" s="16"/>
      <c r="AA16" s="5"/>
      <c r="AB16" s="15" t="s">
        <v>90</v>
      </c>
      <c r="AC16" s="15" t="s">
        <v>393</v>
      </c>
      <c r="AD16" s="16"/>
      <c r="AE16" s="15" t="s">
        <v>78</v>
      </c>
      <c r="AF16" s="15" t="s">
        <v>421</v>
      </c>
      <c r="AG16" s="16"/>
      <c r="AH16" s="15" t="s">
        <v>76</v>
      </c>
      <c r="AI16" s="15" t="s">
        <v>458</v>
      </c>
      <c r="AJ16" s="16"/>
      <c r="AK16" s="15">
        <v>1</v>
      </c>
      <c r="AL16" s="38">
        <v>46181</v>
      </c>
      <c r="AM16" s="16"/>
      <c r="AN16" s="15" t="s">
        <v>43</v>
      </c>
      <c r="AO16" s="15" t="s">
        <v>522</v>
      </c>
      <c r="AQ16" s="16"/>
      <c r="AR16" s="5"/>
      <c r="AT16" s="15" t="s">
        <v>45</v>
      </c>
      <c r="AU16" s="15" t="s">
        <v>555</v>
      </c>
      <c r="AW16" s="48" t="s">
        <v>74</v>
      </c>
      <c r="AX16" s="15" t="s">
        <v>586</v>
      </c>
      <c r="AZ16" s="15" t="s">
        <v>89</v>
      </c>
      <c r="BA16" s="15" t="s">
        <v>605</v>
      </c>
      <c r="BB16" s="5"/>
      <c r="BC16" s="15" t="s">
        <v>93</v>
      </c>
      <c r="BD16" s="15" t="s">
        <v>634</v>
      </c>
      <c r="BE16" s="5"/>
      <c r="BF16" s="15" t="s">
        <v>35</v>
      </c>
      <c r="BG16" s="15" t="s">
        <v>606</v>
      </c>
      <c r="BH16" s="16"/>
      <c r="BI16" s="15" t="s">
        <v>88</v>
      </c>
      <c r="BJ16" s="15" t="s">
        <v>685</v>
      </c>
      <c r="BK16" s="16"/>
      <c r="BL16" s="15" t="s">
        <v>79</v>
      </c>
      <c r="BM16" s="15" t="s">
        <v>422</v>
      </c>
      <c r="BN16" s="16"/>
      <c r="BO16" s="15" t="s">
        <v>91</v>
      </c>
      <c r="BP16" s="15" t="s">
        <v>338</v>
      </c>
      <c r="BR16" s="15" t="s">
        <v>83</v>
      </c>
      <c r="BS16" s="15" t="s">
        <v>743</v>
      </c>
      <c r="BU16" s="15" t="s">
        <v>77</v>
      </c>
      <c r="BV16" s="15" t="s">
        <v>775</v>
      </c>
      <c r="BW16" s="16"/>
      <c r="BX16" s="51" t="s">
        <v>87</v>
      </c>
      <c r="BY16" s="51" t="s">
        <v>805</v>
      </c>
      <c r="BZ16" s="52">
        <v>1</v>
      </c>
      <c r="CA16" s="16"/>
      <c r="CB16" s="15" t="s">
        <v>814</v>
      </c>
      <c r="CC16" s="15" t="s">
        <v>824</v>
      </c>
      <c r="CD16" s="16"/>
      <c r="CE16" s="58" t="s">
        <v>80</v>
      </c>
      <c r="CF16" s="58" t="s">
        <v>849</v>
      </c>
      <c r="CG16" s="57"/>
      <c r="CH16" s="15" t="s">
        <v>36</v>
      </c>
      <c r="CI16" s="15" t="s">
        <v>742</v>
      </c>
      <c r="CK16" s="15" t="s">
        <v>94</v>
      </c>
      <c r="CL16" s="15" t="s">
        <v>892</v>
      </c>
      <c r="CM16" s="5">
        <v>0.5</v>
      </c>
      <c r="CN16" s="15" t="s">
        <v>54</v>
      </c>
      <c r="CO16" s="15" t="s">
        <v>772</v>
      </c>
      <c r="CP16" s="16"/>
      <c r="CQ16" s="15" t="s">
        <v>923</v>
      </c>
      <c r="CR16" s="15" t="s">
        <v>933</v>
      </c>
      <c r="CS16" s="16"/>
      <c r="CT16" s="5"/>
      <c r="CV16" s="16"/>
      <c r="CW16" s="5"/>
      <c r="CZ16" s="5"/>
      <c r="DB16" s="16"/>
      <c r="DC16" s="5"/>
      <c r="DE16" s="16"/>
      <c r="DF16" s="16"/>
      <c r="DH16" s="16"/>
      <c r="DI16" s="5"/>
      <c r="DK16" s="16"/>
      <c r="DL16" s="16"/>
      <c r="DN16" s="16"/>
      <c r="DO16" s="17"/>
      <c r="DR16" s="16"/>
      <c r="DS16" s="5"/>
      <c r="EF16" s="16"/>
      <c r="EG16" s="5"/>
      <c r="EI16" s="32"/>
      <c r="EJ16" s="32"/>
      <c r="EM16" s="5"/>
      <c r="EN16" s="5"/>
    </row>
    <row r="17" spans="1:145" ht="26.25" x14ac:dyDescent="0.4">
      <c r="A17" s="15" t="s">
        <v>45</v>
      </c>
      <c r="B17" s="15" t="s">
        <v>124</v>
      </c>
      <c r="C17" s="9">
        <v>0</v>
      </c>
      <c r="D17" s="15" t="s">
        <v>96</v>
      </c>
      <c r="E17" s="15" t="s">
        <v>153</v>
      </c>
      <c r="F17" s="16">
        <v>0.5</v>
      </c>
      <c r="G17" s="15" t="s">
        <v>75</v>
      </c>
      <c r="H17" s="15" t="s">
        <v>189</v>
      </c>
      <c r="I17" s="16"/>
      <c r="J17" s="15" t="s">
        <v>82</v>
      </c>
      <c r="K17" s="15" t="s">
        <v>223</v>
      </c>
      <c r="L17" s="5"/>
      <c r="M17" s="15" t="s">
        <v>244</v>
      </c>
      <c r="N17" s="15" t="s">
        <v>254</v>
      </c>
      <c r="P17" s="15" t="s">
        <v>84</v>
      </c>
      <c r="Q17" s="15" t="s">
        <v>274</v>
      </c>
      <c r="R17" s="17" t="s">
        <v>962</v>
      </c>
      <c r="S17" s="15" t="s">
        <v>86</v>
      </c>
      <c r="T17" s="15" t="s">
        <v>186</v>
      </c>
      <c r="U17" s="5"/>
      <c r="V17" s="15" t="s">
        <v>92</v>
      </c>
      <c r="W17" s="15" t="s">
        <v>372</v>
      </c>
      <c r="X17" s="16"/>
      <c r="Z17" s="16"/>
      <c r="AA17" s="5"/>
      <c r="AB17" s="15" t="s">
        <v>90</v>
      </c>
      <c r="AC17" s="15" t="s">
        <v>394</v>
      </c>
      <c r="AD17" s="21"/>
      <c r="AE17" s="15" t="s">
        <v>78</v>
      </c>
      <c r="AF17" s="15" t="s">
        <v>422</v>
      </c>
      <c r="AG17" s="16"/>
      <c r="AH17" s="15" t="s">
        <v>76</v>
      </c>
      <c r="AI17" s="15" t="s">
        <v>459</v>
      </c>
      <c r="AJ17" s="16"/>
      <c r="AK17" s="15" t="s">
        <v>95</v>
      </c>
      <c r="AL17" s="15" t="s">
        <v>494</v>
      </c>
      <c r="AM17" s="21"/>
      <c r="AN17" s="15" t="s">
        <v>43</v>
      </c>
      <c r="AO17" s="15" t="s">
        <v>523</v>
      </c>
      <c r="AQ17" s="16"/>
      <c r="AR17" s="5"/>
      <c r="AT17" s="15" t="s">
        <v>85</v>
      </c>
      <c r="AU17" s="15" t="s">
        <v>556</v>
      </c>
      <c r="AW17" s="48" t="s">
        <v>74</v>
      </c>
      <c r="AX17" s="15" t="s">
        <v>394</v>
      </c>
      <c r="AZ17" s="15" t="s">
        <v>89</v>
      </c>
      <c r="BA17" s="15" t="s">
        <v>606</v>
      </c>
      <c r="BB17" s="5"/>
      <c r="BC17" s="15" t="s">
        <v>93</v>
      </c>
      <c r="BD17" s="15" t="s">
        <v>635</v>
      </c>
      <c r="BE17" s="5"/>
      <c r="BF17" s="15" t="s">
        <v>35</v>
      </c>
      <c r="BG17" s="15" t="s">
        <v>672</v>
      </c>
      <c r="BH17" s="16"/>
      <c r="BI17" s="15" t="s">
        <v>82</v>
      </c>
      <c r="BJ17" s="15" t="s">
        <v>686</v>
      </c>
      <c r="BK17" s="16"/>
      <c r="BL17" s="15" t="s">
        <v>79</v>
      </c>
      <c r="BM17" s="15" t="s">
        <v>705</v>
      </c>
      <c r="BN17" s="16"/>
      <c r="BO17" s="15" t="s">
        <v>91</v>
      </c>
      <c r="BP17" s="15" t="s">
        <v>721</v>
      </c>
      <c r="BR17" s="15" t="s">
        <v>83</v>
      </c>
      <c r="BS17" s="15" t="s">
        <v>743</v>
      </c>
      <c r="BU17" s="15" t="s">
        <v>77</v>
      </c>
      <c r="BV17" s="15" t="s">
        <v>339</v>
      </c>
      <c r="BW17" s="16"/>
      <c r="BX17" s="51" t="s">
        <v>87</v>
      </c>
      <c r="BY17" s="51" t="s">
        <v>806</v>
      </c>
      <c r="BZ17" s="52"/>
      <c r="CA17" s="16"/>
      <c r="CB17" s="15" t="s">
        <v>814</v>
      </c>
      <c r="CC17" s="15" t="s">
        <v>825</v>
      </c>
      <c r="CD17" s="16"/>
      <c r="CE17" s="58" t="s">
        <v>80</v>
      </c>
      <c r="CF17" s="58" t="s">
        <v>850</v>
      </c>
      <c r="CG17" s="57"/>
      <c r="CH17" s="15" t="s">
        <v>36</v>
      </c>
      <c r="CI17" s="15" t="s">
        <v>122</v>
      </c>
      <c r="CK17" s="15" t="s">
        <v>94</v>
      </c>
      <c r="CL17" s="15" t="s">
        <v>893</v>
      </c>
      <c r="CM17" s="5"/>
      <c r="CN17" s="15" t="s">
        <v>54</v>
      </c>
      <c r="CO17" s="15" t="s">
        <v>773</v>
      </c>
      <c r="CP17" s="16"/>
      <c r="CQ17" s="15"/>
      <c r="CR17" s="15" t="s">
        <v>934</v>
      </c>
      <c r="CS17" s="16"/>
      <c r="CT17" s="5"/>
      <c r="CV17" s="16"/>
      <c r="CW17" s="5"/>
      <c r="CZ17" s="5"/>
      <c r="DB17" s="16"/>
      <c r="DC17" s="5"/>
      <c r="DE17" s="16"/>
      <c r="DF17" s="16"/>
      <c r="DH17" s="16"/>
      <c r="DI17" s="5"/>
      <c r="DK17" s="16"/>
      <c r="DL17" s="16"/>
      <c r="DN17" s="16"/>
      <c r="DO17" s="17"/>
      <c r="DR17" s="16"/>
      <c r="DS17" s="5"/>
      <c r="EF17" s="16"/>
      <c r="EG17" s="5"/>
      <c r="EI17" s="32"/>
      <c r="EJ17" s="32"/>
      <c r="EM17" s="5"/>
      <c r="EN17" s="5"/>
    </row>
    <row r="18" spans="1:145" ht="26.25" x14ac:dyDescent="0.4">
      <c r="A18" s="15" t="s">
        <v>34</v>
      </c>
      <c r="B18" s="15" t="s">
        <v>125</v>
      </c>
      <c r="C18" s="9">
        <v>0.25</v>
      </c>
      <c r="D18" s="15" t="s">
        <v>96</v>
      </c>
      <c r="E18" s="15" t="s">
        <v>154</v>
      </c>
      <c r="F18" s="16"/>
      <c r="G18" s="15" t="s">
        <v>75</v>
      </c>
      <c r="H18" s="15" t="s">
        <v>190</v>
      </c>
      <c r="I18" s="16"/>
      <c r="J18" s="15" t="s">
        <v>81</v>
      </c>
      <c r="K18" s="15" t="s">
        <v>224</v>
      </c>
      <c r="L18" s="5"/>
      <c r="M18" s="15" t="s">
        <v>244</v>
      </c>
      <c r="N18" s="15" t="s">
        <v>168</v>
      </c>
      <c r="P18" s="15" t="s">
        <v>84</v>
      </c>
      <c r="Q18" s="15" t="s">
        <v>275</v>
      </c>
      <c r="R18" s="17"/>
      <c r="S18" s="15" t="s">
        <v>86</v>
      </c>
      <c r="T18" s="15" t="s">
        <v>307</v>
      </c>
      <c r="U18" s="5" t="s">
        <v>962</v>
      </c>
      <c r="V18" s="15" t="s">
        <v>92</v>
      </c>
      <c r="W18" s="15" t="s">
        <v>373</v>
      </c>
      <c r="X18" s="16"/>
      <c r="Z18" s="16"/>
      <c r="AA18" s="5"/>
      <c r="AB18" s="15" t="s">
        <v>90</v>
      </c>
      <c r="AC18" s="15" t="s">
        <v>338</v>
      </c>
      <c r="AD18" s="16"/>
      <c r="AE18" s="15" t="s">
        <v>78</v>
      </c>
      <c r="AF18" s="15" t="s">
        <v>423</v>
      </c>
      <c r="AG18" s="16"/>
      <c r="AH18" s="15" t="s">
        <v>76</v>
      </c>
      <c r="AI18" s="15" t="s">
        <v>460</v>
      </c>
      <c r="AJ18" s="21"/>
      <c r="AK18" s="15" t="s">
        <v>95</v>
      </c>
      <c r="AL18" s="15" t="s">
        <v>495</v>
      </c>
      <c r="AM18" s="16"/>
      <c r="AN18" s="15" t="s">
        <v>43</v>
      </c>
      <c r="AO18" s="15" t="s">
        <v>341</v>
      </c>
      <c r="AQ18" s="16"/>
      <c r="AR18" s="5"/>
      <c r="AT18" s="15" t="s">
        <v>85</v>
      </c>
      <c r="AU18" s="15" t="s">
        <v>337</v>
      </c>
      <c r="AW18" s="48" t="s">
        <v>74</v>
      </c>
      <c r="AX18" s="15" t="s">
        <v>587</v>
      </c>
      <c r="AZ18" s="15" t="s">
        <v>89</v>
      </c>
      <c r="BA18" s="15" t="s">
        <v>607</v>
      </c>
      <c r="BB18" s="5"/>
      <c r="BC18" s="15" t="s">
        <v>93</v>
      </c>
      <c r="BD18" s="15" t="s">
        <v>522</v>
      </c>
      <c r="BE18" s="5"/>
      <c r="BF18" s="15" t="s">
        <v>35</v>
      </c>
      <c r="BG18" s="15" t="s">
        <v>395</v>
      </c>
      <c r="BH18" s="16"/>
      <c r="BI18" s="15" t="s">
        <v>88</v>
      </c>
      <c r="BJ18" s="15" t="s">
        <v>687</v>
      </c>
      <c r="BK18" s="16">
        <v>3</v>
      </c>
      <c r="BL18" s="15" t="s">
        <v>79</v>
      </c>
      <c r="BM18" s="15" t="s">
        <v>706</v>
      </c>
      <c r="BN18" s="16"/>
      <c r="BO18" s="15" t="s">
        <v>91</v>
      </c>
      <c r="BP18" s="15" t="s">
        <v>722</v>
      </c>
      <c r="BR18" s="15" t="s">
        <v>83</v>
      </c>
      <c r="BS18" s="15" t="s">
        <v>395</v>
      </c>
      <c r="BU18" s="15" t="s">
        <v>77</v>
      </c>
      <c r="BV18" s="15" t="s">
        <v>776</v>
      </c>
      <c r="BW18" s="16"/>
      <c r="BX18" s="51" t="s">
        <v>87</v>
      </c>
      <c r="BY18" s="51" t="s">
        <v>615</v>
      </c>
      <c r="BZ18" s="52">
        <v>1</v>
      </c>
      <c r="CA18" s="16"/>
      <c r="CB18" s="15" t="s">
        <v>814</v>
      </c>
      <c r="CC18" s="15" t="s">
        <v>826</v>
      </c>
      <c r="CD18" s="16"/>
      <c r="CE18" s="58" t="s">
        <v>80</v>
      </c>
      <c r="CF18" s="58" t="s">
        <v>851</v>
      </c>
      <c r="CG18" s="57"/>
      <c r="CH18" s="15" t="s">
        <v>36</v>
      </c>
      <c r="CI18" s="15" t="s">
        <v>123</v>
      </c>
      <c r="CK18" s="15" t="s">
        <v>45</v>
      </c>
      <c r="CL18" s="15" t="s">
        <v>894</v>
      </c>
      <c r="CM18" s="5">
        <v>0</v>
      </c>
      <c r="CN18" s="15" t="s">
        <v>54</v>
      </c>
      <c r="CO18" s="15" t="s">
        <v>823</v>
      </c>
      <c r="CP18" s="16"/>
      <c r="CQ18" s="15" t="s">
        <v>923</v>
      </c>
      <c r="CR18" s="15" t="s">
        <v>427</v>
      </c>
      <c r="CS18" s="16"/>
      <c r="CT18" s="5"/>
      <c r="CV18" s="16"/>
      <c r="CW18" s="5"/>
      <c r="CZ18" s="5"/>
      <c r="DB18" s="16"/>
      <c r="DC18" s="5"/>
      <c r="DE18" s="16"/>
      <c r="DF18" s="16"/>
      <c r="DH18" s="16"/>
      <c r="DI18" s="5"/>
      <c r="DK18" s="16"/>
      <c r="DL18" s="16"/>
      <c r="DN18" s="16"/>
      <c r="DO18" s="17"/>
      <c r="DR18" s="16"/>
      <c r="DS18" s="5"/>
      <c r="EF18" s="16"/>
      <c r="EG18" s="5"/>
      <c r="EI18" s="34"/>
      <c r="EJ18" s="32"/>
      <c r="EM18" s="5"/>
      <c r="EN18" s="5"/>
    </row>
    <row r="19" spans="1:145" ht="26.25" x14ac:dyDescent="0.4">
      <c r="A19" s="15" t="s">
        <v>34</v>
      </c>
      <c r="B19" s="15" t="s">
        <v>126</v>
      </c>
      <c r="C19" s="9">
        <v>1</v>
      </c>
      <c r="D19" s="15" t="s">
        <v>96</v>
      </c>
      <c r="E19" s="15" t="s">
        <v>155</v>
      </c>
      <c r="F19" s="16">
        <v>0.25</v>
      </c>
      <c r="G19" s="15" t="s">
        <v>75</v>
      </c>
      <c r="H19" s="15" t="s">
        <v>374</v>
      </c>
      <c r="I19" s="16"/>
      <c r="J19" s="15" t="s">
        <v>81</v>
      </c>
      <c r="K19" s="15" t="s">
        <v>225</v>
      </c>
      <c r="L19" s="5"/>
      <c r="M19" s="15" t="s">
        <v>244</v>
      </c>
      <c r="N19" s="15" t="s">
        <v>255</v>
      </c>
      <c r="O19" s="14">
        <v>0.5</v>
      </c>
      <c r="P19" s="15" t="s">
        <v>84</v>
      </c>
      <c r="Q19" s="15" t="s">
        <v>228</v>
      </c>
      <c r="R19" s="17"/>
      <c r="S19" s="15" t="s">
        <v>86</v>
      </c>
      <c r="T19" s="15" t="s">
        <v>308</v>
      </c>
      <c r="U19" s="26"/>
      <c r="V19" s="15" t="s">
        <v>92</v>
      </c>
      <c r="W19" s="15" t="s">
        <v>342</v>
      </c>
      <c r="X19" s="16"/>
      <c r="Z19" s="21"/>
      <c r="AA19" s="5"/>
      <c r="AB19" s="15" t="s">
        <v>90</v>
      </c>
      <c r="AC19" s="15" t="s">
        <v>395</v>
      </c>
      <c r="AD19" s="16"/>
      <c r="AE19" s="15" t="s">
        <v>78</v>
      </c>
      <c r="AF19" s="15" t="s">
        <v>424</v>
      </c>
      <c r="AG19" s="16"/>
      <c r="AH19" s="15" t="s">
        <v>76</v>
      </c>
      <c r="AI19" s="15" t="s">
        <v>461</v>
      </c>
      <c r="AJ19" s="16"/>
      <c r="AK19" s="15" t="s">
        <v>95</v>
      </c>
      <c r="AL19" s="15" t="s">
        <v>338</v>
      </c>
      <c r="AM19" s="16"/>
      <c r="AN19" s="15" t="s">
        <v>43</v>
      </c>
      <c r="AO19" s="15" t="s">
        <v>524</v>
      </c>
      <c r="AQ19" s="16"/>
      <c r="AR19" s="5"/>
      <c r="AS19" s="5"/>
      <c r="AT19" s="15" t="s">
        <v>85</v>
      </c>
      <c r="AU19" s="15" t="s">
        <v>557</v>
      </c>
      <c r="AW19" s="48" t="s">
        <v>74</v>
      </c>
      <c r="AX19" s="15" t="s">
        <v>588</v>
      </c>
      <c r="AY19">
        <v>0</v>
      </c>
      <c r="AZ19" s="15" t="s">
        <v>89</v>
      </c>
      <c r="BA19" s="15" t="s">
        <v>308</v>
      </c>
      <c r="BB19" s="5"/>
      <c r="BC19" s="15" t="s">
        <v>93</v>
      </c>
      <c r="BD19" s="15" t="s">
        <v>636</v>
      </c>
      <c r="BE19" s="5"/>
      <c r="BF19" s="15" t="s">
        <v>35</v>
      </c>
      <c r="BG19" s="15" t="s">
        <v>673</v>
      </c>
      <c r="BH19" s="16"/>
      <c r="BI19" s="15" t="s">
        <v>88</v>
      </c>
      <c r="BJ19" s="15" t="s">
        <v>346</v>
      </c>
      <c r="BK19" s="16"/>
      <c r="BL19" s="15"/>
      <c r="BM19" s="15" t="s">
        <v>430</v>
      </c>
      <c r="BN19" s="16">
        <v>0.5</v>
      </c>
      <c r="BO19" s="15" t="s">
        <v>91</v>
      </c>
      <c r="BP19" s="15" t="s">
        <v>723</v>
      </c>
      <c r="BR19" s="15" t="s">
        <v>83</v>
      </c>
      <c r="BS19" s="15" t="s">
        <v>744</v>
      </c>
      <c r="BU19" s="15" t="s">
        <v>77</v>
      </c>
      <c r="BV19" s="15" t="s">
        <v>777</v>
      </c>
      <c r="BW19" s="16"/>
      <c r="BX19" s="51" t="s">
        <v>87</v>
      </c>
      <c r="BY19" s="51" t="s">
        <v>807</v>
      </c>
      <c r="BZ19" s="52"/>
      <c r="CA19" s="16"/>
      <c r="CB19" s="15" t="s">
        <v>814</v>
      </c>
      <c r="CC19" s="15" t="s">
        <v>341</v>
      </c>
      <c r="CD19" s="16"/>
      <c r="CE19" s="58" t="s">
        <v>80</v>
      </c>
      <c r="CF19" s="58" t="s">
        <v>852</v>
      </c>
      <c r="CG19" s="57">
        <v>1</v>
      </c>
      <c r="CH19" s="15" t="s">
        <v>36</v>
      </c>
      <c r="CI19" s="15" t="s">
        <v>868</v>
      </c>
      <c r="CK19" s="15" t="s">
        <v>94</v>
      </c>
      <c r="CL19" s="15" t="s">
        <v>895</v>
      </c>
      <c r="CM19" s="5"/>
      <c r="CN19" s="15" t="s">
        <v>54</v>
      </c>
      <c r="CO19" s="15" t="s">
        <v>775</v>
      </c>
      <c r="CP19" s="16"/>
      <c r="CQ19" s="15" t="s">
        <v>923</v>
      </c>
      <c r="CR19" s="15" t="s">
        <v>935</v>
      </c>
      <c r="CS19" s="16"/>
      <c r="CT19" s="5"/>
      <c r="CV19" s="16"/>
      <c r="CW19" s="5"/>
      <c r="CZ19" s="5"/>
      <c r="DB19" s="16"/>
      <c r="DC19" s="5"/>
      <c r="DE19" s="16"/>
      <c r="DF19" s="16"/>
      <c r="DH19" s="16"/>
      <c r="DI19" s="5"/>
      <c r="DK19" s="16"/>
      <c r="DL19" s="16"/>
      <c r="DN19" s="16"/>
      <c r="DO19" s="17"/>
      <c r="DR19" s="16"/>
      <c r="DS19" s="5"/>
      <c r="EF19" s="16"/>
      <c r="EG19" s="5"/>
      <c r="EI19" s="32"/>
      <c r="EJ19" s="32"/>
      <c r="EM19" s="5"/>
      <c r="EN19" s="5"/>
    </row>
    <row r="20" spans="1:145" ht="26.25" x14ac:dyDescent="0.4">
      <c r="A20" s="15" t="s">
        <v>34</v>
      </c>
      <c r="B20" s="15" t="s">
        <v>127</v>
      </c>
      <c r="D20" s="15" t="s">
        <v>96</v>
      </c>
      <c r="E20" s="15" t="s">
        <v>156</v>
      </c>
      <c r="F20" s="16"/>
      <c r="G20" s="15" t="s">
        <v>75</v>
      </c>
      <c r="H20" s="41">
        <v>46187</v>
      </c>
      <c r="I20" s="16">
        <v>1</v>
      </c>
      <c r="J20" s="15" t="s">
        <v>81</v>
      </c>
      <c r="K20" s="15" t="s">
        <v>226</v>
      </c>
      <c r="L20" s="5"/>
      <c r="M20" s="15" t="s">
        <v>244</v>
      </c>
      <c r="N20" s="15" t="s">
        <v>170</v>
      </c>
      <c r="P20" s="15" t="s">
        <v>84</v>
      </c>
      <c r="Q20" s="15" t="s">
        <v>375</v>
      </c>
      <c r="R20" s="17"/>
      <c r="S20" s="15" t="s">
        <v>82</v>
      </c>
      <c r="T20" s="15" t="s">
        <v>309</v>
      </c>
      <c r="U20" s="5"/>
      <c r="V20" s="15" t="s">
        <v>92</v>
      </c>
      <c r="W20" s="15" t="s">
        <v>343</v>
      </c>
      <c r="X20" s="16"/>
      <c r="AA20" s="5"/>
      <c r="AB20" s="15" t="s">
        <v>90</v>
      </c>
      <c r="AC20" s="15" t="s">
        <v>396</v>
      </c>
      <c r="AE20" s="15" t="s">
        <v>78</v>
      </c>
      <c r="AF20" s="15" t="s">
        <v>228</v>
      </c>
      <c r="AG20" s="16"/>
      <c r="AH20" s="15" t="s">
        <v>76</v>
      </c>
      <c r="AI20" s="15" t="s">
        <v>462</v>
      </c>
      <c r="AJ20" s="16"/>
      <c r="AK20" s="15" t="s">
        <v>95</v>
      </c>
      <c r="AL20" s="15" t="s">
        <v>496</v>
      </c>
      <c r="AM20" s="16"/>
      <c r="AN20" s="15" t="s">
        <v>43</v>
      </c>
      <c r="AO20" s="15" t="s">
        <v>525</v>
      </c>
      <c r="AQ20" s="16"/>
      <c r="AR20" s="5"/>
      <c r="AT20" s="15" t="s">
        <v>85</v>
      </c>
      <c r="AU20" s="15" t="s">
        <v>558</v>
      </c>
      <c r="AV20" s="14">
        <v>0.5</v>
      </c>
      <c r="AW20" s="48" t="s">
        <v>74</v>
      </c>
      <c r="AX20" s="15" t="s">
        <v>589</v>
      </c>
      <c r="AZ20" s="15" t="s">
        <v>89</v>
      </c>
      <c r="BA20" s="15" t="s">
        <v>608</v>
      </c>
      <c r="BB20" s="5"/>
      <c r="BC20" s="15" t="s">
        <v>93</v>
      </c>
      <c r="BD20" s="15" t="s">
        <v>637</v>
      </c>
      <c r="BE20" s="5"/>
      <c r="BF20" s="15" t="s">
        <v>35</v>
      </c>
      <c r="BG20" s="15" t="s">
        <v>654</v>
      </c>
      <c r="BH20" s="16"/>
      <c r="BI20" s="15" t="s">
        <v>88</v>
      </c>
      <c r="BJ20" s="15" t="s">
        <v>688</v>
      </c>
      <c r="BK20" s="5"/>
      <c r="BL20" s="15" t="s">
        <v>79</v>
      </c>
      <c r="BM20" s="15" t="s">
        <v>707</v>
      </c>
      <c r="BN20" s="16"/>
      <c r="BO20" s="15" t="s">
        <v>91</v>
      </c>
      <c r="BP20" s="15" t="s">
        <v>192</v>
      </c>
      <c r="BR20" s="15" t="s">
        <v>83</v>
      </c>
      <c r="BS20" s="15" t="s">
        <v>342</v>
      </c>
      <c r="BU20" s="15" t="s">
        <v>77</v>
      </c>
      <c r="BV20" s="15" t="s">
        <v>745</v>
      </c>
      <c r="BW20" s="16"/>
      <c r="BX20" s="51" t="s">
        <v>87</v>
      </c>
      <c r="BY20" s="51" t="s">
        <v>808</v>
      </c>
      <c r="BZ20" s="52">
        <v>1</v>
      </c>
      <c r="CA20" s="16"/>
      <c r="CB20" s="15" t="s">
        <v>814</v>
      </c>
      <c r="CC20" s="15" t="s">
        <v>467</v>
      </c>
      <c r="CD20" s="16"/>
      <c r="CE20" s="58" t="s">
        <v>80</v>
      </c>
      <c r="CF20" s="58" t="s">
        <v>853</v>
      </c>
      <c r="CG20" s="57"/>
      <c r="CH20" s="15" t="s">
        <v>36</v>
      </c>
      <c r="CI20" s="15" t="s">
        <v>869</v>
      </c>
      <c r="CJ20">
        <v>1</v>
      </c>
      <c r="CK20" s="15" t="s">
        <v>45</v>
      </c>
      <c r="CL20" s="15" t="s">
        <v>896</v>
      </c>
      <c r="CM20" s="5">
        <v>0.25</v>
      </c>
      <c r="CN20" s="15" t="s">
        <v>54</v>
      </c>
      <c r="CO20" s="15" t="s">
        <v>496</v>
      </c>
      <c r="CP20" s="16"/>
      <c r="CQ20" s="15" t="s">
        <v>923</v>
      </c>
      <c r="CR20" s="15" t="s">
        <v>343</v>
      </c>
      <c r="CS20" s="16"/>
      <c r="CT20" s="5"/>
      <c r="CV20" s="16"/>
      <c r="CW20" s="5"/>
      <c r="CZ20" s="5"/>
      <c r="DB20" s="16"/>
      <c r="DC20" s="5"/>
      <c r="DE20" s="16"/>
      <c r="DF20" s="16"/>
      <c r="DH20" s="16"/>
      <c r="DI20" s="5"/>
      <c r="DK20" s="16"/>
      <c r="DL20" s="16"/>
      <c r="DN20" s="16"/>
      <c r="DO20" s="17"/>
      <c r="DR20" s="16"/>
      <c r="DS20" s="5"/>
      <c r="EF20" s="16"/>
      <c r="EG20" s="5"/>
      <c r="EI20" s="32"/>
      <c r="EJ20" s="32"/>
      <c r="EM20" s="5"/>
      <c r="EN20" s="5"/>
    </row>
    <row r="21" spans="1:145" ht="26.25" x14ac:dyDescent="0.4">
      <c r="A21" s="15" t="s">
        <v>34</v>
      </c>
      <c r="B21" s="15" t="s">
        <v>128</v>
      </c>
      <c r="D21" s="15" t="s">
        <v>96</v>
      </c>
      <c r="E21" s="15" t="s">
        <v>157</v>
      </c>
      <c r="F21" s="16">
        <v>0.25</v>
      </c>
      <c r="G21" s="15" t="s">
        <v>75</v>
      </c>
      <c r="H21" s="15" t="s">
        <v>191</v>
      </c>
      <c r="I21" s="16"/>
      <c r="J21" s="15" t="s">
        <v>81</v>
      </c>
      <c r="K21" s="15" t="s">
        <v>227</v>
      </c>
      <c r="L21" s="5"/>
      <c r="M21" s="15" t="s">
        <v>244</v>
      </c>
      <c r="N21" s="15" t="s">
        <v>256</v>
      </c>
      <c r="O21" s="14">
        <v>0.5</v>
      </c>
      <c r="P21" s="15" t="s">
        <v>45</v>
      </c>
      <c r="Q21" s="15" t="s">
        <v>276</v>
      </c>
      <c r="R21" s="17"/>
      <c r="S21" s="15" t="s">
        <v>86</v>
      </c>
      <c r="T21" s="15" t="s">
        <v>376</v>
      </c>
      <c r="U21" s="5"/>
      <c r="V21" s="15" t="s">
        <v>92</v>
      </c>
      <c r="W21" s="15" t="s">
        <v>344</v>
      </c>
      <c r="X21" s="16"/>
      <c r="AA21" s="5"/>
      <c r="AB21" s="15" t="s">
        <v>90</v>
      </c>
      <c r="AC21" s="15" t="s">
        <v>397</v>
      </c>
      <c r="AE21" s="15" t="s">
        <v>78</v>
      </c>
      <c r="AF21" s="15" t="s">
        <v>425</v>
      </c>
      <c r="AG21" s="16"/>
      <c r="AH21" s="15" t="s">
        <v>76</v>
      </c>
      <c r="AI21" s="15" t="s">
        <v>463</v>
      </c>
      <c r="AJ21" s="16"/>
      <c r="AK21" s="15" t="s">
        <v>95</v>
      </c>
      <c r="AL21" s="15" t="s">
        <v>497</v>
      </c>
      <c r="AM21" s="16"/>
      <c r="AN21" s="15" t="s">
        <v>43</v>
      </c>
      <c r="AO21" s="15" t="s">
        <v>526</v>
      </c>
      <c r="AQ21" s="16"/>
      <c r="AR21" s="5"/>
      <c r="AT21" s="15" t="s">
        <v>85</v>
      </c>
      <c r="AU21" s="15" t="s">
        <v>559</v>
      </c>
      <c r="AW21" s="48" t="s">
        <v>74</v>
      </c>
      <c r="AX21" s="15" t="s">
        <v>590</v>
      </c>
      <c r="AY21">
        <v>1</v>
      </c>
      <c r="AZ21" s="15" t="s">
        <v>89</v>
      </c>
      <c r="BA21" s="15" t="s">
        <v>609</v>
      </c>
      <c r="BB21" s="5"/>
      <c r="BC21" s="15" t="s">
        <v>93</v>
      </c>
      <c r="BD21" s="15" t="s">
        <v>638</v>
      </c>
      <c r="BE21" s="5"/>
      <c r="BF21" s="15" t="s">
        <v>35</v>
      </c>
      <c r="BG21" s="15" t="s">
        <v>655</v>
      </c>
      <c r="BH21" s="16"/>
      <c r="BI21" s="15" t="s">
        <v>88</v>
      </c>
      <c r="BJ21" s="15" t="s">
        <v>689</v>
      </c>
      <c r="BK21" s="5"/>
      <c r="BL21" s="15" t="s">
        <v>45</v>
      </c>
      <c r="BM21" s="15" t="s">
        <v>432</v>
      </c>
      <c r="BN21" s="5"/>
      <c r="BO21" s="19" t="s">
        <v>82</v>
      </c>
      <c r="BP21" s="15" t="s">
        <v>724</v>
      </c>
      <c r="BR21" s="15" t="s">
        <v>83</v>
      </c>
      <c r="BS21" s="15" t="s">
        <v>745</v>
      </c>
      <c r="BU21" s="15" t="s">
        <v>77</v>
      </c>
      <c r="BV21" s="15" t="s">
        <v>343</v>
      </c>
      <c r="BW21" s="16"/>
      <c r="BX21" s="51" t="s">
        <v>87</v>
      </c>
      <c r="BY21" s="51" t="s">
        <v>809</v>
      </c>
      <c r="BZ21" s="52">
        <v>1</v>
      </c>
      <c r="CA21" s="16"/>
      <c r="CB21" s="15" t="s">
        <v>814</v>
      </c>
      <c r="CC21" s="15" t="s">
        <v>827</v>
      </c>
      <c r="CD21" s="16"/>
      <c r="CE21" s="58" t="s">
        <v>80</v>
      </c>
      <c r="CF21" s="58" t="s">
        <v>854</v>
      </c>
      <c r="CG21" s="57"/>
      <c r="CH21" s="15" t="s">
        <v>36</v>
      </c>
      <c r="CI21" s="15" t="s">
        <v>870</v>
      </c>
      <c r="CK21" s="15" t="s">
        <v>94</v>
      </c>
      <c r="CL21" s="15" t="s">
        <v>202</v>
      </c>
      <c r="CM21" s="5"/>
      <c r="CN21" s="15" t="s">
        <v>54</v>
      </c>
      <c r="CO21" s="15" t="s">
        <v>465</v>
      </c>
      <c r="CP21" s="16"/>
      <c r="CQ21" s="15" t="s">
        <v>923</v>
      </c>
      <c r="CR21" s="15" t="s">
        <v>640</v>
      </c>
      <c r="CS21" s="16"/>
      <c r="CT21" s="5"/>
      <c r="CV21" s="16"/>
      <c r="CW21" s="5"/>
      <c r="CY21" s="16"/>
      <c r="CZ21" s="16"/>
      <c r="DB21" s="16"/>
      <c r="DC21" s="5"/>
      <c r="DE21" s="16"/>
      <c r="DF21" s="16"/>
      <c r="DH21" s="16"/>
      <c r="DI21" s="5"/>
      <c r="DK21" s="16"/>
      <c r="DL21" s="27"/>
      <c r="DN21" s="16"/>
      <c r="DO21" s="17"/>
      <c r="DR21" s="16"/>
      <c r="DS21" s="5"/>
      <c r="EF21" s="16"/>
      <c r="EG21" s="5"/>
    </row>
    <row r="22" spans="1:145" ht="26.25" x14ac:dyDescent="0.4">
      <c r="A22" s="19" t="s">
        <v>45</v>
      </c>
      <c r="B22" s="15" t="s">
        <v>129</v>
      </c>
      <c r="C22" s="9">
        <v>0</v>
      </c>
      <c r="D22" s="15" t="s">
        <v>96</v>
      </c>
      <c r="E22" s="15" t="s">
        <v>158</v>
      </c>
      <c r="F22" s="16"/>
      <c r="G22" s="15" t="s">
        <v>75</v>
      </c>
      <c r="H22" s="41">
        <v>46189</v>
      </c>
      <c r="I22" s="16">
        <v>1</v>
      </c>
      <c r="J22" s="15" t="s">
        <v>81</v>
      </c>
      <c r="K22" s="15" t="s">
        <v>228</v>
      </c>
      <c r="L22" s="5"/>
      <c r="M22" s="15" t="s">
        <v>244</v>
      </c>
      <c r="N22" s="15" t="s">
        <v>257</v>
      </c>
      <c r="P22" s="15" t="s">
        <v>84</v>
      </c>
      <c r="Q22" s="15" t="s">
        <v>277</v>
      </c>
      <c r="R22" s="17"/>
      <c r="S22" s="15" t="s">
        <v>86</v>
      </c>
      <c r="T22" s="15" t="s">
        <v>377</v>
      </c>
      <c r="U22" s="5"/>
      <c r="V22" s="15" t="s">
        <v>92</v>
      </c>
      <c r="W22" s="15" t="s">
        <v>345</v>
      </c>
      <c r="X22" s="16"/>
      <c r="AA22" s="5"/>
      <c r="AB22" s="15">
        <v>1</v>
      </c>
      <c r="AC22" s="38">
        <v>46188</v>
      </c>
      <c r="AE22" s="15" t="s">
        <v>78</v>
      </c>
      <c r="AF22" s="15" t="s">
        <v>426</v>
      </c>
      <c r="AG22" s="16"/>
      <c r="AH22" s="15" t="s">
        <v>76</v>
      </c>
      <c r="AI22" s="15" t="s">
        <v>464</v>
      </c>
      <c r="AJ22" s="16"/>
      <c r="AK22" s="15" t="s">
        <v>95</v>
      </c>
      <c r="AL22" s="15" t="s">
        <v>498</v>
      </c>
      <c r="AM22" s="16"/>
      <c r="AN22" s="15" t="s">
        <v>43</v>
      </c>
      <c r="AO22" s="15" t="s">
        <v>345</v>
      </c>
      <c r="AQ22" s="16"/>
      <c r="AR22" s="5"/>
      <c r="AT22" s="15" t="s">
        <v>85</v>
      </c>
      <c r="AU22" s="15" t="s">
        <v>560</v>
      </c>
      <c r="AW22" s="48" t="s">
        <v>74</v>
      </c>
      <c r="AX22" s="15" t="s">
        <v>591</v>
      </c>
      <c r="AZ22" s="15" t="s">
        <v>45</v>
      </c>
      <c r="BA22" s="15" t="s">
        <v>610</v>
      </c>
      <c r="BB22" s="5">
        <v>0</v>
      </c>
      <c r="BC22" s="15" t="s">
        <v>93</v>
      </c>
      <c r="BD22" s="15" t="s">
        <v>525</v>
      </c>
      <c r="BE22" s="5"/>
      <c r="BF22" s="15" t="s">
        <v>35</v>
      </c>
      <c r="BG22" s="15" t="s">
        <v>656</v>
      </c>
      <c r="BH22" s="16"/>
      <c r="BI22" s="15" t="s">
        <v>88</v>
      </c>
      <c r="BJ22" s="15" t="s">
        <v>690</v>
      </c>
      <c r="BK22" s="5"/>
      <c r="BL22" s="15" t="s">
        <v>79</v>
      </c>
      <c r="BM22" s="15" t="s">
        <v>499</v>
      </c>
      <c r="BN22" s="5"/>
      <c r="BO22" s="15" t="s">
        <v>91</v>
      </c>
      <c r="BP22" s="15" t="s">
        <v>320</v>
      </c>
      <c r="BR22" s="15" t="s">
        <v>83</v>
      </c>
      <c r="BS22" s="15" t="s">
        <v>746</v>
      </c>
      <c r="BU22" s="15" t="s">
        <v>77</v>
      </c>
      <c r="BV22" s="15" t="s">
        <v>778</v>
      </c>
      <c r="BW22" s="5"/>
      <c r="BX22" s="51" t="s">
        <v>87</v>
      </c>
      <c r="BY22" s="51" t="s">
        <v>810</v>
      </c>
      <c r="BZ22" s="52"/>
      <c r="CA22" s="16"/>
      <c r="CB22" s="15" t="s">
        <v>814</v>
      </c>
      <c r="CC22" s="15" t="s">
        <v>828</v>
      </c>
      <c r="CD22" s="16"/>
      <c r="CE22" s="58" t="s">
        <v>80</v>
      </c>
      <c r="CF22" s="58" t="s">
        <v>855</v>
      </c>
      <c r="CG22" s="57"/>
      <c r="CH22" s="15" t="s">
        <v>36</v>
      </c>
      <c r="CI22" s="15" t="s">
        <v>125</v>
      </c>
      <c r="CK22" s="19" t="s">
        <v>953</v>
      </c>
      <c r="CL22" s="15" t="s">
        <v>897</v>
      </c>
      <c r="CM22" s="5">
        <v>0.5</v>
      </c>
      <c r="CN22" s="15" t="s">
        <v>54</v>
      </c>
      <c r="CO22" s="15" t="s">
        <v>908</v>
      </c>
      <c r="CP22" s="16"/>
      <c r="CQ22" s="15" t="s">
        <v>923</v>
      </c>
      <c r="CR22" s="15" t="s">
        <v>345</v>
      </c>
      <c r="CT22" s="5"/>
      <c r="CV22" s="16"/>
      <c r="CW22" s="5"/>
      <c r="CY22" s="16"/>
      <c r="CZ22" s="16"/>
      <c r="DB22" s="16"/>
      <c r="DC22" s="5"/>
      <c r="DE22" s="16"/>
      <c r="DF22" s="16"/>
      <c r="DH22" s="16"/>
      <c r="DI22" s="5"/>
      <c r="DK22" s="16"/>
      <c r="DL22" s="16"/>
      <c r="DN22" s="16"/>
      <c r="DO22" s="17"/>
      <c r="DR22" s="16"/>
      <c r="DS22" s="5"/>
      <c r="EF22" s="16"/>
      <c r="EG22" s="5"/>
    </row>
    <row r="23" spans="1:145" ht="26.25" x14ac:dyDescent="0.4">
      <c r="A23" s="15" t="s">
        <v>34</v>
      </c>
      <c r="B23" s="15" t="s">
        <v>130</v>
      </c>
      <c r="D23" s="15" t="s">
        <v>96</v>
      </c>
      <c r="E23" s="15" t="s">
        <v>159</v>
      </c>
      <c r="F23" s="16">
        <v>0.5</v>
      </c>
      <c r="G23" s="15" t="s">
        <v>75</v>
      </c>
      <c r="H23" s="15" t="s">
        <v>193</v>
      </c>
      <c r="I23" s="16"/>
      <c r="J23" s="15" t="s">
        <v>81</v>
      </c>
      <c r="K23" s="15" t="s">
        <v>229</v>
      </c>
      <c r="L23" s="5"/>
      <c r="M23" s="15" t="s">
        <v>244</v>
      </c>
      <c r="N23" s="15" t="s">
        <v>258</v>
      </c>
      <c r="O23" s="14">
        <v>0.5</v>
      </c>
      <c r="P23" s="15" t="s">
        <v>84</v>
      </c>
      <c r="Q23" s="15" t="s">
        <v>278</v>
      </c>
      <c r="R23" s="17">
        <v>0.5</v>
      </c>
      <c r="S23" s="19" t="s">
        <v>45</v>
      </c>
      <c r="T23" s="15" t="s">
        <v>310</v>
      </c>
      <c r="U23" s="5">
        <v>0</v>
      </c>
      <c r="V23" s="15" t="s">
        <v>92</v>
      </c>
      <c r="W23" s="15" t="s">
        <v>346</v>
      </c>
      <c r="X23" s="16"/>
      <c r="AA23" s="5"/>
      <c r="AB23" s="15" t="s">
        <v>90</v>
      </c>
      <c r="AC23" s="15" t="s">
        <v>345</v>
      </c>
      <c r="AE23" s="15" t="s">
        <v>78</v>
      </c>
      <c r="AF23" s="15" t="s">
        <v>427</v>
      </c>
      <c r="AG23" s="16"/>
      <c r="AH23" s="15" t="s">
        <v>76</v>
      </c>
      <c r="AI23" s="15" t="s">
        <v>465</v>
      </c>
      <c r="AJ23" s="16"/>
      <c r="AK23" s="15" t="s">
        <v>82</v>
      </c>
      <c r="AL23" s="15" t="s">
        <v>313</v>
      </c>
      <c r="AM23" s="16"/>
      <c r="AN23" s="15" t="s">
        <v>82</v>
      </c>
      <c r="AO23" s="15" t="s">
        <v>527</v>
      </c>
      <c r="AQ23" s="16"/>
      <c r="AR23" s="5"/>
      <c r="AT23" s="15" t="s">
        <v>85</v>
      </c>
      <c r="AU23" s="15" t="s">
        <v>233</v>
      </c>
      <c r="AW23" s="48" t="s">
        <v>74</v>
      </c>
      <c r="AX23" s="15" t="s">
        <v>592</v>
      </c>
      <c r="AZ23" s="15" t="s">
        <v>89</v>
      </c>
      <c r="BA23" s="15" t="s">
        <v>310</v>
      </c>
      <c r="BB23" s="5">
        <v>1</v>
      </c>
      <c r="BD23" s="15" t="s">
        <v>639</v>
      </c>
      <c r="BE23" s="5">
        <v>0.5</v>
      </c>
      <c r="BF23" s="15" t="s">
        <v>35</v>
      </c>
      <c r="BG23" s="15" t="s">
        <v>657</v>
      </c>
      <c r="BH23" s="16"/>
      <c r="BI23" s="15" t="s">
        <v>88</v>
      </c>
      <c r="BJ23" s="15" t="s">
        <v>285</v>
      </c>
      <c r="BK23" s="5"/>
      <c r="BL23" s="15" t="s">
        <v>79</v>
      </c>
      <c r="BM23" s="15" t="s">
        <v>433</v>
      </c>
      <c r="BN23" s="21"/>
      <c r="BO23" s="15" t="s">
        <v>82</v>
      </c>
      <c r="BP23" s="15" t="s">
        <v>725</v>
      </c>
      <c r="BR23" s="15" t="s">
        <v>83</v>
      </c>
      <c r="BS23" s="15" t="s">
        <v>747</v>
      </c>
      <c r="BU23" s="15" t="s">
        <v>77</v>
      </c>
      <c r="BV23" s="15" t="s">
        <v>779</v>
      </c>
      <c r="BW23" s="5"/>
      <c r="BX23" s="51" t="s">
        <v>965</v>
      </c>
      <c r="BY23" s="51" t="s">
        <v>811</v>
      </c>
      <c r="BZ23" s="52"/>
      <c r="CA23" s="16"/>
      <c r="CB23" s="15" t="s">
        <v>814</v>
      </c>
      <c r="CC23" s="15" t="s">
        <v>828</v>
      </c>
      <c r="CD23" s="16"/>
      <c r="CE23" s="58" t="s">
        <v>80</v>
      </c>
      <c r="CF23" s="58" t="s">
        <v>856</v>
      </c>
      <c r="CG23" s="57"/>
      <c r="CH23" s="15" t="s">
        <v>36</v>
      </c>
      <c r="CI23" s="15" t="s">
        <v>871</v>
      </c>
      <c r="CK23" s="15" t="s">
        <v>94</v>
      </c>
      <c r="CL23" s="15" t="s">
        <v>898</v>
      </c>
      <c r="CM23" s="5"/>
      <c r="CN23" s="15" t="s">
        <v>54</v>
      </c>
      <c r="CO23" s="15" t="s">
        <v>745</v>
      </c>
      <c r="CP23" s="16"/>
      <c r="CQ23" s="15" t="s">
        <v>923</v>
      </c>
      <c r="CR23" s="15" t="s">
        <v>936</v>
      </c>
      <c r="CT23" s="5"/>
      <c r="CV23" s="16"/>
      <c r="CW23" s="5"/>
      <c r="CY23" s="16"/>
      <c r="CZ23" s="16"/>
      <c r="DB23" s="16"/>
      <c r="DC23" s="5"/>
      <c r="DE23" s="16"/>
      <c r="DF23" s="16"/>
      <c r="DH23" s="16"/>
      <c r="DI23" s="5"/>
      <c r="DK23" s="5"/>
      <c r="DL23" s="5"/>
      <c r="DN23" s="16"/>
      <c r="DO23" s="17"/>
      <c r="DR23" s="16"/>
      <c r="DS23" s="5"/>
      <c r="EF23" s="16"/>
      <c r="EG23" s="5"/>
      <c r="EI23" s="6"/>
      <c r="EJ23" s="6"/>
      <c r="EK23" s="6"/>
      <c r="EM23" s="6"/>
      <c r="EN23" s="6"/>
      <c r="EO23" s="6"/>
    </row>
    <row r="24" spans="1:145" ht="26.25" x14ac:dyDescent="0.4">
      <c r="A24" s="15" t="s">
        <v>44</v>
      </c>
      <c r="B24" s="15" t="s">
        <v>131</v>
      </c>
      <c r="D24" s="15" t="s">
        <v>96</v>
      </c>
      <c r="E24" s="15" t="s">
        <v>160</v>
      </c>
      <c r="F24" s="16"/>
      <c r="G24" s="15" t="s">
        <v>75</v>
      </c>
      <c r="H24" s="15" t="s">
        <v>194</v>
      </c>
      <c r="I24" s="16"/>
      <c r="J24" s="15" t="s">
        <v>81</v>
      </c>
      <c r="K24" s="15" t="s">
        <v>230</v>
      </c>
      <c r="L24" s="5"/>
      <c r="M24" s="15" t="s">
        <v>244</v>
      </c>
      <c r="N24" s="15" t="s">
        <v>259</v>
      </c>
      <c r="P24" s="15" t="s">
        <v>84</v>
      </c>
      <c r="Q24" s="15" t="s">
        <v>279</v>
      </c>
      <c r="R24" s="17"/>
      <c r="S24" s="15" t="s">
        <v>86</v>
      </c>
      <c r="T24" s="15" t="s">
        <v>311</v>
      </c>
      <c r="U24" s="5"/>
      <c r="V24" s="15" t="s">
        <v>92</v>
      </c>
      <c r="W24" s="15" t="s">
        <v>347</v>
      </c>
      <c r="X24" s="16"/>
      <c r="AA24" s="5"/>
      <c r="AB24" s="15" t="s">
        <v>90</v>
      </c>
      <c r="AC24" s="15" t="s">
        <v>398</v>
      </c>
      <c r="AE24" s="19" t="s">
        <v>45</v>
      </c>
      <c r="AF24" s="15" t="s">
        <v>428</v>
      </c>
      <c r="AG24" s="16">
        <v>0</v>
      </c>
      <c r="AH24" s="15" t="s">
        <v>76</v>
      </c>
      <c r="AI24" s="15" t="s">
        <v>466</v>
      </c>
      <c r="AJ24" s="16"/>
      <c r="AK24" s="15" t="s">
        <v>95</v>
      </c>
      <c r="AL24" s="15" t="s">
        <v>499</v>
      </c>
      <c r="AM24" s="16"/>
      <c r="AN24" s="15" t="s">
        <v>43</v>
      </c>
      <c r="AO24" s="15" t="s">
        <v>528</v>
      </c>
      <c r="AQ24" s="16"/>
      <c r="AR24" s="5"/>
      <c r="AT24" s="15" t="s">
        <v>85</v>
      </c>
      <c r="AU24" s="15" t="s">
        <v>561</v>
      </c>
      <c r="AW24" s="48" t="s">
        <v>74</v>
      </c>
      <c r="AX24" s="15" t="s">
        <v>278</v>
      </c>
      <c r="AY24">
        <v>0.5</v>
      </c>
      <c r="AZ24" s="15" t="s">
        <v>89</v>
      </c>
      <c r="BA24" s="15" t="s">
        <v>611</v>
      </c>
      <c r="BB24" s="5"/>
      <c r="BC24" s="15" t="s">
        <v>93</v>
      </c>
      <c r="BD24" s="15" t="s">
        <v>640</v>
      </c>
      <c r="BE24" s="5"/>
      <c r="BF24" s="15" t="s">
        <v>35</v>
      </c>
      <c r="BG24" s="15" t="s">
        <v>658</v>
      </c>
      <c r="BH24" s="16"/>
      <c r="BI24" s="15" t="s">
        <v>88</v>
      </c>
      <c r="BJ24" s="15" t="s">
        <v>691</v>
      </c>
      <c r="BK24" s="5"/>
      <c r="BL24" s="15" t="s">
        <v>79</v>
      </c>
      <c r="BM24" s="15" t="s">
        <v>316</v>
      </c>
      <c r="BN24" s="5"/>
      <c r="BO24" s="15" t="s">
        <v>91</v>
      </c>
      <c r="BP24" s="15" t="s">
        <v>726</v>
      </c>
      <c r="BR24" s="15" t="s">
        <v>45</v>
      </c>
      <c r="BS24" s="15" t="s">
        <v>748</v>
      </c>
      <c r="BT24" s="14">
        <v>0</v>
      </c>
      <c r="BU24" s="15" t="s">
        <v>77</v>
      </c>
      <c r="BV24" s="15" t="s">
        <v>780</v>
      </c>
      <c r="BW24" s="5"/>
      <c r="BX24" s="51" t="s">
        <v>965</v>
      </c>
      <c r="BY24" s="121">
        <v>46198.875</v>
      </c>
      <c r="BZ24" s="52"/>
      <c r="CA24" s="16"/>
      <c r="CB24" s="15" t="s">
        <v>814</v>
      </c>
      <c r="CC24" s="15" t="s">
        <v>431</v>
      </c>
      <c r="CD24" s="16"/>
      <c r="CE24" s="58" t="s">
        <v>80</v>
      </c>
      <c r="CF24" s="58" t="s">
        <v>857</v>
      </c>
      <c r="CG24" s="57">
        <v>0.5</v>
      </c>
      <c r="CH24" s="15" t="s">
        <v>36</v>
      </c>
      <c r="CI24" s="15" t="s">
        <v>872</v>
      </c>
      <c r="CK24" s="15" t="s">
        <v>94</v>
      </c>
      <c r="CL24" s="15" t="s">
        <v>899</v>
      </c>
      <c r="CM24" s="5">
        <v>0.25</v>
      </c>
      <c r="CN24" s="15" t="s">
        <v>54</v>
      </c>
      <c r="CO24" s="15" t="s">
        <v>909</v>
      </c>
      <c r="CP24" s="16"/>
      <c r="CQ24" s="15" t="s">
        <v>923</v>
      </c>
      <c r="CR24" s="15" t="s">
        <v>937</v>
      </c>
      <c r="CS24" s="16"/>
      <c r="CT24" s="5"/>
      <c r="CU24" s="5"/>
      <c r="CV24" s="16"/>
      <c r="CW24" s="5"/>
      <c r="CY24" s="16"/>
      <c r="CZ24" s="16"/>
      <c r="DB24" s="16"/>
      <c r="DC24" s="5"/>
      <c r="DE24" s="16"/>
      <c r="DF24" s="16"/>
      <c r="DH24" s="16"/>
      <c r="DI24" s="16"/>
      <c r="DK24" s="5"/>
      <c r="DL24" s="5"/>
      <c r="DN24" s="16"/>
      <c r="DO24" s="17"/>
      <c r="DR24" s="16"/>
      <c r="DS24" s="5"/>
      <c r="EF24" s="16"/>
      <c r="EG24" s="5"/>
      <c r="EI24" s="10"/>
      <c r="EJ24" s="10"/>
      <c r="EM24" s="10"/>
      <c r="EN24" s="10"/>
    </row>
    <row r="25" spans="1:145" ht="26.25" x14ac:dyDescent="0.4">
      <c r="A25" s="15" t="s">
        <v>34</v>
      </c>
      <c r="B25" s="15" t="s">
        <v>132</v>
      </c>
      <c r="D25" s="15" t="s">
        <v>96</v>
      </c>
      <c r="E25" s="15" t="s">
        <v>161</v>
      </c>
      <c r="F25" s="16">
        <v>0.5</v>
      </c>
      <c r="G25" s="19" t="s">
        <v>45</v>
      </c>
      <c r="H25" s="15" t="s">
        <v>195</v>
      </c>
      <c r="I25" s="16">
        <v>0.25</v>
      </c>
      <c r="J25" s="15" t="s">
        <v>82</v>
      </c>
      <c r="K25" s="15" t="s">
        <v>231</v>
      </c>
      <c r="L25" s="5"/>
      <c r="N25" s="36">
        <v>46201</v>
      </c>
      <c r="P25" s="15" t="s">
        <v>82</v>
      </c>
      <c r="Q25" s="15" t="s">
        <v>280</v>
      </c>
      <c r="R25" s="17"/>
      <c r="S25" s="15" t="s">
        <v>45</v>
      </c>
      <c r="T25" s="15" t="s">
        <v>312</v>
      </c>
      <c r="U25" s="5">
        <v>0</v>
      </c>
      <c r="V25" s="15" t="s">
        <v>92</v>
      </c>
      <c r="W25" s="15" t="s">
        <v>348</v>
      </c>
      <c r="X25" s="16"/>
      <c r="AA25" s="5"/>
      <c r="AB25" s="15" t="s">
        <v>90</v>
      </c>
      <c r="AC25" s="15" t="s">
        <v>399</v>
      </c>
      <c r="AE25" s="15" t="s">
        <v>78</v>
      </c>
      <c r="AF25" s="15" t="s">
        <v>429</v>
      </c>
      <c r="AG25" s="16"/>
      <c r="AH25" s="15" t="s">
        <v>76</v>
      </c>
      <c r="AI25" s="15" t="s">
        <v>466</v>
      </c>
      <c r="AJ25" s="16"/>
      <c r="AK25" s="15" t="s">
        <v>95</v>
      </c>
      <c r="AL25" s="15" t="s">
        <v>398</v>
      </c>
      <c r="AM25" s="16"/>
      <c r="AN25" s="15" t="s">
        <v>43</v>
      </c>
      <c r="AO25" s="15" t="s">
        <v>195</v>
      </c>
      <c r="AP25">
        <v>0.25</v>
      </c>
      <c r="AQ25" s="16"/>
      <c r="AR25" s="5"/>
      <c r="AT25" s="15" t="s">
        <v>45</v>
      </c>
      <c r="AU25" s="15" t="s">
        <v>562</v>
      </c>
      <c r="AW25" s="48" t="s">
        <v>74</v>
      </c>
      <c r="AX25" s="15" t="s">
        <v>593</v>
      </c>
      <c r="AZ25" s="15" t="s">
        <v>45</v>
      </c>
      <c r="BA25" s="15" t="s">
        <v>612</v>
      </c>
      <c r="BB25" s="5">
        <v>0</v>
      </c>
      <c r="BC25" s="15" t="s">
        <v>93</v>
      </c>
      <c r="BD25" s="15" t="s">
        <v>641</v>
      </c>
      <c r="BE25" s="5"/>
      <c r="BF25" s="15" t="s">
        <v>35</v>
      </c>
      <c r="BG25" s="15" t="s">
        <v>659</v>
      </c>
      <c r="BH25" s="16"/>
      <c r="BI25" s="15" t="s">
        <v>88</v>
      </c>
      <c r="BJ25" s="15" t="s">
        <v>351</v>
      </c>
      <c r="BK25" s="5"/>
      <c r="BL25" s="15" t="s">
        <v>79</v>
      </c>
      <c r="BM25" s="15" t="s">
        <v>435</v>
      </c>
      <c r="BN25" s="5">
        <v>0.25</v>
      </c>
      <c r="BO25" s="19" t="s">
        <v>45</v>
      </c>
      <c r="BP25" s="15" t="s">
        <v>727</v>
      </c>
      <c r="BQ25">
        <v>0</v>
      </c>
      <c r="BR25" s="15" t="s">
        <v>83</v>
      </c>
      <c r="BS25" s="15" t="s">
        <v>128</v>
      </c>
      <c r="BU25" s="15" t="s">
        <v>77</v>
      </c>
      <c r="BV25" s="15" t="s">
        <v>643</v>
      </c>
      <c r="BW25" s="5"/>
      <c r="BX25" s="51" t="s">
        <v>87</v>
      </c>
      <c r="BY25" s="51" t="s">
        <v>812</v>
      </c>
      <c r="BZ25" s="52">
        <v>1</v>
      </c>
      <c r="CA25" s="16"/>
      <c r="CB25" s="15" t="s">
        <v>814</v>
      </c>
      <c r="CC25" s="15" t="s">
        <v>471</v>
      </c>
      <c r="CD25" s="16"/>
      <c r="CE25" s="58" t="s">
        <v>80</v>
      </c>
      <c r="CF25" s="58" t="s">
        <v>858</v>
      </c>
      <c r="CG25" s="57"/>
      <c r="CH25" s="15" t="s">
        <v>36</v>
      </c>
      <c r="CI25" s="15" t="s">
        <v>873</v>
      </c>
      <c r="CK25" s="15" t="s">
        <v>94</v>
      </c>
      <c r="CL25" s="15" t="s">
        <v>900</v>
      </c>
      <c r="CM25" s="5"/>
      <c r="CN25" s="15" t="s">
        <v>54</v>
      </c>
      <c r="CO25" s="15" t="s">
        <v>909</v>
      </c>
      <c r="CP25" s="16"/>
      <c r="CQ25" s="15" t="s">
        <v>923</v>
      </c>
      <c r="CR25" s="15" t="s">
        <v>938</v>
      </c>
      <c r="CT25" s="5"/>
      <c r="CV25" s="16"/>
      <c r="CW25" s="5"/>
      <c r="CY25" s="16"/>
      <c r="CZ25" s="16"/>
      <c r="DC25" s="5"/>
      <c r="DE25" s="16"/>
      <c r="DF25" s="16"/>
      <c r="DI25" s="16"/>
      <c r="DK25" s="5"/>
      <c r="DL25" s="16"/>
      <c r="DN25" s="16"/>
      <c r="DO25" s="17"/>
      <c r="DS25" s="5"/>
      <c r="EF25" s="16"/>
      <c r="EG25" s="5"/>
      <c r="EI25" s="16"/>
      <c r="EJ25" s="16"/>
      <c r="EM25" s="16"/>
      <c r="EN25" s="16"/>
    </row>
    <row r="26" spans="1:145" ht="26.25" x14ac:dyDescent="0.4">
      <c r="A26" s="15" t="s">
        <v>34</v>
      </c>
      <c r="B26" s="15" t="s">
        <v>133</v>
      </c>
      <c r="C26" s="9">
        <v>1</v>
      </c>
      <c r="D26" s="15" t="s">
        <v>96</v>
      </c>
      <c r="E26" s="15" t="s">
        <v>162</v>
      </c>
      <c r="F26" s="16"/>
      <c r="G26" s="15" t="s">
        <v>75</v>
      </c>
      <c r="H26" s="15" t="s">
        <v>196</v>
      </c>
      <c r="I26" s="16"/>
      <c r="J26" s="15" t="s">
        <v>81</v>
      </c>
      <c r="K26" s="15" t="s">
        <v>125</v>
      </c>
      <c r="L26" s="16">
        <v>0.25</v>
      </c>
      <c r="N26" s="36">
        <v>46202</v>
      </c>
      <c r="P26" s="15" t="s">
        <v>82</v>
      </c>
      <c r="Q26" s="15" t="s">
        <v>281</v>
      </c>
      <c r="R26" s="17">
        <v>0</v>
      </c>
      <c r="S26" s="19" t="s">
        <v>82</v>
      </c>
      <c r="T26" s="15" t="s">
        <v>313</v>
      </c>
      <c r="U26" s="5">
        <v>0</v>
      </c>
      <c r="V26" s="15" t="s">
        <v>92</v>
      </c>
      <c r="W26" s="15" t="s">
        <v>349</v>
      </c>
      <c r="X26" s="16"/>
      <c r="AA26" s="5"/>
      <c r="AB26" s="19" t="s">
        <v>45</v>
      </c>
      <c r="AC26" s="15" t="s">
        <v>400</v>
      </c>
      <c r="AD26">
        <v>0</v>
      </c>
      <c r="AE26" s="15" t="s">
        <v>45</v>
      </c>
      <c r="AF26" s="15" t="s">
        <v>430</v>
      </c>
      <c r="AG26">
        <v>0</v>
      </c>
      <c r="AH26" s="15" t="s">
        <v>76</v>
      </c>
      <c r="AI26" s="15" t="s">
        <v>341</v>
      </c>
      <c r="AJ26" s="16"/>
      <c r="AK26" s="15" t="s">
        <v>95</v>
      </c>
      <c r="AL26" s="15" t="s">
        <v>500</v>
      </c>
      <c r="AM26" s="16"/>
      <c r="AN26" s="15" t="s">
        <v>43</v>
      </c>
      <c r="AO26" s="15" t="s">
        <v>162</v>
      </c>
      <c r="AQ26" s="16"/>
      <c r="AR26" s="5"/>
      <c r="AT26" s="15" t="s">
        <v>85</v>
      </c>
      <c r="AU26" s="15" t="s">
        <v>563</v>
      </c>
      <c r="AW26" s="48" t="s">
        <v>74</v>
      </c>
      <c r="AX26" s="15" t="s">
        <v>471</v>
      </c>
      <c r="AZ26" s="15" t="s">
        <v>89</v>
      </c>
      <c r="BA26" s="15" t="s">
        <v>431</v>
      </c>
      <c r="BC26" s="15" t="s">
        <v>45</v>
      </c>
      <c r="BD26" s="15" t="s">
        <v>642</v>
      </c>
      <c r="BE26" s="5"/>
      <c r="BF26" s="15" t="s">
        <v>35</v>
      </c>
      <c r="BG26" s="15" t="s">
        <v>660</v>
      </c>
      <c r="BH26" s="16"/>
      <c r="BI26" s="19" t="s">
        <v>45</v>
      </c>
      <c r="BJ26" s="15" t="s">
        <v>646</v>
      </c>
      <c r="BK26" s="5">
        <v>0</v>
      </c>
      <c r="BL26" s="15" t="s">
        <v>79</v>
      </c>
      <c r="BM26" s="15" t="s">
        <v>162</v>
      </c>
      <c r="BN26" s="5"/>
      <c r="BO26" s="15" t="s">
        <v>91</v>
      </c>
      <c r="BP26" s="15" t="s">
        <v>288</v>
      </c>
      <c r="BR26" s="15" t="s">
        <v>83</v>
      </c>
      <c r="BS26" s="15" t="s">
        <v>160</v>
      </c>
      <c r="BU26" s="15" t="s">
        <v>77</v>
      </c>
      <c r="BV26" s="15" t="s">
        <v>781</v>
      </c>
      <c r="BW26" s="5"/>
      <c r="BX26" s="51" t="s">
        <v>87</v>
      </c>
      <c r="BY26" s="51" t="s">
        <v>813</v>
      </c>
      <c r="BZ26" s="53"/>
      <c r="CA26" s="5"/>
      <c r="CB26" s="15" t="s">
        <v>814</v>
      </c>
      <c r="CC26" s="15" t="s">
        <v>829</v>
      </c>
      <c r="CD26" s="16"/>
      <c r="CE26" s="58" t="s">
        <v>80</v>
      </c>
      <c r="CF26" s="58" t="s">
        <v>859</v>
      </c>
      <c r="CG26" s="57">
        <v>1</v>
      </c>
      <c r="CH26" s="15" t="s">
        <v>36</v>
      </c>
      <c r="CI26" s="15" t="s">
        <v>398</v>
      </c>
      <c r="CK26" s="15" t="s">
        <v>94</v>
      </c>
      <c r="CL26" s="15" t="s">
        <v>901</v>
      </c>
      <c r="CM26" s="5">
        <v>0.25</v>
      </c>
      <c r="CN26" s="15" t="s">
        <v>54</v>
      </c>
      <c r="CO26" s="15" t="s">
        <v>232</v>
      </c>
      <c r="CP26" s="16"/>
      <c r="CQ26" s="15" t="s">
        <v>923</v>
      </c>
      <c r="CR26" s="15" t="s">
        <v>436</v>
      </c>
      <c r="CT26" s="5"/>
      <c r="CV26" s="16"/>
      <c r="CW26" s="5"/>
      <c r="DB26" s="16"/>
      <c r="DC26" s="5"/>
      <c r="DE26" s="5"/>
      <c r="DF26" s="5"/>
      <c r="DI26" s="16"/>
      <c r="DK26" s="5"/>
      <c r="DL26" s="16"/>
      <c r="DN26" s="21"/>
      <c r="DO26" s="17"/>
      <c r="DS26" s="5"/>
      <c r="EF26" s="16"/>
      <c r="EG26" s="5"/>
      <c r="EI26" s="16"/>
      <c r="EJ26" s="16"/>
      <c r="EM26" s="16"/>
      <c r="EN26" s="16"/>
    </row>
    <row r="27" spans="1:145" ht="26.25" x14ac:dyDescent="0.4">
      <c r="A27" s="15" t="s">
        <v>34</v>
      </c>
      <c r="B27" s="15" t="s">
        <v>134</v>
      </c>
      <c r="D27" s="15" t="s">
        <v>96</v>
      </c>
      <c r="E27" s="15" t="s">
        <v>162</v>
      </c>
      <c r="F27" s="16"/>
      <c r="G27" s="19" t="s">
        <v>44</v>
      </c>
      <c r="H27" s="15" t="s">
        <v>197</v>
      </c>
      <c r="I27" s="16"/>
      <c r="J27" s="15" t="s">
        <v>81</v>
      </c>
      <c r="K27" s="15" t="s">
        <v>232</v>
      </c>
      <c r="L27" s="16"/>
      <c r="N27" s="15" t="s">
        <v>961</v>
      </c>
      <c r="O27" s="14">
        <v>0.25</v>
      </c>
      <c r="P27" s="15" t="s">
        <v>84</v>
      </c>
      <c r="Q27" s="15" t="s">
        <v>282</v>
      </c>
      <c r="R27" s="20"/>
      <c r="S27" s="15" t="s">
        <v>86</v>
      </c>
      <c r="T27" s="15" t="s">
        <v>314</v>
      </c>
      <c r="U27" s="5">
        <v>0</v>
      </c>
      <c r="V27" s="15" t="s">
        <v>92</v>
      </c>
      <c r="W27" s="15" t="s">
        <v>350</v>
      </c>
      <c r="X27" s="16"/>
      <c r="AA27" s="5"/>
      <c r="AB27" s="15" t="s">
        <v>90</v>
      </c>
      <c r="AC27" s="15" t="s">
        <v>401</v>
      </c>
      <c r="AE27" s="15" t="s">
        <v>78</v>
      </c>
      <c r="AF27" s="15" t="s">
        <v>431</v>
      </c>
      <c r="AH27" s="15" t="s">
        <v>76</v>
      </c>
      <c r="AI27" s="15" t="s">
        <v>467</v>
      </c>
      <c r="AJ27" s="16"/>
      <c r="AK27" s="15" t="s">
        <v>95</v>
      </c>
      <c r="AL27" s="15" t="s">
        <v>501</v>
      </c>
      <c r="AM27" s="16"/>
      <c r="AN27" s="15" t="s">
        <v>43</v>
      </c>
      <c r="AO27" s="15" t="s">
        <v>529</v>
      </c>
      <c r="AQ27" s="16"/>
      <c r="AR27" s="5"/>
      <c r="AT27" s="15" t="s">
        <v>82</v>
      </c>
      <c r="AU27" s="15" t="s">
        <v>564</v>
      </c>
      <c r="AW27" s="48" t="s">
        <v>74</v>
      </c>
      <c r="AX27" s="15" t="s">
        <v>471</v>
      </c>
      <c r="AZ27" s="15" t="s">
        <v>89</v>
      </c>
      <c r="BA27" s="15" t="s">
        <v>613</v>
      </c>
      <c r="BB27" s="5">
        <v>1</v>
      </c>
      <c r="BC27" s="15" t="s">
        <v>82</v>
      </c>
      <c r="BD27" s="15" t="s">
        <v>643</v>
      </c>
      <c r="BE27" s="5"/>
      <c r="BF27" s="15" t="s">
        <v>35</v>
      </c>
      <c r="BG27" s="15" t="s">
        <v>661</v>
      </c>
      <c r="BH27" s="5"/>
      <c r="BI27" s="15" t="s">
        <v>88</v>
      </c>
      <c r="BJ27" s="15" t="s">
        <v>134</v>
      </c>
      <c r="BK27" s="16"/>
      <c r="BL27" s="15" t="s">
        <v>79</v>
      </c>
      <c r="BM27" s="15" t="s">
        <v>437</v>
      </c>
      <c r="BN27" s="5"/>
      <c r="BO27" s="15" t="s">
        <v>82</v>
      </c>
      <c r="BP27" s="15" t="s">
        <v>728</v>
      </c>
      <c r="BR27" s="15" t="s">
        <v>83</v>
      </c>
      <c r="BS27" s="15" t="s">
        <v>749</v>
      </c>
      <c r="BU27" s="15" t="s">
        <v>77</v>
      </c>
      <c r="BV27" s="15" t="s">
        <v>782</v>
      </c>
      <c r="BW27" s="5"/>
      <c r="BX27" s="51" t="s">
        <v>965</v>
      </c>
      <c r="BY27" s="55">
        <v>46203.89166666667</v>
      </c>
      <c r="BZ27" s="53"/>
      <c r="CA27" s="5"/>
      <c r="CB27" s="15" t="s">
        <v>814</v>
      </c>
      <c r="CC27" s="15" t="s">
        <v>688</v>
      </c>
      <c r="CD27" s="16"/>
      <c r="CE27" s="58" t="s">
        <v>80</v>
      </c>
      <c r="CF27" s="58" t="s">
        <v>860</v>
      </c>
      <c r="CG27" s="57"/>
      <c r="CH27" s="15" t="s">
        <v>36</v>
      </c>
      <c r="CI27" s="15" t="s">
        <v>749</v>
      </c>
      <c r="CK27" s="15" t="s">
        <v>954</v>
      </c>
      <c r="CL27" s="33">
        <v>46201.477083333331</v>
      </c>
      <c r="CM27" s="5"/>
      <c r="CN27" s="15" t="s">
        <v>54</v>
      </c>
      <c r="CO27" s="15" t="s">
        <v>747</v>
      </c>
      <c r="CP27" s="16"/>
      <c r="CQ27" s="15" t="s">
        <v>923</v>
      </c>
      <c r="CR27" s="15" t="s">
        <v>939</v>
      </c>
      <c r="CT27" s="5"/>
      <c r="CW27" s="5"/>
      <c r="DC27" s="5"/>
      <c r="DE27" s="5"/>
      <c r="DF27" s="5"/>
      <c r="DI27" s="16"/>
      <c r="DK27" s="5"/>
      <c r="DL27" s="16"/>
      <c r="DN27" s="16"/>
      <c r="DO27" s="17"/>
      <c r="DS27" s="5"/>
      <c r="EF27" s="16"/>
      <c r="EG27" s="5"/>
      <c r="EI27" s="16"/>
      <c r="EJ27" s="16"/>
      <c r="EM27" s="16"/>
      <c r="EN27" s="16"/>
    </row>
    <row r="28" spans="1:145" ht="26.25" x14ac:dyDescent="0.4">
      <c r="A28" s="15" t="s">
        <v>34</v>
      </c>
      <c r="B28" s="15" t="s">
        <v>135</v>
      </c>
      <c r="C28" s="9">
        <v>1</v>
      </c>
      <c r="D28" s="15" t="s">
        <v>96</v>
      </c>
      <c r="E28" s="15" t="s">
        <v>163</v>
      </c>
      <c r="F28" s="16"/>
      <c r="G28" s="15" t="s">
        <v>75</v>
      </c>
      <c r="H28" s="15" t="s">
        <v>198</v>
      </c>
      <c r="I28" s="16"/>
      <c r="J28" s="45" t="s">
        <v>378</v>
      </c>
      <c r="K28" s="15" t="s">
        <v>233</v>
      </c>
      <c r="L28" s="16"/>
      <c r="P28" s="15" t="s">
        <v>82</v>
      </c>
      <c r="Q28" s="15" t="s">
        <v>283</v>
      </c>
      <c r="R28" s="20">
        <v>0</v>
      </c>
      <c r="S28" s="15" t="s">
        <v>82</v>
      </c>
      <c r="T28" s="15" t="s">
        <v>315</v>
      </c>
      <c r="U28" s="5">
        <v>0</v>
      </c>
      <c r="V28" s="15" t="s">
        <v>92</v>
      </c>
      <c r="W28" s="15" t="s">
        <v>351</v>
      </c>
      <c r="X28" s="16"/>
      <c r="AA28" s="5"/>
      <c r="AB28" s="15" t="s">
        <v>90</v>
      </c>
      <c r="AC28" s="15" t="s">
        <v>402</v>
      </c>
      <c r="AE28" s="15" t="s">
        <v>78</v>
      </c>
      <c r="AF28" s="15" t="s">
        <v>432</v>
      </c>
      <c r="AG28">
        <v>0.25</v>
      </c>
      <c r="AH28" s="15" t="s">
        <v>76</v>
      </c>
      <c r="AI28" s="15" t="s">
        <v>468</v>
      </c>
      <c r="AJ28" s="5"/>
      <c r="AK28" s="15" t="s">
        <v>95</v>
      </c>
      <c r="AL28" s="15" t="s">
        <v>440</v>
      </c>
      <c r="AM28" s="5"/>
      <c r="AN28" s="15" t="s">
        <v>43</v>
      </c>
      <c r="AO28" s="15" t="s">
        <v>530</v>
      </c>
      <c r="AQ28" s="16"/>
      <c r="AR28" s="5"/>
      <c r="AT28" s="15" t="s">
        <v>85</v>
      </c>
      <c r="AU28" s="15" t="s">
        <v>565</v>
      </c>
      <c r="AW28" s="48" t="s">
        <v>74</v>
      </c>
      <c r="AX28" s="15" t="s">
        <v>594</v>
      </c>
      <c r="AY28">
        <v>1</v>
      </c>
      <c r="AZ28" s="15" t="s">
        <v>89</v>
      </c>
      <c r="BA28" s="15" t="s">
        <v>614</v>
      </c>
      <c r="BC28" s="15" t="s">
        <v>82</v>
      </c>
      <c r="BD28" s="15" t="s">
        <v>644</v>
      </c>
      <c r="BE28" s="5">
        <v>0</v>
      </c>
      <c r="BG28" s="25">
        <v>46202.48541666667</v>
      </c>
      <c r="BH28" s="5">
        <v>0.5</v>
      </c>
      <c r="BI28" s="15" t="s">
        <v>88</v>
      </c>
      <c r="BJ28" s="15" t="s">
        <v>692</v>
      </c>
      <c r="BK28" s="16"/>
      <c r="BL28" s="15" t="s">
        <v>79</v>
      </c>
      <c r="BM28" s="15" t="s">
        <v>708</v>
      </c>
      <c r="BN28" s="5"/>
      <c r="BO28" s="15" t="s">
        <v>91</v>
      </c>
      <c r="BP28" s="15" t="s">
        <v>206</v>
      </c>
      <c r="BR28" s="15" t="s">
        <v>83</v>
      </c>
      <c r="BS28" s="15" t="s">
        <v>750</v>
      </c>
      <c r="BU28" s="15" t="s">
        <v>77</v>
      </c>
      <c r="BV28" s="15" t="s">
        <v>783</v>
      </c>
      <c r="BW28" s="5"/>
      <c r="BX28" s="54"/>
      <c r="BY28" s="54"/>
      <c r="BZ28" s="53"/>
      <c r="CA28" s="5"/>
      <c r="CB28" s="15" t="s">
        <v>814</v>
      </c>
      <c r="CC28" s="15" t="s">
        <v>830</v>
      </c>
      <c r="CD28" s="16"/>
      <c r="CE28" s="57"/>
      <c r="CF28" s="59" t="s">
        <v>946</v>
      </c>
      <c r="CG28" s="57"/>
      <c r="CH28" s="15" t="s">
        <v>36</v>
      </c>
      <c r="CI28" s="15" t="s">
        <v>874</v>
      </c>
      <c r="CK28" s="15" t="s">
        <v>955</v>
      </c>
      <c r="CL28" s="33">
        <v>46202.477083333331</v>
      </c>
      <c r="CM28" s="5"/>
      <c r="CN28" s="15" t="s">
        <v>54</v>
      </c>
      <c r="CO28" s="15" t="s">
        <v>345</v>
      </c>
      <c r="CQ28" s="15" t="s">
        <v>923</v>
      </c>
      <c r="CR28" s="15" t="s">
        <v>940</v>
      </c>
      <c r="CT28" s="5"/>
      <c r="CW28" s="5"/>
      <c r="DC28" s="5"/>
      <c r="DE28" s="5"/>
      <c r="DF28" s="5"/>
      <c r="DI28" s="16"/>
      <c r="DK28" s="5"/>
      <c r="DL28" s="16"/>
      <c r="DN28" s="16"/>
      <c r="DO28" s="17"/>
      <c r="DS28" s="5"/>
      <c r="EF28" s="16"/>
      <c r="EG28" s="5"/>
      <c r="EI28" s="16"/>
      <c r="EJ28" s="16"/>
      <c r="EM28" s="16"/>
      <c r="EN28" s="16"/>
    </row>
    <row r="29" spans="1:145" ht="26.25" x14ac:dyDescent="0.4">
      <c r="A29" s="15" t="s">
        <v>34</v>
      </c>
      <c r="B29" s="15" t="s">
        <v>136</v>
      </c>
      <c r="D29" s="15" t="s">
        <v>96</v>
      </c>
      <c r="E29" s="15" t="s">
        <v>164</v>
      </c>
      <c r="F29" s="16"/>
      <c r="G29" s="15" t="s">
        <v>75</v>
      </c>
      <c r="H29" s="15" t="s">
        <v>198</v>
      </c>
      <c r="I29" s="16"/>
      <c r="J29" s="15" t="s">
        <v>81</v>
      </c>
      <c r="K29" s="15" t="s">
        <v>234</v>
      </c>
      <c r="L29" s="16"/>
      <c r="P29" s="15" t="s">
        <v>84</v>
      </c>
      <c r="Q29" s="15" t="s">
        <v>284</v>
      </c>
      <c r="R29" s="20"/>
      <c r="S29" s="15" t="s">
        <v>86</v>
      </c>
      <c r="T29" s="15" t="s">
        <v>316</v>
      </c>
      <c r="U29" s="5">
        <v>0</v>
      </c>
      <c r="V29" s="15" t="s">
        <v>92</v>
      </c>
      <c r="W29" s="15" t="s">
        <v>352</v>
      </c>
      <c r="X29" s="16"/>
      <c r="AA29" s="5"/>
      <c r="AB29" s="15" t="s">
        <v>90</v>
      </c>
      <c r="AC29" s="15" t="s">
        <v>318</v>
      </c>
      <c r="AE29" s="15" t="s">
        <v>78</v>
      </c>
      <c r="AF29" s="15" t="s">
        <v>433</v>
      </c>
      <c r="AH29" s="15" t="s">
        <v>76</v>
      </c>
      <c r="AI29" s="15" t="s">
        <v>469</v>
      </c>
      <c r="AJ29" s="5"/>
      <c r="AK29" s="15" t="s">
        <v>95</v>
      </c>
      <c r="AL29" s="15" t="s">
        <v>440</v>
      </c>
      <c r="AM29" s="5"/>
      <c r="AN29" s="15" t="s">
        <v>43</v>
      </c>
      <c r="AO29" s="15" t="s">
        <v>531</v>
      </c>
      <c r="AR29" s="5"/>
      <c r="AT29" s="15" t="s">
        <v>85</v>
      </c>
      <c r="AU29" s="15" t="s">
        <v>566</v>
      </c>
      <c r="AW29" s="48" t="s">
        <v>958</v>
      </c>
      <c r="AX29" s="43">
        <v>0.77083333333333337</v>
      </c>
      <c r="AZ29" s="15" t="s">
        <v>89</v>
      </c>
      <c r="BA29" s="15" t="s">
        <v>615</v>
      </c>
      <c r="BB29">
        <v>1</v>
      </c>
      <c r="BC29" s="15" t="s">
        <v>93</v>
      </c>
      <c r="BD29" s="15" t="s">
        <v>645</v>
      </c>
      <c r="BE29" s="5"/>
      <c r="BG29" s="25">
        <v>46203.474305555559</v>
      </c>
      <c r="BH29" s="5">
        <v>0.25</v>
      </c>
      <c r="BI29" s="15" t="s">
        <v>88</v>
      </c>
      <c r="BJ29" s="15" t="s">
        <v>693</v>
      </c>
      <c r="BK29" s="16"/>
      <c r="BL29" s="15" t="s">
        <v>79</v>
      </c>
      <c r="BM29" s="15" t="s">
        <v>439</v>
      </c>
      <c r="BN29" s="5">
        <v>0.25</v>
      </c>
      <c r="BO29" s="15" t="s">
        <v>91</v>
      </c>
      <c r="BP29" s="15" t="s">
        <v>729</v>
      </c>
      <c r="BQ29" s="15">
        <v>0.5</v>
      </c>
      <c r="BR29" s="15" t="s">
        <v>83</v>
      </c>
      <c r="BS29" s="15" t="s">
        <v>751</v>
      </c>
      <c r="BU29" s="15" t="s">
        <v>77</v>
      </c>
      <c r="BV29" s="15" t="s">
        <v>784</v>
      </c>
      <c r="BW29" s="5"/>
      <c r="BZ29" s="5"/>
      <c r="CA29" s="5"/>
      <c r="CB29" s="15" t="s">
        <v>814</v>
      </c>
      <c r="CC29" s="15" t="s">
        <v>831</v>
      </c>
      <c r="CD29" s="16"/>
      <c r="CE29" s="57"/>
      <c r="CF29" s="59" t="s">
        <v>947</v>
      </c>
      <c r="CG29" s="57"/>
      <c r="CH29" s="15" t="s">
        <v>36</v>
      </c>
      <c r="CI29" s="15" t="s">
        <v>875</v>
      </c>
      <c r="CK29" s="15" t="s">
        <v>954</v>
      </c>
      <c r="CL29" s="33">
        <v>46203.477083333331</v>
      </c>
      <c r="CM29" s="5">
        <v>0.25</v>
      </c>
      <c r="CN29" s="15" t="s">
        <v>54</v>
      </c>
      <c r="CO29" s="15" t="s">
        <v>829</v>
      </c>
      <c r="CQ29" s="15" t="s">
        <v>923</v>
      </c>
      <c r="CR29" s="15" t="s">
        <v>941</v>
      </c>
      <c r="CT29" s="5"/>
      <c r="CW29" s="5"/>
      <c r="DC29" s="5"/>
      <c r="DE29" s="5"/>
      <c r="DF29" s="5"/>
      <c r="DI29" s="16"/>
      <c r="DK29" s="5"/>
      <c r="DL29" s="16"/>
      <c r="DO29" s="17"/>
      <c r="DS29" s="5"/>
      <c r="EF29" s="16"/>
      <c r="EG29" s="5"/>
      <c r="EI29" s="16"/>
      <c r="EJ29" s="16"/>
      <c r="EM29" s="16"/>
      <c r="EN29" s="16"/>
    </row>
    <row r="30" spans="1:145" ht="26.25" x14ac:dyDescent="0.4">
      <c r="A30" s="15" t="s">
        <v>34</v>
      </c>
      <c r="B30" s="15" t="s">
        <v>137</v>
      </c>
      <c r="D30" s="15" t="s">
        <v>96</v>
      </c>
      <c r="E30" s="15" t="s">
        <v>165</v>
      </c>
      <c r="F30" s="16">
        <v>0.25</v>
      </c>
      <c r="G30" s="19" t="s">
        <v>45</v>
      </c>
      <c r="H30" s="15" t="s">
        <v>199</v>
      </c>
      <c r="I30" s="16">
        <v>0.25</v>
      </c>
      <c r="J30" s="15" t="s">
        <v>81</v>
      </c>
      <c r="K30" s="15" t="s">
        <v>235</v>
      </c>
      <c r="L30" s="16"/>
      <c r="P30" s="15" t="s">
        <v>84</v>
      </c>
      <c r="Q30" s="15" t="s">
        <v>285</v>
      </c>
      <c r="R30" s="46" t="s">
        <v>962</v>
      </c>
      <c r="S30" s="19" t="s">
        <v>950</v>
      </c>
      <c r="T30" s="15" t="s">
        <v>317</v>
      </c>
      <c r="U30" s="5"/>
      <c r="V30" s="15" t="s">
        <v>92</v>
      </c>
      <c r="W30" s="15" t="s">
        <v>134</v>
      </c>
      <c r="X30" s="16"/>
      <c r="AA30" s="25"/>
      <c r="AB30" s="19" t="s">
        <v>45</v>
      </c>
      <c r="AC30" s="15" t="s">
        <v>403</v>
      </c>
      <c r="AD30">
        <v>0</v>
      </c>
      <c r="AE30" s="15" t="s">
        <v>78</v>
      </c>
      <c r="AF30" s="15" t="s">
        <v>434</v>
      </c>
      <c r="AH30" s="15" t="s">
        <v>76</v>
      </c>
      <c r="AI30" s="15" t="s">
        <v>470</v>
      </c>
      <c r="AJ30" s="5"/>
      <c r="AK30" s="15" t="s">
        <v>95</v>
      </c>
      <c r="AL30" s="15" t="s">
        <v>502</v>
      </c>
      <c r="AM30" s="5"/>
      <c r="AN30" s="15" t="s">
        <v>43</v>
      </c>
      <c r="AO30" s="15" t="s">
        <v>202</v>
      </c>
      <c r="AR30" s="5"/>
      <c r="AT30" s="15" t="s">
        <v>85</v>
      </c>
      <c r="AU30" s="15" t="s">
        <v>567</v>
      </c>
      <c r="AX30" s="19" t="s">
        <v>959</v>
      </c>
      <c r="AZ30" s="15" t="s">
        <v>89</v>
      </c>
      <c r="BA30" s="15" t="s">
        <v>616</v>
      </c>
      <c r="BC30" s="15" t="s">
        <v>93</v>
      </c>
      <c r="BD30" s="15" t="s">
        <v>646</v>
      </c>
      <c r="BE30" s="5">
        <v>0.5</v>
      </c>
      <c r="BG30" s="17"/>
      <c r="BH30" s="5"/>
      <c r="BI30" s="19" t="s">
        <v>45</v>
      </c>
      <c r="BJ30" s="15" t="s">
        <v>694</v>
      </c>
      <c r="BK30" s="16">
        <v>0</v>
      </c>
      <c r="BL30" s="15" t="s">
        <v>79</v>
      </c>
      <c r="BM30" s="15" t="s">
        <v>709</v>
      </c>
      <c r="BO30" s="15" t="s">
        <v>91</v>
      </c>
      <c r="BP30" s="15" t="s">
        <v>242</v>
      </c>
      <c r="BR30" s="15" t="s">
        <v>83</v>
      </c>
      <c r="BS30" s="15" t="s">
        <v>752</v>
      </c>
      <c r="BU30" s="15" t="s">
        <v>77</v>
      </c>
      <c r="BV30" s="15" t="s">
        <v>501</v>
      </c>
      <c r="BW30" s="5"/>
      <c r="BZ30" s="5"/>
      <c r="CA30" s="5"/>
      <c r="CB30" s="15" t="s">
        <v>814</v>
      </c>
      <c r="CC30" s="15" t="s">
        <v>832</v>
      </c>
      <c r="CD30" s="16"/>
      <c r="CE30" s="57"/>
      <c r="CF30" s="60">
        <v>46201.815972222219</v>
      </c>
      <c r="CG30" s="57">
        <v>1</v>
      </c>
      <c r="CH30" s="15" t="s">
        <v>36</v>
      </c>
      <c r="CI30" s="15" t="s">
        <v>752</v>
      </c>
      <c r="CM30" s="5"/>
      <c r="CN30" s="15" t="s">
        <v>54</v>
      </c>
      <c r="CO30" s="15" t="s">
        <v>910</v>
      </c>
      <c r="CQ30" s="15" t="s">
        <v>923</v>
      </c>
      <c r="CR30" s="15" t="s">
        <v>942</v>
      </c>
      <c r="CT30" s="5"/>
      <c r="CW30" s="5"/>
      <c r="DC30" s="5"/>
      <c r="DE30" s="5"/>
      <c r="DF30" s="5"/>
      <c r="DI30" s="16"/>
      <c r="DK30" s="5"/>
      <c r="DL30" s="16"/>
      <c r="DO30" s="17"/>
      <c r="DS30" s="5"/>
      <c r="EF30" s="16"/>
      <c r="EG30" s="5"/>
      <c r="EI30" s="16"/>
      <c r="EJ30" s="16"/>
    </row>
    <row r="31" spans="1:145" ht="26.25" x14ac:dyDescent="0.4">
      <c r="A31" s="15" t="s">
        <v>34</v>
      </c>
      <c r="B31" s="15" t="s">
        <v>138</v>
      </c>
      <c r="D31" s="15" t="s">
        <v>96</v>
      </c>
      <c r="E31" s="15" t="s">
        <v>166</v>
      </c>
      <c r="F31" s="16"/>
      <c r="G31" s="15" t="s">
        <v>75</v>
      </c>
      <c r="H31" s="15" t="s">
        <v>199</v>
      </c>
      <c r="I31" s="16"/>
      <c r="J31" s="15" t="s">
        <v>81</v>
      </c>
      <c r="K31" s="15" t="s">
        <v>236</v>
      </c>
      <c r="L31" s="16"/>
      <c r="P31" s="15" t="s">
        <v>84</v>
      </c>
      <c r="Q31" s="15" t="s">
        <v>198</v>
      </c>
      <c r="R31" s="20"/>
      <c r="S31" s="15" t="s">
        <v>86</v>
      </c>
      <c r="T31" s="15" t="s">
        <v>318</v>
      </c>
      <c r="U31" s="5">
        <v>0</v>
      </c>
      <c r="V31" s="15" t="s">
        <v>92</v>
      </c>
      <c r="W31" s="15" t="s">
        <v>353</v>
      </c>
      <c r="X31" s="16"/>
      <c r="AA31" s="25"/>
      <c r="AB31" s="15" t="s">
        <v>90</v>
      </c>
      <c r="AC31" s="15" t="s">
        <v>320</v>
      </c>
      <c r="AE31" s="15" t="s">
        <v>78</v>
      </c>
      <c r="AF31" s="15" t="s">
        <v>435</v>
      </c>
      <c r="AG31">
        <v>0</v>
      </c>
      <c r="AH31" s="15" t="s">
        <v>76</v>
      </c>
      <c r="AI31" s="15" t="s">
        <v>471</v>
      </c>
      <c r="AJ31" s="5"/>
      <c r="AK31" s="15" t="s">
        <v>95</v>
      </c>
      <c r="AL31" s="15" t="s">
        <v>503</v>
      </c>
      <c r="AM31" s="5"/>
      <c r="AN31" s="19" t="s">
        <v>45</v>
      </c>
      <c r="AO31" s="15" t="s">
        <v>532</v>
      </c>
      <c r="AP31">
        <v>0</v>
      </c>
      <c r="AR31" s="5"/>
      <c r="AT31" s="15" t="s">
        <v>82</v>
      </c>
      <c r="AU31" s="15" t="s">
        <v>568</v>
      </c>
      <c r="AZ31" s="15" t="s">
        <v>89</v>
      </c>
      <c r="BA31" s="15" t="s">
        <v>563</v>
      </c>
      <c r="BB31">
        <v>0.5</v>
      </c>
      <c r="BC31" s="15" t="s">
        <v>93</v>
      </c>
      <c r="BD31" s="15" t="s">
        <v>530</v>
      </c>
      <c r="BE31" s="5"/>
      <c r="BG31" s="17"/>
      <c r="BH31" s="5"/>
      <c r="BI31" s="15" t="s">
        <v>88</v>
      </c>
      <c r="BJ31" s="15" t="s">
        <v>138</v>
      </c>
      <c r="BK31" s="16"/>
      <c r="BL31" s="15" t="s">
        <v>79</v>
      </c>
      <c r="BM31" s="15" t="s">
        <v>441</v>
      </c>
      <c r="BN31">
        <v>0.25</v>
      </c>
      <c r="BO31" s="15" t="s">
        <v>91</v>
      </c>
      <c r="BP31" s="15" t="s">
        <v>730</v>
      </c>
      <c r="BQ31">
        <v>0.5</v>
      </c>
      <c r="BR31" s="15" t="s">
        <v>45</v>
      </c>
      <c r="BS31" s="15" t="s">
        <v>753</v>
      </c>
      <c r="BU31" s="15" t="s">
        <v>77</v>
      </c>
      <c r="BV31" s="15" t="s">
        <v>657</v>
      </c>
      <c r="BW31" s="5"/>
      <c r="BZ31" s="5"/>
      <c r="CA31" s="5"/>
      <c r="CB31" s="15" t="s">
        <v>814</v>
      </c>
      <c r="CC31" s="15" t="s">
        <v>351</v>
      </c>
      <c r="CE31" s="59"/>
      <c r="CF31" s="60">
        <v>46202.815972164353</v>
      </c>
      <c r="CG31" s="57">
        <v>1</v>
      </c>
      <c r="CH31" s="15" t="s">
        <v>36</v>
      </c>
      <c r="CI31" s="15" t="s">
        <v>876</v>
      </c>
      <c r="CJ31">
        <v>1</v>
      </c>
      <c r="CM31" s="5"/>
      <c r="CN31" s="15" t="s">
        <v>54</v>
      </c>
      <c r="CO31" s="15" t="s">
        <v>782</v>
      </c>
      <c r="CQ31" s="15" t="s">
        <v>923</v>
      </c>
      <c r="CR31" s="15" t="s">
        <v>943</v>
      </c>
      <c r="CS31" s="16"/>
      <c r="CT31" s="16"/>
      <c r="CW31" s="5"/>
      <c r="DB31" s="16"/>
      <c r="DC31" s="16"/>
      <c r="DE31" s="5"/>
      <c r="DF31" s="5"/>
      <c r="DI31" s="16"/>
      <c r="DL31" s="16"/>
      <c r="DO31" s="17"/>
      <c r="DS31" s="5"/>
      <c r="EG31" s="5"/>
      <c r="EI31" s="16"/>
      <c r="EJ31" s="16"/>
    </row>
    <row r="32" spans="1:145" ht="26.25" x14ac:dyDescent="0.4">
      <c r="A32" s="15" t="s">
        <v>34</v>
      </c>
      <c r="B32" s="15" t="s">
        <v>139</v>
      </c>
      <c r="D32" s="19" t="s">
        <v>45</v>
      </c>
      <c r="E32" s="15" t="s">
        <v>167</v>
      </c>
      <c r="F32" s="16">
        <v>0</v>
      </c>
      <c r="G32" s="15" t="s">
        <v>75</v>
      </c>
      <c r="H32" s="15" t="s">
        <v>200</v>
      </c>
      <c r="I32" s="16"/>
      <c r="J32" s="15" t="s">
        <v>81</v>
      </c>
      <c r="K32" s="15" t="s">
        <v>237</v>
      </c>
      <c r="L32" s="16"/>
      <c r="P32" s="15" t="s">
        <v>82</v>
      </c>
      <c r="Q32" s="15" t="s">
        <v>252</v>
      </c>
      <c r="R32" s="20"/>
      <c r="S32" s="19" t="s">
        <v>82</v>
      </c>
      <c r="T32" s="15" t="s">
        <v>319</v>
      </c>
      <c r="U32" s="5">
        <v>0</v>
      </c>
      <c r="V32" s="15" t="s">
        <v>92</v>
      </c>
      <c r="W32" s="15" t="s">
        <v>354</v>
      </c>
      <c r="X32" s="16"/>
      <c r="AA32" s="35"/>
      <c r="AB32" s="15" t="s">
        <v>90</v>
      </c>
      <c r="AC32" s="15" t="s">
        <v>404</v>
      </c>
      <c r="AD32">
        <v>0.25</v>
      </c>
      <c r="AE32" s="15" t="s">
        <v>78</v>
      </c>
      <c r="AF32" s="15" t="s">
        <v>436</v>
      </c>
      <c r="AH32" s="15" t="s">
        <v>76</v>
      </c>
      <c r="AI32" s="15" t="s">
        <v>472</v>
      </c>
      <c r="AJ32" s="5"/>
      <c r="AK32" s="15" t="s">
        <v>95</v>
      </c>
      <c r="AL32" s="15" t="s">
        <v>504</v>
      </c>
      <c r="AM32" s="5"/>
      <c r="AN32" s="15" t="s">
        <v>43</v>
      </c>
      <c r="AO32" s="15" t="s">
        <v>533</v>
      </c>
      <c r="AR32" s="5"/>
      <c r="AT32" s="15" t="s">
        <v>85</v>
      </c>
      <c r="AU32" s="15" t="s">
        <v>569</v>
      </c>
      <c r="AZ32" s="15" t="s">
        <v>89</v>
      </c>
      <c r="BA32" s="15" t="s">
        <v>617</v>
      </c>
      <c r="BC32" s="15" t="s">
        <v>93</v>
      </c>
      <c r="BD32" s="15" t="s">
        <v>647</v>
      </c>
      <c r="BE32" s="5"/>
      <c r="BG32" s="17"/>
      <c r="BH32" s="5"/>
      <c r="BI32" s="15" t="s">
        <v>88</v>
      </c>
      <c r="BJ32" s="15" t="s">
        <v>695</v>
      </c>
      <c r="BL32" s="15" t="s">
        <v>79</v>
      </c>
      <c r="BM32" s="15" t="s">
        <v>354</v>
      </c>
      <c r="BP32" s="15" t="s">
        <v>952</v>
      </c>
      <c r="BR32" s="15" t="s">
        <v>83</v>
      </c>
      <c r="BS32" s="15" t="s">
        <v>754</v>
      </c>
      <c r="BU32" s="15" t="s">
        <v>77</v>
      </c>
      <c r="BV32" s="15" t="s">
        <v>785</v>
      </c>
      <c r="BW32" s="16"/>
      <c r="BZ32" s="16"/>
      <c r="CA32" s="16"/>
      <c r="CB32" s="15" t="s">
        <v>814</v>
      </c>
      <c r="CC32" s="15" t="s">
        <v>352</v>
      </c>
      <c r="CE32" s="59"/>
      <c r="CF32" s="57"/>
      <c r="CG32" s="57"/>
      <c r="CH32" s="15" t="s">
        <v>36</v>
      </c>
      <c r="CI32" s="15" t="s">
        <v>134</v>
      </c>
      <c r="CM32" s="5"/>
      <c r="CN32" s="15" t="s">
        <v>54</v>
      </c>
      <c r="CO32" s="15" t="s">
        <v>911</v>
      </c>
      <c r="CQ32" s="15" t="s">
        <v>923</v>
      </c>
      <c r="CR32" s="15" t="s">
        <v>943</v>
      </c>
      <c r="CS32" s="16"/>
      <c r="CT32" s="16"/>
      <c r="CW32" s="5"/>
      <c r="DB32" s="16"/>
      <c r="DC32" s="16"/>
      <c r="DE32" s="5"/>
      <c r="DF32" s="5"/>
      <c r="DI32" s="16"/>
      <c r="DL32" s="36"/>
      <c r="DO32" s="17"/>
      <c r="DS32" s="5"/>
      <c r="EG32" s="5"/>
      <c r="EI32" s="16"/>
      <c r="EJ32" s="16"/>
    </row>
    <row r="33" spans="1:140" x14ac:dyDescent="0.25">
      <c r="A33" s="15" t="s">
        <v>34</v>
      </c>
      <c r="B33" s="15" t="s">
        <v>140</v>
      </c>
      <c r="D33" s="15" t="s">
        <v>96</v>
      </c>
      <c r="E33" s="15" t="s">
        <v>168</v>
      </c>
      <c r="F33" s="16"/>
      <c r="G33" s="15" t="s">
        <v>75</v>
      </c>
      <c r="H33" s="15" t="s">
        <v>201</v>
      </c>
      <c r="I33" s="16"/>
      <c r="J33" s="15" t="s">
        <v>81</v>
      </c>
      <c r="K33" s="15" t="s">
        <v>238</v>
      </c>
      <c r="L33" s="16"/>
      <c r="P33" s="20">
        <v>1</v>
      </c>
      <c r="Q33" s="15" t="s">
        <v>286</v>
      </c>
      <c r="S33" s="15" t="s">
        <v>86</v>
      </c>
      <c r="T33" s="15" t="s">
        <v>320</v>
      </c>
      <c r="U33" s="5">
        <v>0</v>
      </c>
      <c r="V33" s="15" t="s">
        <v>92</v>
      </c>
      <c r="W33" s="15" t="s">
        <v>355</v>
      </c>
      <c r="X33" s="16"/>
      <c r="AB33" s="15" t="s">
        <v>90</v>
      </c>
      <c r="AC33" s="15" t="s">
        <v>405</v>
      </c>
      <c r="AE33" s="15" t="s">
        <v>82</v>
      </c>
      <c r="AF33" s="15" t="s">
        <v>437</v>
      </c>
      <c r="AH33" s="15" t="s">
        <v>82</v>
      </c>
      <c r="AI33" s="15" t="s">
        <v>281</v>
      </c>
      <c r="AJ33" s="5"/>
      <c r="AK33" s="15" t="s">
        <v>95</v>
      </c>
      <c r="AL33" s="15" t="s">
        <v>505</v>
      </c>
      <c r="AM33" s="5"/>
      <c r="AN33" s="15" t="s">
        <v>43</v>
      </c>
      <c r="AO33" s="15" t="s">
        <v>534</v>
      </c>
      <c r="AR33" s="5"/>
      <c r="AT33" s="15" t="s">
        <v>82</v>
      </c>
      <c r="AU33" s="15" t="s">
        <v>570</v>
      </c>
      <c r="AZ33" s="15" t="s">
        <v>89</v>
      </c>
      <c r="BA33" s="15" t="s">
        <v>618</v>
      </c>
      <c r="BC33" s="15" t="s">
        <v>93</v>
      </c>
      <c r="BD33" s="15" t="s">
        <v>648</v>
      </c>
      <c r="BE33" s="5"/>
      <c r="BG33" s="17"/>
      <c r="BH33" s="5"/>
      <c r="BI33" s="15" t="s">
        <v>88</v>
      </c>
      <c r="BJ33" s="15" t="s">
        <v>696</v>
      </c>
      <c r="BL33" s="15" t="s">
        <v>79</v>
      </c>
      <c r="BM33" s="15" t="s">
        <v>443</v>
      </c>
      <c r="BN33">
        <v>0.25</v>
      </c>
      <c r="BP33" s="47">
        <v>46203.470138888886</v>
      </c>
      <c r="BQ33">
        <v>0.25</v>
      </c>
      <c r="BR33" s="15" t="s">
        <v>83</v>
      </c>
      <c r="BS33" s="15" t="s">
        <v>755</v>
      </c>
      <c r="BU33" s="15" t="s">
        <v>77</v>
      </c>
      <c r="BV33" s="15" t="s">
        <v>236</v>
      </c>
      <c r="BW33" s="16"/>
      <c r="BZ33" s="16"/>
      <c r="CA33" s="16"/>
      <c r="CB33" s="15" t="s">
        <v>814</v>
      </c>
      <c r="CC33" s="15" t="s">
        <v>833</v>
      </c>
      <c r="CE33" s="5"/>
      <c r="CH33" s="15" t="s">
        <v>36</v>
      </c>
      <c r="CI33" s="15" t="s">
        <v>877</v>
      </c>
      <c r="CJ33">
        <v>1</v>
      </c>
      <c r="CM33" s="5"/>
      <c r="CN33" s="15" t="s">
        <v>54</v>
      </c>
      <c r="CO33" s="15" t="s">
        <v>912</v>
      </c>
      <c r="CQ33" s="15" t="s">
        <v>923</v>
      </c>
      <c r="CR33" s="15" t="s">
        <v>944</v>
      </c>
      <c r="CS33" s="16"/>
      <c r="CT33" s="16"/>
      <c r="CW33" s="5"/>
      <c r="DB33" s="16"/>
      <c r="DC33" s="16"/>
      <c r="DE33" s="5"/>
      <c r="DF33" s="5"/>
      <c r="DI33" s="16"/>
      <c r="DL33" s="16"/>
      <c r="DO33" s="17"/>
      <c r="DS33" s="5"/>
      <c r="EI33" s="16"/>
      <c r="EJ33" s="16"/>
    </row>
    <row r="34" spans="1:140" x14ac:dyDescent="0.25">
      <c r="A34" s="15" t="s">
        <v>34</v>
      </c>
      <c r="B34" s="15" t="s">
        <v>141</v>
      </c>
      <c r="D34" s="15" t="s">
        <v>96</v>
      </c>
      <c r="E34" s="15" t="s">
        <v>169</v>
      </c>
      <c r="F34" s="16"/>
      <c r="G34" s="15" t="s">
        <v>75</v>
      </c>
      <c r="H34" s="15" t="s">
        <v>202</v>
      </c>
      <c r="I34" s="16"/>
      <c r="J34" s="15" t="s">
        <v>81</v>
      </c>
      <c r="K34" s="15" t="s">
        <v>239</v>
      </c>
      <c r="L34" s="16"/>
      <c r="P34" s="15" t="s">
        <v>84</v>
      </c>
      <c r="Q34" s="15" t="s">
        <v>287</v>
      </c>
      <c r="R34" s="20">
        <v>0.25</v>
      </c>
      <c r="S34" s="15" t="s">
        <v>82</v>
      </c>
      <c r="T34" s="15" t="s">
        <v>321</v>
      </c>
      <c r="V34" s="15" t="s">
        <v>92</v>
      </c>
      <c r="W34" s="15" t="s">
        <v>356</v>
      </c>
      <c r="X34" s="16"/>
      <c r="AB34" s="15" t="s">
        <v>90</v>
      </c>
      <c r="AC34" s="15" t="s">
        <v>406</v>
      </c>
      <c r="AD34">
        <v>0.25</v>
      </c>
      <c r="AE34" s="15" t="s">
        <v>78</v>
      </c>
      <c r="AF34" s="15" t="s">
        <v>438</v>
      </c>
      <c r="AH34" s="15" t="s">
        <v>76</v>
      </c>
      <c r="AI34" s="15" t="s">
        <v>473</v>
      </c>
      <c r="AJ34" s="5"/>
      <c r="AK34" s="15" t="s">
        <v>95</v>
      </c>
      <c r="AL34" s="15" t="s">
        <v>506</v>
      </c>
      <c r="AM34" s="5"/>
      <c r="AN34" s="15" t="s">
        <v>43</v>
      </c>
      <c r="AO34" s="15" t="s">
        <v>535</v>
      </c>
      <c r="AR34" s="5"/>
      <c r="AT34" s="15" t="s">
        <v>85</v>
      </c>
      <c r="AU34" s="15" t="s">
        <v>571</v>
      </c>
      <c r="AZ34" s="15" t="s">
        <v>89</v>
      </c>
      <c r="BA34" s="15" t="s">
        <v>619</v>
      </c>
      <c r="BC34" s="15" t="s">
        <v>93</v>
      </c>
      <c r="BD34" s="15" t="s">
        <v>649</v>
      </c>
      <c r="BE34" s="5">
        <v>0.5</v>
      </c>
      <c r="BG34" s="17"/>
      <c r="BH34" s="5"/>
      <c r="BI34" s="15" t="s">
        <v>88</v>
      </c>
      <c r="BJ34" s="15" t="s">
        <v>697</v>
      </c>
      <c r="BL34" s="15" t="s">
        <v>79</v>
      </c>
      <c r="BM34" s="15" t="s">
        <v>444</v>
      </c>
      <c r="BR34" s="15" t="s">
        <v>83</v>
      </c>
      <c r="BS34" s="15" t="s">
        <v>756</v>
      </c>
      <c r="BU34" s="15" t="s">
        <v>77</v>
      </c>
      <c r="BV34" s="15" t="s">
        <v>786</v>
      </c>
      <c r="BW34" s="16"/>
      <c r="BZ34" s="16"/>
      <c r="CA34" s="16"/>
      <c r="CB34" s="15" t="s">
        <v>814</v>
      </c>
      <c r="CC34" s="15" t="s">
        <v>834</v>
      </c>
      <c r="CE34" s="5"/>
      <c r="CH34" s="15" t="s">
        <v>36</v>
      </c>
      <c r="CI34" s="15" t="s">
        <v>136</v>
      </c>
      <c r="CM34" s="5"/>
      <c r="CN34" s="15" t="s">
        <v>54</v>
      </c>
      <c r="CO34" s="15" t="s">
        <v>235</v>
      </c>
      <c r="CQ34" s="15" t="s">
        <v>923</v>
      </c>
      <c r="CR34" s="15" t="s">
        <v>483</v>
      </c>
      <c r="CS34" s="16">
        <v>1</v>
      </c>
      <c r="CT34" s="16"/>
      <c r="CW34" s="5"/>
      <c r="DB34" s="16"/>
      <c r="DC34" s="27"/>
      <c r="DE34" s="5"/>
      <c r="DF34" s="5"/>
      <c r="DI34" s="16"/>
      <c r="DL34" s="16"/>
      <c r="DO34" s="17"/>
      <c r="DR34" s="16"/>
      <c r="DS34" s="16"/>
      <c r="EI34" s="16"/>
      <c r="EJ34" s="16"/>
    </row>
    <row r="35" spans="1:140" x14ac:dyDescent="0.25">
      <c r="A35" s="15" t="s">
        <v>34</v>
      </c>
      <c r="B35" s="15" t="s">
        <v>142</v>
      </c>
      <c r="D35" s="15" t="s">
        <v>96</v>
      </c>
      <c r="E35" s="15" t="s">
        <v>170</v>
      </c>
      <c r="F35" s="16"/>
      <c r="G35" s="15" t="s">
        <v>75</v>
      </c>
      <c r="H35" s="15" t="s">
        <v>203</v>
      </c>
      <c r="I35" s="16"/>
      <c r="J35" s="15" t="s">
        <v>81</v>
      </c>
      <c r="K35" s="15" t="s">
        <v>240</v>
      </c>
      <c r="L35" s="28"/>
      <c r="P35" s="15" t="s">
        <v>84</v>
      </c>
      <c r="Q35" s="15" t="s">
        <v>288</v>
      </c>
      <c r="R35" s="20"/>
      <c r="S35" s="15" t="s">
        <v>86</v>
      </c>
      <c r="T35" s="15" t="s">
        <v>322</v>
      </c>
      <c r="V35" s="15" t="s">
        <v>92</v>
      </c>
      <c r="W35" s="15" t="s">
        <v>357</v>
      </c>
      <c r="X35" s="16"/>
      <c r="AB35" s="15" t="s">
        <v>90</v>
      </c>
      <c r="AC35" s="15" t="s">
        <v>407</v>
      </c>
      <c r="AE35" s="15" t="s">
        <v>78</v>
      </c>
      <c r="AF35" s="15" t="s">
        <v>439</v>
      </c>
      <c r="AG35" s="16">
        <v>0.25</v>
      </c>
      <c r="AH35" s="15" t="s">
        <v>76</v>
      </c>
      <c r="AI35" s="15" t="s">
        <v>474</v>
      </c>
      <c r="AJ35" s="5"/>
      <c r="AK35" s="15" t="s">
        <v>95</v>
      </c>
      <c r="AL35" s="15" t="s">
        <v>290</v>
      </c>
      <c r="AM35" s="16"/>
      <c r="AN35" s="15" t="s">
        <v>43</v>
      </c>
      <c r="AO35" s="15" t="s">
        <v>536</v>
      </c>
      <c r="AR35" s="5"/>
      <c r="AT35" s="15" t="s">
        <v>82</v>
      </c>
      <c r="AU35" s="15" t="s">
        <v>572</v>
      </c>
      <c r="AZ35" s="15" t="s">
        <v>89</v>
      </c>
      <c r="BA35" s="15" t="s">
        <v>620</v>
      </c>
      <c r="BC35" s="15" t="s">
        <v>93</v>
      </c>
      <c r="BD35" s="15" t="s">
        <v>650</v>
      </c>
      <c r="BE35" s="5"/>
      <c r="BG35" s="17"/>
      <c r="BH35" s="5"/>
      <c r="BI35" s="15" t="s">
        <v>88</v>
      </c>
      <c r="BJ35" s="15" t="s">
        <v>698</v>
      </c>
      <c r="BL35" s="15" t="s">
        <v>82</v>
      </c>
      <c r="BM35" s="15" t="s">
        <v>289</v>
      </c>
      <c r="BR35" s="15" t="s">
        <v>83</v>
      </c>
      <c r="BS35" s="15" t="s">
        <v>757</v>
      </c>
      <c r="BU35" s="15" t="s">
        <v>77</v>
      </c>
      <c r="BV35" s="15" t="s">
        <v>787</v>
      </c>
      <c r="BW35" s="16"/>
      <c r="BZ35" s="16"/>
      <c r="CA35" s="16"/>
      <c r="CB35" s="15" t="s">
        <v>814</v>
      </c>
      <c r="CC35" s="15" t="s">
        <v>835</v>
      </c>
      <c r="CE35" s="5"/>
      <c r="CH35" s="15" t="s">
        <v>36</v>
      </c>
      <c r="CI35" s="15" t="s">
        <v>878</v>
      </c>
      <c r="CM35" s="5"/>
      <c r="CN35" s="15" t="s">
        <v>54</v>
      </c>
      <c r="CO35" s="15" t="s">
        <v>913</v>
      </c>
      <c r="CQ35" s="15" t="s">
        <v>923</v>
      </c>
      <c r="CR35" s="15" t="s">
        <v>791</v>
      </c>
      <c r="CS35" s="16"/>
      <c r="CT35" s="16"/>
      <c r="CW35" s="5"/>
      <c r="DB35" s="16"/>
      <c r="DC35" s="16"/>
      <c r="DE35" s="16"/>
      <c r="DF35" s="16"/>
      <c r="DI35" s="16"/>
      <c r="DO35" s="17"/>
      <c r="DR35" s="16"/>
      <c r="DS35" s="16"/>
      <c r="EI35" s="30"/>
      <c r="EJ35" s="16"/>
    </row>
    <row r="36" spans="1:140" x14ac:dyDescent="0.25">
      <c r="A36" s="15" t="s">
        <v>34</v>
      </c>
      <c r="B36" s="15" t="s">
        <v>143</v>
      </c>
      <c r="D36" s="15" t="s">
        <v>96</v>
      </c>
      <c r="E36" s="15" t="s">
        <v>171</v>
      </c>
      <c r="F36" s="16">
        <v>0.25</v>
      </c>
      <c r="G36" s="15" t="s">
        <v>75</v>
      </c>
      <c r="H36" s="15" t="s">
        <v>204</v>
      </c>
      <c r="I36" s="16"/>
      <c r="J36" s="15" t="s">
        <v>81</v>
      </c>
      <c r="K36" s="15" t="s">
        <v>241</v>
      </c>
      <c r="L36" s="28"/>
      <c r="P36" s="15" t="s">
        <v>82</v>
      </c>
      <c r="Q36" s="15" t="s">
        <v>289</v>
      </c>
      <c r="R36" s="20"/>
      <c r="S36" s="15" t="s">
        <v>86</v>
      </c>
      <c r="T36" s="15" t="s">
        <v>323</v>
      </c>
      <c r="U36" s="5">
        <v>1</v>
      </c>
      <c r="V36" s="15" t="s">
        <v>92</v>
      </c>
      <c r="W36" s="15" t="s">
        <v>358</v>
      </c>
      <c r="X36" s="16"/>
      <c r="AB36" s="15" t="s">
        <v>90</v>
      </c>
      <c r="AC36" s="15" t="s">
        <v>205</v>
      </c>
      <c r="AD36">
        <v>0.25</v>
      </c>
      <c r="AE36" s="15" t="s">
        <v>78</v>
      </c>
      <c r="AF36" s="15" t="s">
        <v>440</v>
      </c>
      <c r="AG36" s="16"/>
      <c r="AH36" s="15" t="s">
        <v>76</v>
      </c>
      <c r="AI36" s="15" t="s">
        <v>474</v>
      </c>
      <c r="AJ36" s="5"/>
      <c r="AK36" s="15" t="s">
        <v>95</v>
      </c>
      <c r="AL36" s="15" t="s">
        <v>507</v>
      </c>
      <c r="AM36" s="16"/>
      <c r="AN36" s="19" t="s">
        <v>45</v>
      </c>
      <c r="AO36" s="15" t="s">
        <v>366</v>
      </c>
      <c r="AP36">
        <v>0</v>
      </c>
      <c r="AR36" s="5"/>
      <c r="AT36" s="15" t="s">
        <v>85</v>
      </c>
      <c r="AU36" s="15" t="s">
        <v>573</v>
      </c>
      <c r="AV36" s="14">
        <v>0.5</v>
      </c>
      <c r="AZ36" s="15" t="s">
        <v>82</v>
      </c>
      <c r="BA36" s="15" t="s">
        <v>564</v>
      </c>
      <c r="BC36" s="15" t="s">
        <v>93</v>
      </c>
      <c r="BD36" s="15" t="s">
        <v>651</v>
      </c>
      <c r="BE36" s="5">
        <v>0.5</v>
      </c>
      <c r="BG36" s="17"/>
      <c r="BH36" s="36"/>
      <c r="BI36" s="15" t="s">
        <v>88</v>
      </c>
      <c r="BJ36" s="15" t="s">
        <v>699</v>
      </c>
      <c r="BL36" s="15" t="s">
        <v>79</v>
      </c>
      <c r="BM36" s="15" t="s">
        <v>710</v>
      </c>
      <c r="BR36" s="15" t="s">
        <v>83</v>
      </c>
      <c r="BS36" s="15" t="s">
        <v>758</v>
      </c>
      <c r="BU36" s="15" t="s">
        <v>77</v>
      </c>
      <c r="BV36" s="15" t="s">
        <v>203</v>
      </c>
      <c r="BW36" s="36"/>
      <c r="BZ36" s="16"/>
      <c r="CA36" s="16"/>
      <c r="CB36" s="15" t="s">
        <v>814</v>
      </c>
      <c r="CC36" s="15" t="s">
        <v>478</v>
      </c>
      <c r="CE36" s="5"/>
      <c r="CH36" s="15" t="s">
        <v>36</v>
      </c>
      <c r="CI36" s="15" t="s">
        <v>138</v>
      </c>
      <c r="CL36" s="16"/>
      <c r="CM36" s="16"/>
      <c r="CN36" s="15" t="s">
        <v>54</v>
      </c>
      <c r="CO36" s="15" t="s">
        <v>786</v>
      </c>
      <c r="CQ36" s="19" t="s">
        <v>45</v>
      </c>
      <c r="CR36" s="15" t="s">
        <v>945</v>
      </c>
      <c r="CS36" s="16">
        <v>0</v>
      </c>
      <c r="CT36" s="16"/>
      <c r="CW36" s="5"/>
      <c r="DE36" s="16"/>
      <c r="DF36" s="16"/>
      <c r="DI36" s="16"/>
      <c r="DO36" s="17"/>
      <c r="DR36" s="16"/>
      <c r="DS36" s="16"/>
    </row>
    <row r="37" spans="1:140" x14ac:dyDescent="0.25">
      <c r="A37" s="15" t="s">
        <v>956</v>
      </c>
      <c r="B37" s="36">
        <v>46201</v>
      </c>
      <c r="D37" s="15" t="s">
        <v>96</v>
      </c>
      <c r="E37" s="15" t="s">
        <v>172</v>
      </c>
      <c r="F37" s="16"/>
      <c r="G37" s="15" t="s">
        <v>75</v>
      </c>
      <c r="H37" s="15" t="s">
        <v>205</v>
      </c>
      <c r="I37" s="16">
        <v>0.25</v>
      </c>
      <c r="J37" s="15" t="s">
        <v>81</v>
      </c>
      <c r="K37" s="15" t="s">
        <v>242</v>
      </c>
      <c r="L37" s="36"/>
      <c r="P37" s="15" t="s">
        <v>84</v>
      </c>
      <c r="Q37" s="15" t="s">
        <v>290</v>
      </c>
      <c r="R37" s="35"/>
      <c r="S37" s="15" t="s">
        <v>86</v>
      </c>
      <c r="T37" s="15" t="s">
        <v>288</v>
      </c>
      <c r="V37" s="15" t="s">
        <v>92</v>
      </c>
      <c r="W37" s="15" t="s">
        <v>359</v>
      </c>
      <c r="X37" s="16"/>
      <c r="AB37" s="15" t="s">
        <v>90</v>
      </c>
      <c r="AC37" s="15" t="s">
        <v>408</v>
      </c>
      <c r="AE37" s="15" t="s">
        <v>78</v>
      </c>
      <c r="AF37" s="15" t="s">
        <v>441</v>
      </c>
      <c r="AG37" s="16">
        <v>0.25</v>
      </c>
      <c r="AH37" s="15" t="s">
        <v>76</v>
      </c>
      <c r="AI37" s="15" t="s">
        <v>475</v>
      </c>
      <c r="AJ37" s="5"/>
      <c r="AK37" s="15" t="s">
        <v>95</v>
      </c>
      <c r="AL37" s="15" t="s">
        <v>508</v>
      </c>
      <c r="AM37" s="16"/>
      <c r="AN37" s="15" t="s">
        <v>43</v>
      </c>
      <c r="AO37" s="15" t="s">
        <v>537</v>
      </c>
      <c r="AR37" s="5"/>
      <c r="AT37" s="16"/>
      <c r="AU37" s="33">
        <v>46202.035416666666</v>
      </c>
      <c r="AV37" s="14">
        <v>1</v>
      </c>
      <c r="AZ37" s="15" t="s">
        <v>89</v>
      </c>
      <c r="BA37" s="15" t="s">
        <v>621</v>
      </c>
      <c r="BC37" s="15" t="s">
        <v>93</v>
      </c>
      <c r="BD37" s="15" t="s">
        <v>652</v>
      </c>
      <c r="BE37" s="29"/>
      <c r="BH37" s="36"/>
      <c r="BJ37" s="47">
        <v>46201.503472222219</v>
      </c>
      <c r="BK37">
        <v>1</v>
      </c>
      <c r="BL37" s="15" t="s">
        <v>79</v>
      </c>
      <c r="BM37" s="15" t="s">
        <v>446</v>
      </c>
      <c r="BR37" s="15" t="s">
        <v>83</v>
      </c>
      <c r="BS37" s="15" t="s">
        <v>203</v>
      </c>
      <c r="BU37" s="15" t="s">
        <v>77</v>
      </c>
      <c r="BV37" s="15" t="s">
        <v>660</v>
      </c>
      <c r="BZ37" s="16"/>
      <c r="CA37" s="16"/>
      <c r="CB37" s="15" t="s">
        <v>814</v>
      </c>
      <c r="CC37" s="15" t="s">
        <v>836</v>
      </c>
      <c r="CE37" s="5"/>
      <c r="CH37" s="15" t="s">
        <v>36</v>
      </c>
      <c r="CI37" s="15" t="s">
        <v>534</v>
      </c>
      <c r="CL37" s="16"/>
      <c r="CM37" s="16"/>
      <c r="CN37" s="15" t="s">
        <v>54</v>
      </c>
      <c r="CO37" s="15" t="s">
        <v>914</v>
      </c>
      <c r="CQ37" s="5"/>
      <c r="CV37" s="16"/>
      <c r="CW37" s="16"/>
      <c r="DE37" s="16"/>
      <c r="DF37" s="16"/>
      <c r="DI37" s="16"/>
      <c r="DO37" s="17"/>
      <c r="DR37" s="16"/>
      <c r="DS37" s="16"/>
    </row>
    <row r="38" spans="1:140" x14ac:dyDescent="0.25">
      <c r="A38" s="15"/>
      <c r="B38" s="36">
        <v>46202</v>
      </c>
      <c r="C38" s="9">
        <v>0.5</v>
      </c>
      <c r="D38" s="15" t="s">
        <v>96</v>
      </c>
      <c r="E38" s="15" t="s">
        <v>173</v>
      </c>
      <c r="F38" s="16">
        <v>0.25</v>
      </c>
      <c r="G38" s="15" t="s">
        <v>75</v>
      </c>
      <c r="H38" s="15" t="s">
        <v>206</v>
      </c>
      <c r="I38" s="16"/>
      <c r="J38" s="15" t="s">
        <v>81</v>
      </c>
      <c r="K38" s="15" t="s">
        <v>243</v>
      </c>
      <c r="P38" s="15" t="s">
        <v>84</v>
      </c>
      <c r="Q38" s="15" t="s">
        <v>291</v>
      </c>
      <c r="R38" s="20">
        <v>0.25</v>
      </c>
      <c r="S38" s="15" t="s">
        <v>82</v>
      </c>
      <c r="T38" s="15" t="s">
        <v>324</v>
      </c>
      <c r="V38" s="15" t="s">
        <v>92</v>
      </c>
      <c r="W38" s="15" t="s">
        <v>360</v>
      </c>
      <c r="X38" s="16"/>
      <c r="AB38" s="15" t="s">
        <v>90</v>
      </c>
      <c r="AC38" s="15" t="s">
        <v>141</v>
      </c>
      <c r="AE38" s="15" t="s">
        <v>78</v>
      </c>
      <c r="AF38" s="15" t="s">
        <v>442</v>
      </c>
      <c r="AG38" s="16"/>
      <c r="AH38" s="15" t="s">
        <v>76</v>
      </c>
      <c r="AI38" s="15" t="s">
        <v>352</v>
      </c>
      <c r="AJ38" s="5"/>
      <c r="AK38" s="15" t="s">
        <v>95</v>
      </c>
      <c r="AL38" s="15" t="s">
        <v>509</v>
      </c>
      <c r="AM38" s="16"/>
      <c r="AN38" s="15" t="s">
        <v>43</v>
      </c>
      <c r="AO38" s="15" t="s">
        <v>538</v>
      </c>
      <c r="AQ38" s="16"/>
      <c r="AR38" s="16"/>
      <c r="AT38" s="16"/>
      <c r="AU38" s="16"/>
      <c r="AZ38" s="15" t="s">
        <v>89</v>
      </c>
      <c r="BA38" s="15" t="s">
        <v>567</v>
      </c>
      <c r="BC38" s="15" t="s">
        <v>93</v>
      </c>
      <c r="BD38" s="15" t="s">
        <v>653</v>
      </c>
      <c r="BE38" s="29"/>
      <c r="BH38" s="36"/>
      <c r="BJ38" s="47">
        <v>46203.47152777778</v>
      </c>
      <c r="BK38">
        <v>0.25</v>
      </c>
      <c r="BL38" s="15" t="s">
        <v>79</v>
      </c>
      <c r="BM38" s="15" t="s">
        <v>446</v>
      </c>
      <c r="BR38" s="15" t="s">
        <v>83</v>
      </c>
      <c r="BS38" s="15" t="s">
        <v>759</v>
      </c>
      <c r="BU38" s="15" t="s">
        <v>77</v>
      </c>
      <c r="BV38" s="15" t="s">
        <v>788</v>
      </c>
      <c r="BZ38" s="16"/>
      <c r="CA38" s="16"/>
      <c r="CB38" s="15" t="s">
        <v>814</v>
      </c>
      <c r="CC38" s="15" t="s">
        <v>837</v>
      </c>
      <c r="CE38" s="5"/>
      <c r="CH38" s="15" t="s">
        <v>949</v>
      </c>
      <c r="CI38" s="15" t="s">
        <v>140</v>
      </c>
      <c r="CJ38">
        <v>0</v>
      </c>
      <c r="CL38" s="16"/>
      <c r="CM38" s="16"/>
      <c r="CN38" s="15" t="s">
        <v>54</v>
      </c>
      <c r="CO38" s="15" t="s">
        <v>915</v>
      </c>
      <c r="CP38" s="16"/>
      <c r="CQ38" s="16"/>
      <c r="CV38" s="16"/>
      <c r="CW38" s="16"/>
      <c r="DE38" s="16"/>
      <c r="DF38" s="16"/>
      <c r="DI38" s="16"/>
      <c r="DO38" s="37"/>
      <c r="DR38" s="16"/>
      <c r="DS38" s="16"/>
    </row>
    <row r="39" spans="1:140" x14ac:dyDescent="0.25">
      <c r="B39" s="36">
        <v>46203</v>
      </c>
      <c r="C39" s="9">
        <v>1</v>
      </c>
      <c r="D39" s="15" t="s">
        <v>96</v>
      </c>
      <c r="E39" s="15" t="s">
        <v>174</v>
      </c>
      <c r="F39" s="16"/>
      <c r="G39" s="15" t="s">
        <v>75</v>
      </c>
      <c r="H39" s="15" t="s">
        <v>207</v>
      </c>
      <c r="I39" s="28"/>
      <c r="K39" s="36">
        <v>46202</v>
      </c>
      <c r="P39" s="15" t="s">
        <v>84</v>
      </c>
      <c r="Q39" s="15" t="s">
        <v>292</v>
      </c>
      <c r="R39" s="35"/>
      <c r="S39" s="15" t="s">
        <v>86</v>
      </c>
      <c r="T39" s="15" t="s">
        <v>325</v>
      </c>
      <c r="V39" s="15" t="s">
        <v>92</v>
      </c>
      <c r="W39" s="15" t="s">
        <v>361</v>
      </c>
      <c r="X39" s="16"/>
      <c r="AB39" s="15" t="s">
        <v>90</v>
      </c>
      <c r="AC39" s="15" t="s">
        <v>242</v>
      </c>
      <c r="AE39" s="15" t="s">
        <v>78</v>
      </c>
      <c r="AF39" s="15" t="s">
        <v>443</v>
      </c>
      <c r="AG39" s="16">
        <v>0.25</v>
      </c>
      <c r="AH39" s="15" t="s">
        <v>76</v>
      </c>
      <c r="AI39" s="15" t="s">
        <v>476</v>
      </c>
      <c r="AJ39" s="16"/>
      <c r="AK39" s="28"/>
      <c r="AM39" s="16"/>
      <c r="AN39" s="16"/>
      <c r="AO39" s="33">
        <v>46202.460416666669</v>
      </c>
      <c r="AQ39" s="16"/>
      <c r="AR39" s="16"/>
      <c r="AT39" s="16"/>
      <c r="AU39" s="16"/>
      <c r="AZ39" s="15" t="s">
        <v>82</v>
      </c>
      <c r="BA39" s="15" t="s">
        <v>568</v>
      </c>
      <c r="BD39" s="47">
        <v>46202.522916666669</v>
      </c>
      <c r="BE39" s="36"/>
      <c r="BL39" s="15" t="s">
        <v>79</v>
      </c>
      <c r="BM39" s="15" t="s">
        <v>447</v>
      </c>
      <c r="BR39" s="15" t="s">
        <v>83</v>
      </c>
      <c r="BS39" s="15" t="s">
        <v>445</v>
      </c>
      <c r="BU39" s="15" t="s">
        <v>77</v>
      </c>
      <c r="BV39" s="15" t="s">
        <v>789</v>
      </c>
      <c r="CB39" s="15" t="s">
        <v>814</v>
      </c>
      <c r="CC39" s="15" t="s">
        <v>538</v>
      </c>
      <c r="CD39" s="16"/>
      <c r="CE39" s="16"/>
      <c r="CH39" s="15"/>
      <c r="CI39" s="15" t="s">
        <v>879</v>
      </c>
      <c r="CL39" s="16"/>
      <c r="CM39" s="16"/>
      <c r="CN39" s="15" t="s">
        <v>54</v>
      </c>
      <c r="CO39" s="15" t="s">
        <v>240</v>
      </c>
      <c r="CP39" s="16"/>
      <c r="CQ39" s="16"/>
      <c r="CV39" s="16"/>
      <c r="CW39" s="16"/>
      <c r="DE39" s="16"/>
      <c r="DF39" s="16"/>
      <c r="DI39" s="16"/>
      <c r="DO39" s="37"/>
    </row>
    <row r="40" spans="1:140" x14ac:dyDescent="0.25">
      <c r="D40" s="19"/>
      <c r="E40" s="15" t="s">
        <v>175</v>
      </c>
      <c r="F40" s="16">
        <v>0.5</v>
      </c>
      <c r="G40" s="15" t="s">
        <v>75</v>
      </c>
      <c r="H40" s="15" t="s">
        <v>208</v>
      </c>
      <c r="I40" s="27"/>
      <c r="P40" s="15" t="s">
        <v>84</v>
      </c>
      <c r="Q40" s="15" t="s">
        <v>293</v>
      </c>
      <c r="S40" s="15" t="s">
        <v>82</v>
      </c>
      <c r="T40" s="15" t="s">
        <v>326</v>
      </c>
      <c r="W40" s="47">
        <v>46202.502083333333</v>
      </c>
      <c r="X40" s="20">
        <v>1</v>
      </c>
      <c r="AB40" s="15" t="s">
        <v>90</v>
      </c>
      <c r="AC40" s="15" t="s">
        <v>293</v>
      </c>
      <c r="AE40" s="15" t="s">
        <v>78</v>
      </c>
      <c r="AF40" s="15" t="s">
        <v>444</v>
      </c>
      <c r="AG40" s="16"/>
      <c r="AH40" s="15" t="s">
        <v>76</v>
      </c>
      <c r="AI40" s="15" t="s">
        <v>253</v>
      </c>
      <c r="AJ40" s="16"/>
      <c r="AK40" s="16"/>
      <c r="AM40" s="16"/>
      <c r="AN40" s="16"/>
      <c r="AO40" s="33">
        <v>46203.460416666669</v>
      </c>
      <c r="AP40">
        <v>0.5</v>
      </c>
      <c r="AQ40" s="16"/>
      <c r="AR40" s="16"/>
      <c r="AT40" s="16"/>
      <c r="AU40" s="16"/>
      <c r="AZ40" s="15" t="s">
        <v>82</v>
      </c>
      <c r="BA40" s="15" t="s">
        <v>570</v>
      </c>
      <c r="BD40" s="47">
        <v>46203.526388888888</v>
      </c>
      <c r="BL40" s="15" t="s">
        <v>79</v>
      </c>
      <c r="BM40" s="15" t="s">
        <v>448</v>
      </c>
      <c r="BN40">
        <v>0.25</v>
      </c>
      <c r="BR40" s="15" t="s">
        <v>83</v>
      </c>
      <c r="BS40" s="15" t="s">
        <v>760</v>
      </c>
      <c r="BU40" s="15" t="s">
        <v>77</v>
      </c>
      <c r="BV40" s="15" t="s">
        <v>790</v>
      </c>
      <c r="CD40" s="16"/>
      <c r="CE40" s="16"/>
      <c r="CH40" s="15" t="s">
        <v>36</v>
      </c>
      <c r="CI40" s="15" t="s">
        <v>259</v>
      </c>
      <c r="CL40" s="16"/>
      <c r="CM40" s="16"/>
      <c r="CN40" s="15" t="s">
        <v>54</v>
      </c>
      <c r="CO40" s="15" t="s">
        <v>916</v>
      </c>
      <c r="CP40" s="16"/>
      <c r="CQ40" s="16"/>
      <c r="CV40" s="16"/>
      <c r="CW40" s="16"/>
    </row>
    <row r="41" spans="1:140" x14ac:dyDescent="0.25">
      <c r="E41" s="44">
        <v>46202</v>
      </c>
      <c r="F41" s="16">
        <v>0.25</v>
      </c>
      <c r="G41" s="15" t="s">
        <v>75</v>
      </c>
      <c r="H41" s="15" t="s">
        <v>209</v>
      </c>
      <c r="I41" s="16"/>
      <c r="Q41" s="47">
        <v>46202.493750000001</v>
      </c>
      <c r="R41" s="7" t="s">
        <v>962</v>
      </c>
      <c r="S41" s="15" t="s">
        <v>86</v>
      </c>
      <c r="T41" s="15" t="s">
        <v>327</v>
      </c>
      <c r="W41" s="47">
        <v>46203.453472222223</v>
      </c>
      <c r="X41" s="37"/>
      <c r="AE41" s="15" t="s">
        <v>78</v>
      </c>
      <c r="AF41" s="15" t="s">
        <v>445</v>
      </c>
      <c r="AG41" s="16"/>
      <c r="AH41" s="15" t="s">
        <v>76</v>
      </c>
      <c r="AI41" s="15" t="s">
        <v>477</v>
      </c>
      <c r="AJ41" s="16"/>
      <c r="AK41" s="16"/>
      <c r="AM41" s="16"/>
      <c r="AN41" s="16"/>
      <c r="AT41" s="16"/>
      <c r="AU41" s="16"/>
      <c r="AZ41" s="15" t="s">
        <v>89</v>
      </c>
      <c r="BA41" s="15" t="s">
        <v>622</v>
      </c>
      <c r="BM41" s="241">
        <v>46203.477777777778</v>
      </c>
      <c r="BN41">
        <v>0.25</v>
      </c>
      <c r="BR41" s="15" t="s">
        <v>83</v>
      </c>
      <c r="BS41" s="15" t="s">
        <v>141</v>
      </c>
      <c r="BU41" s="15" t="s">
        <v>77</v>
      </c>
      <c r="BV41" s="15" t="s">
        <v>791</v>
      </c>
      <c r="CD41" s="16"/>
      <c r="CE41" s="16"/>
      <c r="CH41" s="15" t="s">
        <v>36</v>
      </c>
      <c r="CI41" s="15" t="s">
        <v>880</v>
      </c>
      <c r="CL41" s="16"/>
      <c r="CM41" s="16"/>
      <c r="CN41" s="15" t="s">
        <v>54</v>
      </c>
      <c r="CO41" s="15" t="s">
        <v>917</v>
      </c>
      <c r="CP41" s="16"/>
      <c r="CQ41" s="16"/>
      <c r="CV41" s="16"/>
      <c r="CW41" s="16"/>
    </row>
    <row r="42" spans="1:140" x14ac:dyDescent="0.25">
      <c r="F42" s="35"/>
      <c r="H42" s="35">
        <v>46202</v>
      </c>
      <c r="I42" s="16"/>
      <c r="Q42" s="47">
        <v>46203.497916666667</v>
      </c>
      <c r="R42" s="7" t="s">
        <v>962</v>
      </c>
      <c r="S42" s="15" t="s">
        <v>86</v>
      </c>
      <c r="T42" s="36">
        <v>46201</v>
      </c>
      <c r="U42">
        <v>0.5</v>
      </c>
      <c r="X42" s="36"/>
      <c r="AE42" s="15" t="s">
        <v>78</v>
      </c>
      <c r="AF42" s="15" t="s">
        <v>206</v>
      </c>
      <c r="AG42" s="16"/>
      <c r="AH42" s="15" t="s">
        <v>76</v>
      </c>
      <c r="AI42" s="15" t="s">
        <v>477</v>
      </c>
      <c r="AJ42" s="16"/>
      <c r="AK42" s="16"/>
      <c r="AM42" s="16"/>
      <c r="AN42" s="16"/>
      <c r="AZ42" s="15" t="s">
        <v>82</v>
      </c>
      <c r="BA42" s="15" t="s">
        <v>623</v>
      </c>
      <c r="BR42" s="15" t="s">
        <v>83</v>
      </c>
      <c r="BS42" s="15" t="s">
        <v>761</v>
      </c>
      <c r="BU42" s="15" t="s">
        <v>77</v>
      </c>
      <c r="BV42" s="15" t="s">
        <v>361</v>
      </c>
      <c r="CD42" s="16"/>
      <c r="CE42" s="16"/>
      <c r="CL42" s="16"/>
      <c r="CM42" s="16"/>
      <c r="CN42" s="15" t="s">
        <v>54</v>
      </c>
      <c r="CO42" s="15" t="s">
        <v>837</v>
      </c>
      <c r="CP42" s="16"/>
      <c r="CQ42" s="16"/>
    </row>
    <row r="43" spans="1:140" x14ac:dyDescent="0.25">
      <c r="F43" s="28"/>
      <c r="H43" s="39" t="s">
        <v>960</v>
      </c>
      <c r="I43">
        <v>0.25</v>
      </c>
      <c r="S43" s="15" t="s">
        <v>964</v>
      </c>
      <c r="T43" s="36">
        <v>46202.586111111108</v>
      </c>
      <c r="AE43" s="15" t="s">
        <v>78</v>
      </c>
      <c r="AF43" s="15" t="s">
        <v>446</v>
      </c>
      <c r="AG43" s="16"/>
      <c r="AH43" s="15" t="s">
        <v>76</v>
      </c>
      <c r="AI43" s="15" t="s">
        <v>354</v>
      </c>
      <c r="AJ43" s="16"/>
      <c r="AK43" s="16"/>
      <c r="AZ43" s="15" t="s">
        <v>89</v>
      </c>
      <c r="BA43" s="15" t="s">
        <v>624</v>
      </c>
      <c r="BR43" s="15" t="s">
        <v>83</v>
      </c>
      <c r="BS43" s="15" t="s">
        <v>762</v>
      </c>
      <c r="CD43" s="16"/>
      <c r="CE43" s="16"/>
      <c r="CN43" s="15" t="s">
        <v>54</v>
      </c>
      <c r="CO43" s="15" t="s">
        <v>242</v>
      </c>
      <c r="CP43" s="16"/>
      <c r="CQ43" s="16"/>
    </row>
    <row r="44" spans="1:140" x14ac:dyDescent="0.25">
      <c r="F44" s="35"/>
      <c r="S44" s="15" t="s">
        <v>963</v>
      </c>
      <c r="T44" s="36">
        <v>46203</v>
      </c>
      <c r="AE44" s="15" t="s">
        <v>78</v>
      </c>
      <c r="AF44" s="15" t="s">
        <v>447</v>
      </c>
      <c r="AG44" s="16"/>
      <c r="AH44" s="15" t="s">
        <v>76</v>
      </c>
      <c r="AI44" s="15" t="s">
        <v>478</v>
      </c>
      <c r="AJ44" s="16"/>
      <c r="AK44" s="16"/>
      <c r="AZ44" s="16"/>
      <c r="BA44" s="33">
        <v>46201.052083333336</v>
      </c>
      <c r="BB44">
        <v>1</v>
      </c>
      <c r="BR44" s="16"/>
      <c r="BS44" s="16"/>
      <c r="CD44" s="16"/>
      <c r="CE44" s="16"/>
      <c r="CN44" s="15" t="s">
        <v>54</v>
      </c>
      <c r="CO44" s="15" t="s">
        <v>361</v>
      </c>
      <c r="CP44" s="16"/>
      <c r="CQ44" s="16"/>
    </row>
    <row r="45" spans="1:140" x14ac:dyDescent="0.25">
      <c r="AE45" s="15" t="s">
        <v>78</v>
      </c>
      <c r="AF45" s="15" t="s">
        <v>448</v>
      </c>
      <c r="AH45" s="15" t="s">
        <v>76</v>
      </c>
      <c r="AI45" s="15" t="s">
        <v>479</v>
      </c>
      <c r="AZ45" s="16"/>
      <c r="BA45" s="33">
        <v>46202.052083333336</v>
      </c>
      <c r="BB45">
        <v>1</v>
      </c>
      <c r="CD45" s="16"/>
      <c r="CE45" s="16"/>
    </row>
    <row r="46" spans="1:140" x14ac:dyDescent="0.25">
      <c r="AF46" s="47">
        <v>46203.474305555559</v>
      </c>
      <c r="AG46">
        <v>0.25</v>
      </c>
      <c r="AH46" s="15" t="s">
        <v>76</v>
      </c>
      <c r="AI46" s="15" t="s">
        <v>480</v>
      </c>
      <c r="AZ46" s="16"/>
      <c r="BA46" s="16"/>
    </row>
    <row r="47" spans="1:140" x14ac:dyDescent="0.25">
      <c r="AH47" s="15" t="s">
        <v>76</v>
      </c>
      <c r="AI47" s="15" t="s">
        <v>481</v>
      </c>
      <c r="AZ47" s="16"/>
      <c r="BA47" s="16"/>
    </row>
    <row r="48" spans="1:140" x14ac:dyDescent="0.25">
      <c r="AH48" s="15" t="s">
        <v>76</v>
      </c>
      <c r="AI48" s="15" t="s">
        <v>481</v>
      </c>
      <c r="AZ48" s="16"/>
      <c r="BA48" s="16"/>
    </row>
    <row r="49" spans="34:53" x14ac:dyDescent="0.25">
      <c r="AH49" s="15" t="s">
        <v>76</v>
      </c>
      <c r="AI49" s="15" t="s">
        <v>482</v>
      </c>
      <c r="AZ49" s="16"/>
      <c r="BA49" s="16"/>
    </row>
    <row r="50" spans="34:53" x14ac:dyDescent="0.25">
      <c r="AH50" s="15" t="s">
        <v>76</v>
      </c>
      <c r="AI50" s="15" t="s">
        <v>483</v>
      </c>
    </row>
    <row r="51" spans="34:53" x14ac:dyDescent="0.25">
      <c r="AH51" s="15" t="s">
        <v>76</v>
      </c>
      <c r="AI51" s="15" t="s">
        <v>242</v>
      </c>
    </row>
    <row r="52" spans="34:53" x14ac:dyDescent="0.25">
      <c r="AH52" s="15" t="s">
        <v>76</v>
      </c>
      <c r="AI52" s="15" t="s">
        <v>242</v>
      </c>
    </row>
    <row r="53" spans="34:53" x14ac:dyDescent="0.25">
      <c r="AH53" s="15" t="s">
        <v>76</v>
      </c>
      <c r="AI53" s="15" t="s">
        <v>484</v>
      </c>
    </row>
  </sheetData>
  <mergeCells count="1">
    <mergeCell ref="AZ1:BA1"/>
  </mergeCells>
  <phoneticPr fontId="4" type="noConversion"/>
  <pageMargins left="0.7" right="0.7" top="0.75" bottom="0.75" header="0.3" footer="0.3"/>
  <pageSetup paperSize="9" scale="69" orientation="portrait" horizontalDpi="360" verticalDpi="360" r:id="rId1"/>
  <colBreaks count="10" manualBreakCount="10">
    <brk id="29" max="48" man="1"/>
    <brk id="38" max="48" man="1"/>
    <brk id="48" max="48" man="1"/>
    <brk id="58" max="48" man="1"/>
    <brk id="68" max="48" man="1"/>
    <brk id="80" max="48" man="1"/>
    <brk id="92" max="48" man="1"/>
    <brk id="111" max="48" man="1"/>
    <brk id="117" max="48" man="1"/>
    <brk id="138" max="48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98730-E071-408A-80A1-AF26D85A822F}">
  <dimension ref="A1:X69"/>
  <sheetViews>
    <sheetView tabSelected="1" view="pageBreakPreview" topLeftCell="A44" zoomScale="60" zoomScaleNormal="101" workbookViewId="0">
      <selection sqref="A1:P53"/>
    </sheetView>
  </sheetViews>
  <sheetFormatPr defaultColWidth="8.7109375" defaultRowHeight="26.25" x14ac:dyDescent="0.4"/>
  <cols>
    <col min="1" max="1" width="4.85546875" style="57" bestFit="1" customWidth="1"/>
    <col min="2" max="2" width="55.5703125" style="57" customWidth="1"/>
    <col min="3" max="3" width="15.42578125" style="76" customWidth="1"/>
    <col min="4" max="4" width="16.7109375" style="57" bestFit="1" customWidth="1"/>
    <col min="5" max="5" width="12.5703125" style="57" bestFit="1" customWidth="1"/>
    <col min="6" max="6" width="20.85546875" style="57" bestFit="1" customWidth="1"/>
    <col min="7" max="7" width="12.85546875" style="57" bestFit="1" customWidth="1"/>
    <col min="8" max="8" width="17.140625" style="103" bestFit="1" customWidth="1"/>
    <col min="9" max="9" width="8.7109375" style="57"/>
    <col min="10" max="10" width="3.5703125" style="57" bestFit="1" customWidth="1"/>
    <col min="11" max="11" width="31.42578125" style="57" bestFit="1" customWidth="1"/>
    <col min="12" max="12" width="21.85546875" style="57" bestFit="1" customWidth="1"/>
    <col min="13" max="13" width="16.7109375" style="57" bestFit="1" customWidth="1"/>
    <col min="14" max="14" width="12.5703125" style="57" bestFit="1" customWidth="1"/>
    <col min="15" max="15" width="12.85546875" style="57" bestFit="1" customWidth="1"/>
    <col min="16" max="16" width="13.42578125" style="57" bestFit="1" customWidth="1"/>
    <col min="17" max="16384" width="8.7109375" style="57"/>
  </cols>
  <sheetData>
    <row r="1" spans="1:24" ht="28.5" customHeight="1" x14ac:dyDescent="0.4">
      <c r="A1" s="61"/>
      <c r="B1" s="302" t="s">
        <v>103</v>
      </c>
      <c r="C1" s="302"/>
      <c r="D1" s="302"/>
      <c r="E1" s="302"/>
      <c r="F1" s="302"/>
      <c r="G1" s="302"/>
      <c r="H1" s="302"/>
      <c r="J1" s="303" t="s">
        <v>105</v>
      </c>
      <c r="K1" s="304"/>
      <c r="L1" s="304"/>
      <c r="M1" s="304"/>
      <c r="N1" s="304"/>
      <c r="O1" s="304"/>
      <c r="P1" s="304"/>
    </row>
    <row r="2" spans="1:24" s="67" customFormat="1" x14ac:dyDescent="0.4">
      <c r="A2" s="62" t="s">
        <v>0</v>
      </c>
      <c r="B2" s="63" t="s">
        <v>69</v>
      </c>
      <c r="C2" s="63" t="s">
        <v>65</v>
      </c>
      <c r="D2" s="63" t="s">
        <v>68</v>
      </c>
      <c r="E2" s="63" t="s">
        <v>67</v>
      </c>
      <c r="F2" s="64" t="s">
        <v>8</v>
      </c>
      <c r="G2" s="65" t="s">
        <v>55</v>
      </c>
      <c r="H2" s="66" t="s">
        <v>11</v>
      </c>
      <c r="J2" s="68" t="s">
        <v>0</v>
      </c>
      <c r="K2" s="69" t="s">
        <v>1</v>
      </c>
      <c r="L2" s="69" t="s">
        <v>65</v>
      </c>
      <c r="M2" s="70" t="s">
        <v>68</v>
      </c>
      <c r="N2" s="70" t="s">
        <v>67</v>
      </c>
      <c r="O2" s="71" t="s">
        <v>55</v>
      </c>
      <c r="P2" s="70" t="s">
        <v>11</v>
      </c>
    </row>
    <row r="3" spans="1:24" x14ac:dyDescent="0.4">
      <c r="A3" s="57">
        <v>1</v>
      </c>
      <c r="B3" s="72" t="s">
        <v>15</v>
      </c>
      <c r="C3" s="107">
        <v>18000</v>
      </c>
      <c r="D3" s="73">
        <v>2</v>
      </c>
      <c r="E3" s="73">
        <v>2.75</v>
      </c>
      <c r="F3" s="73">
        <v>2.75</v>
      </c>
      <c r="G3" s="73">
        <v>5000</v>
      </c>
      <c r="H3" s="74">
        <v>11350</v>
      </c>
      <c r="J3" s="72">
        <v>1</v>
      </c>
      <c r="K3" s="75" t="s">
        <v>72</v>
      </c>
      <c r="L3" s="73">
        <v>15000</v>
      </c>
      <c r="M3" s="73">
        <v>0</v>
      </c>
      <c r="N3" s="73">
        <v>0</v>
      </c>
      <c r="O3" s="76">
        <v>0</v>
      </c>
      <c r="P3" s="77">
        <v>15000</v>
      </c>
    </row>
    <row r="4" spans="1:24" x14ac:dyDescent="0.4">
      <c r="A4" s="57">
        <v>2</v>
      </c>
      <c r="B4" s="72" t="s">
        <v>957</v>
      </c>
      <c r="C4" s="107">
        <v>7000</v>
      </c>
      <c r="D4" s="73">
        <v>14</v>
      </c>
      <c r="E4" s="73">
        <v>3</v>
      </c>
      <c r="F4" s="73">
        <v>17</v>
      </c>
      <c r="G4" s="73">
        <v>0</v>
      </c>
      <c r="H4" s="74">
        <v>2975</v>
      </c>
      <c r="J4" s="72">
        <v>2</v>
      </c>
      <c r="K4" s="75" t="s">
        <v>73</v>
      </c>
      <c r="L4" s="73">
        <v>7000</v>
      </c>
      <c r="M4" s="78">
        <v>5</v>
      </c>
      <c r="N4" s="78">
        <v>3.5</v>
      </c>
      <c r="O4" s="79">
        <v>0</v>
      </c>
      <c r="P4" s="80" t="e">
        <f>#REF!</f>
        <v>#REF!</v>
      </c>
    </row>
    <row r="5" spans="1:24" x14ac:dyDescent="0.4">
      <c r="A5" s="57">
        <v>3</v>
      </c>
      <c r="B5" s="72" t="s">
        <v>41</v>
      </c>
      <c r="C5" s="107">
        <v>7000</v>
      </c>
      <c r="D5" s="73">
        <v>4</v>
      </c>
      <c r="E5" s="73">
        <v>0.25</v>
      </c>
      <c r="F5" s="73">
        <v>4.25</v>
      </c>
      <c r="G5" s="73">
        <v>0</v>
      </c>
      <c r="H5" s="74">
        <v>5775</v>
      </c>
      <c r="J5" s="72">
        <v>3</v>
      </c>
      <c r="K5" s="75" t="s">
        <v>62</v>
      </c>
      <c r="L5" s="73">
        <v>10000</v>
      </c>
      <c r="M5" s="73">
        <v>0</v>
      </c>
      <c r="N5" s="73">
        <v>0.25</v>
      </c>
      <c r="O5" s="73">
        <v>0</v>
      </c>
      <c r="P5" s="77">
        <v>9917</v>
      </c>
    </row>
    <row r="6" spans="1:24" x14ac:dyDescent="0.4">
      <c r="A6" s="57">
        <v>4</v>
      </c>
      <c r="B6" s="72" t="s">
        <v>50</v>
      </c>
      <c r="C6" s="107">
        <v>8000</v>
      </c>
      <c r="D6" s="73">
        <v>3</v>
      </c>
      <c r="E6" s="73">
        <v>0</v>
      </c>
      <c r="F6" s="73">
        <v>1</v>
      </c>
      <c r="G6" s="73">
        <v>0</v>
      </c>
      <c r="H6" s="74">
        <v>7200</v>
      </c>
    </row>
    <row r="7" spans="1:24" x14ac:dyDescent="0.4">
      <c r="A7" s="57">
        <v>5</v>
      </c>
      <c r="B7" s="72" t="s">
        <v>17</v>
      </c>
      <c r="C7" s="107">
        <v>10000</v>
      </c>
      <c r="D7" s="73">
        <v>7</v>
      </c>
      <c r="E7" s="73">
        <v>5</v>
      </c>
      <c r="F7" s="73">
        <v>5</v>
      </c>
      <c r="G7" s="73">
        <v>0</v>
      </c>
      <c r="H7" s="74">
        <v>5000</v>
      </c>
      <c r="J7" s="83"/>
      <c r="K7" s="83"/>
      <c r="L7" s="84" t="s">
        <v>107</v>
      </c>
      <c r="M7" s="84"/>
      <c r="N7" s="84"/>
      <c r="O7" s="84"/>
      <c r="P7" s="84"/>
    </row>
    <row r="8" spans="1:24" x14ac:dyDescent="0.4">
      <c r="A8" s="57">
        <v>6</v>
      </c>
      <c r="B8" s="72" t="s">
        <v>18</v>
      </c>
      <c r="C8" s="107">
        <v>8000</v>
      </c>
      <c r="D8" s="73">
        <v>0</v>
      </c>
      <c r="E8" s="73">
        <v>1</v>
      </c>
      <c r="F8" s="73">
        <v>1</v>
      </c>
      <c r="G8" s="73">
        <v>0</v>
      </c>
      <c r="H8" s="74">
        <v>7733</v>
      </c>
      <c r="J8" s="68" t="s">
        <v>0</v>
      </c>
      <c r="K8" s="85" t="s">
        <v>69</v>
      </c>
      <c r="L8" s="85" t="s">
        <v>65</v>
      </c>
      <c r="M8" s="85" t="s">
        <v>68</v>
      </c>
      <c r="N8" s="85" t="s">
        <v>67</v>
      </c>
      <c r="O8" s="86" t="s">
        <v>55</v>
      </c>
      <c r="P8" s="87" t="s">
        <v>11</v>
      </c>
    </row>
    <row r="9" spans="1:24" x14ac:dyDescent="0.4">
      <c r="A9" s="57">
        <v>7</v>
      </c>
      <c r="B9" s="72" t="s">
        <v>66</v>
      </c>
      <c r="C9" s="107">
        <v>9000</v>
      </c>
      <c r="D9" s="73">
        <v>3</v>
      </c>
      <c r="E9" s="73">
        <v>2</v>
      </c>
      <c r="F9" s="73">
        <v>5</v>
      </c>
      <c r="G9" s="73">
        <v>0</v>
      </c>
      <c r="H9" s="74">
        <v>7500</v>
      </c>
      <c r="J9" s="72">
        <v>1</v>
      </c>
      <c r="K9" s="72" t="s">
        <v>59</v>
      </c>
      <c r="L9" s="72">
        <v>7000</v>
      </c>
      <c r="M9" s="72">
        <v>0</v>
      </c>
      <c r="N9" s="72">
        <v>0</v>
      </c>
      <c r="O9" s="72">
        <v>0</v>
      </c>
      <c r="P9" s="88">
        <v>7000</v>
      </c>
    </row>
    <row r="10" spans="1:24" x14ac:dyDescent="0.4">
      <c r="A10" s="57">
        <v>8</v>
      </c>
      <c r="B10" s="72" t="s">
        <v>31</v>
      </c>
      <c r="C10" s="107">
        <v>8000</v>
      </c>
      <c r="D10" s="73">
        <v>0</v>
      </c>
      <c r="E10" s="73">
        <v>0</v>
      </c>
      <c r="F10" s="73">
        <v>0</v>
      </c>
      <c r="G10" s="73">
        <v>0</v>
      </c>
      <c r="H10" s="74">
        <v>8000</v>
      </c>
      <c r="J10" s="81"/>
      <c r="K10" s="81"/>
      <c r="L10" s="81"/>
      <c r="M10" s="81"/>
      <c r="N10" s="81"/>
      <c r="O10" s="81"/>
      <c r="P10" s="82" t="e">
        <f>SUM(P3:P9)</f>
        <v>#REF!</v>
      </c>
    </row>
    <row r="11" spans="1:24" x14ac:dyDescent="0.4">
      <c r="A11" s="57">
        <v>9</v>
      </c>
      <c r="B11" s="72" t="s">
        <v>19</v>
      </c>
      <c r="C11" s="107">
        <v>8000</v>
      </c>
      <c r="D11" s="73">
        <v>0</v>
      </c>
      <c r="E11" s="73">
        <v>1.75</v>
      </c>
      <c r="F11" s="73">
        <v>1.75</v>
      </c>
      <c r="G11" s="73">
        <v>0</v>
      </c>
      <c r="H11" s="74">
        <v>7533</v>
      </c>
    </row>
    <row r="12" spans="1:24" x14ac:dyDescent="0.4">
      <c r="A12" s="57">
        <v>10</v>
      </c>
      <c r="B12" s="72" t="s">
        <v>40</v>
      </c>
      <c r="C12" s="107">
        <v>20000</v>
      </c>
      <c r="D12" s="73">
        <v>0</v>
      </c>
      <c r="E12" s="73">
        <v>2.75</v>
      </c>
      <c r="F12" s="73">
        <v>2.75</v>
      </c>
      <c r="G12" s="73">
        <v>0</v>
      </c>
      <c r="H12" s="74">
        <v>18500</v>
      </c>
    </row>
    <row r="13" spans="1:24" x14ac:dyDescent="0.4">
      <c r="A13" s="57">
        <v>11</v>
      </c>
      <c r="B13" s="72" t="s">
        <v>24</v>
      </c>
      <c r="C13" s="107">
        <v>18000</v>
      </c>
      <c r="D13" s="73">
        <v>0</v>
      </c>
      <c r="E13" s="73">
        <v>8</v>
      </c>
      <c r="F13" s="73">
        <v>8</v>
      </c>
      <c r="G13" s="73">
        <v>0</v>
      </c>
      <c r="H13" s="74" t="e">
        <f>#REF!</f>
        <v>#REF!</v>
      </c>
    </row>
    <row r="14" spans="1:24" x14ac:dyDescent="0.4">
      <c r="A14" s="57">
        <v>12</v>
      </c>
      <c r="B14" s="72" t="s">
        <v>38</v>
      </c>
      <c r="C14" s="107">
        <v>7000</v>
      </c>
      <c r="D14" s="73">
        <v>0</v>
      </c>
      <c r="E14" s="73">
        <v>1.25</v>
      </c>
      <c r="F14" s="73">
        <v>1.25</v>
      </c>
      <c r="G14" s="73">
        <v>0</v>
      </c>
      <c r="H14" s="74">
        <v>6708</v>
      </c>
      <c r="K14" s="89"/>
    </row>
    <row r="15" spans="1:24" x14ac:dyDescent="0.4">
      <c r="A15" s="57">
        <v>13</v>
      </c>
      <c r="B15" s="72" t="s">
        <v>30</v>
      </c>
      <c r="C15" s="107">
        <v>12000</v>
      </c>
      <c r="D15" s="73">
        <v>0</v>
      </c>
      <c r="E15" s="73">
        <v>3.5</v>
      </c>
      <c r="F15" s="73">
        <v>3.5</v>
      </c>
      <c r="G15" s="73">
        <v>0</v>
      </c>
      <c r="H15" s="74">
        <v>10600</v>
      </c>
      <c r="K15" s="90"/>
      <c r="L15" s="90"/>
      <c r="M15" s="90"/>
      <c r="N15" s="90"/>
      <c r="O15" s="90"/>
      <c r="P15" s="90"/>
      <c r="Q15" s="90"/>
      <c r="R15" s="90"/>
      <c r="S15" s="90"/>
      <c r="T15" s="91"/>
      <c r="U15" s="91"/>
      <c r="V15" s="92"/>
      <c r="W15" s="92"/>
      <c r="X15" s="93"/>
    </row>
    <row r="16" spans="1:24" x14ac:dyDescent="0.4">
      <c r="A16" s="57">
        <v>14</v>
      </c>
      <c r="B16" s="72" t="s">
        <v>51</v>
      </c>
      <c r="C16" s="107">
        <v>20000</v>
      </c>
      <c r="D16" s="73">
        <v>6</v>
      </c>
      <c r="E16" s="73">
        <v>2.75</v>
      </c>
      <c r="F16" s="73">
        <v>8.75</v>
      </c>
      <c r="G16" s="73">
        <v>0</v>
      </c>
      <c r="H16" s="74" t="e">
        <f>#REF!</f>
        <v>#REF!</v>
      </c>
      <c r="K16" s="1"/>
      <c r="L16" s="94"/>
      <c r="M16" s="95"/>
      <c r="N16" s="96"/>
      <c r="O16" s="97"/>
      <c r="P16" s="97"/>
      <c r="Q16" s="98"/>
      <c r="R16" s="99"/>
      <c r="S16" s="97"/>
      <c r="T16" s="100"/>
      <c r="U16" s="97"/>
      <c r="V16" s="99"/>
      <c r="W16" s="99"/>
      <c r="X16" s="101"/>
    </row>
    <row r="17" spans="1:24" x14ac:dyDescent="0.4">
      <c r="A17" s="57">
        <v>15</v>
      </c>
      <c r="B17" s="72" t="s">
        <v>52</v>
      </c>
      <c r="C17" s="107">
        <v>9000</v>
      </c>
      <c r="D17" s="73">
        <v>1</v>
      </c>
      <c r="E17" s="73">
        <v>1.5</v>
      </c>
      <c r="F17" s="73">
        <v>2.5</v>
      </c>
      <c r="G17" s="73">
        <v>0</v>
      </c>
      <c r="H17" s="74">
        <v>8250</v>
      </c>
      <c r="K17" s="1"/>
      <c r="L17" s="124"/>
      <c r="M17" s="95"/>
      <c r="N17" s="96"/>
      <c r="O17" s="97"/>
      <c r="P17" s="97"/>
      <c r="Q17" s="98"/>
      <c r="R17" s="99"/>
      <c r="S17" s="97"/>
      <c r="T17" s="100"/>
      <c r="U17" s="97"/>
      <c r="V17" s="99"/>
      <c r="W17" s="99"/>
      <c r="X17" s="101"/>
    </row>
    <row r="18" spans="1:24" x14ac:dyDescent="0.4">
      <c r="A18" s="63"/>
      <c r="B18" s="63"/>
      <c r="C18" s="63"/>
      <c r="D18" s="63"/>
      <c r="E18" s="63"/>
      <c r="F18" s="63"/>
      <c r="G18" s="63"/>
      <c r="H18" s="102" t="e">
        <f>SUM(H3:H17)</f>
        <v>#REF!</v>
      </c>
    </row>
    <row r="20" spans="1:24" x14ac:dyDescent="0.4">
      <c r="C20" s="57"/>
    </row>
    <row r="21" spans="1:24" x14ac:dyDescent="0.4">
      <c r="A21" s="61"/>
      <c r="B21" s="302" t="s">
        <v>104</v>
      </c>
      <c r="C21" s="302"/>
      <c r="D21" s="302"/>
      <c r="E21" s="302"/>
      <c r="F21" s="302"/>
      <c r="G21" s="302"/>
      <c r="H21" s="104"/>
    </row>
    <row r="22" spans="1:24" x14ac:dyDescent="0.4">
      <c r="A22" s="105" t="s">
        <v>0</v>
      </c>
      <c r="B22" s="63" t="s">
        <v>69</v>
      </c>
      <c r="C22" s="63" t="s">
        <v>65</v>
      </c>
      <c r="D22" s="63" t="s">
        <v>68</v>
      </c>
      <c r="E22" s="63" t="s">
        <v>67</v>
      </c>
      <c r="F22" s="63" t="s">
        <v>8</v>
      </c>
      <c r="G22" s="63" t="s">
        <v>55</v>
      </c>
      <c r="H22" s="102" t="s">
        <v>11</v>
      </c>
    </row>
    <row r="23" spans="1:24" x14ac:dyDescent="0.4">
      <c r="A23" s="57">
        <v>1</v>
      </c>
      <c r="B23" s="72" t="s">
        <v>70</v>
      </c>
      <c r="C23" s="106">
        <v>100000</v>
      </c>
      <c r="D23" s="107">
        <v>0</v>
      </c>
      <c r="E23" s="107">
        <v>0</v>
      </c>
      <c r="F23" s="107">
        <v>0</v>
      </c>
      <c r="G23" s="107">
        <v>0</v>
      </c>
      <c r="H23" s="74">
        <v>100000</v>
      </c>
      <c r="K23" s="305"/>
      <c r="L23" s="305"/>
      <c r="M23" s="305"/>
      <c r="N23" s="305"/>
      <c r="O23" s="305"/>
      <c r="P23" s="305"/>
    </row>
    <row r="24" spans="1:24" x14ac:dyDescent="0.4">
      <c r="A24" s="57">
        <v>2</v>
      </c>
      <c r="B24" s="72" t="s">
        <v>16</v>
      </c>
      <c r="C24" s="106">
        <v>15000</v>
      </c>
      <c r="D24" s="107">
        <v>0</v>
      </c>
      <c r="E24" s="107">
        <v>0</v>
      </c>
      <c r="F24" s="107">
        <v>0</v>
      </c>
      <c r="G24" s="107">
        <v>0</v>
      </c>
      <c r="H24" s="74">
        <v>15000</v>
      </c>
      <c r="K24" s="108"/>
      <c r="L24" s="108"/>
      <c r="M24" s="108"/>
      <c r="N24" s="108"/>
      <c r="O24" s="108"/>
      <c r="P24" s="108"/>
    </row>
    <row r="25" spans="1:24" x14ac:dyDescent="0.4">
      <c r="A25" s="57">
        <v>3</v>
      </c>
      <c r="B25" s="72" t="s">
        <v>32</v>
      </c>
      <c r="C25" s="106">
        <v>30000</v>
      </c>
      <c r="D25" s="107">
        <v>0</v>
      </c>
      <c r="E25" s="107">
        <v>0</v>
      </c>
      <c r="F25" s="107">
        <v>0</v>
      </c>
      <c r="G25" s="107">
        <v>0</v>
      </c>
      <c r="H25" s="74">
        <v>30000</v>
      </c>
      <c r="K25" s="108"/>
      <c r="L25" s="108"/>
      <c r="M25" s="108"/>
      <c r="N25" s="108"/>
      <c r="O25" s="108"/>
      <c r="P25" s="108"/>
    </row>
    <row r="26" spans="1:24" x14ac:dyDescent="0.4">
      <c r="A26" s="57">
        <v>4</v>
      </c>
      <c r="B26" s="72" t="s">
        <v>29</v>
      </c>
      <c r="C26" s="106">
        <v>7000</v>
      </c>
      <c r="D26" s="107">
        <v>0</v>
      </c>
      <c r="E26" s="107">
        <v>0</v>
      </c>
      <c r="F26" s="107">
        <v>2</v>
      </c>
      <c r="G26" s="107">
        <v>1200</v>
      </c>
      <c r="H26" s="74">
        <v>5800</v>
      </c>
      <c r="K26" s="108"/>
      <c r="L26" s="108"/>
      <c r="M26" s="108"/>
      <c r="N26" s="108"/>
      <c r="O26" s="108"/>
      <c r="P26" s="108"/>
    </row>
    <row r="27" spans="1:24" x14ac:dyDescent="0.4">
      <c r="A27" s="57">
        <v>5</v>
      </c>
      <c r="B27" s="72" t="s">
        <v>23</v>
      </c>
      <c r="C27" s="106">
        <v>12000</v>
      </c>
      <c r="D27" s="107">
        <v>2</v>
      </c>
      <c r="E27" s="107">
        <v>0</v>
      </c>
      <c r="F27" s="107">
        <v>0</v>
      </c>
      <c r="G27" s="107">
        <v>0</v>
      </c>
      <c r="H27" s="74">
        <v>11200</v>
      </c>
    </row>
    <row r="28" spans="1:24" x14ac:dyDescent="0.4">
      <c r="A28" s="57">
        <v>6</v>
      </c>
      <c r="B28" s="72" t="s">
        <v>37</v>
      </c>
      <c r="C28" s="106">
        <v>15000</v>
      </c>
      <c r="D28" s="107">
        <v>0</v>
      </c>
      <c r="E28" s="107">
        <v>3</v>
      </c>
      <c r="F28" s="107">
        <v>3</v>
      </c>
      <c r="G28" s="107">
        <v>0</v>
      </c>
      <c r="H28" s="74">
        <v>13500</v>
      </c>
    </row>
    <row r="29" spans="1:24" x14ac:dyDescent="0.4">
      <c r="A29" s="57">
        <v>7</v>
      </c>
      <c r="B29" s="75" t="s">
        <v>13</v>
      </c>
      <c r="C29" s="106">
        <v>10000</v>
      </c>
      <c r="D29" s="107">
        <v>0</v>
      </c>
      <c r="E29" s="107">
        <v>6.25</v>
      </c>
      <c r="F29" s="107">
        <v>0</v>
      </c>
      <c r="G29" s="107">
        <v>1351</v>
      </c>
      <c r="H29" s="74">
        <v>6899</v>
      </c>
    </row>
    <row r="30" spans="1:24" x14ac:dyDescent="0.4">
      <c r="A30" s="57">
        <v>8</v>
      </c>
      <c r="B30" s="75" t="s">
        <v>21</v>
      </c>
      <c r="C30" s="106">
        <v>12000</v>
      </c>
      <c r="D30" s="107">
        <v>0</v>
      </c>
      <c r="E30" s="107">
        <v>0</v>
      </c>
      <c r="F30" s="107">
        <v>0</v>
      </c>
      <c r="G30" s="107">
        <v>0</v>
      </c>
      <c r="H30" s="74">
        <v>12000</v>
      </c>
    </row>
    <row r="31" spans="1:24" x14ac:dyDescent="0.4">
      <c r="A31" s="63"/>
      <c r="B31" s="63"/>
      <c r="C31" s="63"/>
      <c r="D31" s="63"/>
      <c r="E31" s="63"/>
      <c r="F31" s="63"/>
      <c r="G31" s="63"/>
      <c r="H31" s="102">
        <f>SUM(H23:H30)</f>
        <v>194399</v>
      </c>
    </row>
    <row r="32" spans="1:24" x14ac:dyDescent="0.4">
      <c r="C32" s="57"/>
    </row>
    <row r="33" spans="1:8" x14ac:dyDescent="0.4">
      <c r="C33" s="57"/>
    </row>
    <row r="34" spans="1:8" x14ac:dyDescent="0.4">
      <c r="A34" s="306" t="s">
        <v>108</v>
      </c>
      <c r="B34" s="306"/>
      <c r="C34" s="306"/>
      <c r="D34" s="306"/>
      <c r="E34" s="306"/>
      <c r="F34" s="306"/>
      <c r="G34" s="306"/>
      <c r="H34" s="109"/>
    </row>
    <row r="35" spans="1:8" x14ac:dyDescent="0.4">
      <c r="A35" s="67" t="s">
        <v>0</v>
      </c>
      <c r="B35" s="110" t="s">
        <v>69</v>
      </c>
      <c r="C35" s="110" t="s">
        <v>65</v>
      </c>
      <c r="D35" s="110" t="s">
        <v>68</v>
      </c>
      <c r="E35" s="110" t="s">
        <v>67</v>
      </c>
      <c r="F35" s="111" t="s">
        <v>8</v>
      </c>
      <c r="G35" s="112" t="s">
        <v>55</v>
      </c>
      <c r="H35" s="113" t="s">
        <v>11</v>
      </c>
    </row>
    <row r="36" spans="1:8" x14ac:dyDescent="0.4">
      <c r="A36" s="57">
        <v>1</v>
      </c>
      <c r="B36" s="72" t="s">
        <v>47</v>
      </c>
      <c r="C36" s="73">
        <v>7000</v>
      </c>
      <c r="D36" s="72">
        <v>1</v>
      </c>
      <c r="E36" s="72">
        <v>0.25</v>
      </c>
      <c r="F36" s="72">
        <v>1.25</v>
      </c>
      <c r="G36" s="72">
        <v>0</v>
      </c>
      <c r="H36" s="106">
        <v>6708</v>
      </c>
    </row>
    <row r="37" spans="1:8" x14ac:dyDescent="0.4">
      <c r="A37" s="57">
        <v>2</v>
      </c>
      <c r="B37" s="72" t="s">
        <v>49</v>
      </c>
      <c r="C37" s="73">
        <v>7000</v>
      </c>
      <c r="D37" s="72">
        <v>1</v>
      </c>
      <c r="E37" s="72">
        <v>2</v>
      </c>
      <c r="F37" s="72">
        <v>3</v>
      </c>
      <c r="G37" s="72">
        <v>0</v>
      </c>
      <c r="H37" s="106">
        <v>6300</v>
      </c>
    </row>
    <row r="38" spans="1:8" x14ac:dyDescent="0.4">
      <c r="A38" s="57">
        <v>3</v>
      </c>
      <c r="B38" s="72" t="s">
        <v>98</v>
      </c>
      <c r="C38" s="73">
        <v>7000</v>
      </c>
      <c r="D38" s="72">
        <v>0</v>
      </c>
      <c r="E38" s="72">
        <v>0</v>
      </c>
      <c r="F38" s="72">
        <v>0</v>
      </c>
      <c r="G38" s="72">
        <v>0</v>
      </c>
      <c r="H38" s="106">
        <v>7000</v>
      </c>
    </row>
    <row r="39" spans="1:8" x14ac:dyDescent="0.4">
      <c r="A39" s="57">
        <v>4</v>
      </c>
      <c r="B39" s="72" t="s">
        <v>20</v>
      </c>
      <c r="C39" s="73">
        <v>40000</v>
      </c>
      <c r="D39" s="72">
        <v>6</v>
      </c>
      <c r="E39" s="72">
        <v>7.25</v>
      </c>
      <c r="F39" s="72">
        <v>13.25</v>
      </c>
      <c r="G39" s="72">
        <v>0</v>
      </c>
      <c r="H39" s="106">
        <v>22333</v>
      </c>
    </row>
    <row r="40" spans="1:8" x14ac:dyDescent="0.4">
      <c r="A40" s="57">
        <v>5</v>
      </c>
      <c r="B40" s="72" t="s">
        <v>39</v>
      </c>
      <c r="C40" s="73">
        <v>9000</v>
      </c>
      <c r="D40" s="72">
        <v>0</v>
      </c>
      <c r="E40" s="72">
        <v>1.5</v>
      </c>
      <c r="F40" s="72">
        <v>1.5</v>
      </c>
      <c r="G40" s="72">
        <v>0</v>
      </c>
      <c r="H40" s="106">
        <v>2850</v>
      </c>
    </row>
    <row r="41" spans="1:8" x14ac:dyDescent="0.4">
      <c r="A41" s="57">
        <v>6</v>
      </c>
      <c r="B41" s="72" t="s">
        <v>42</v>
      </c>
      <c r="C41" s="73">
        <v>10000</v>
      </c>
      <c r="D41" s="72">
        <v>3</v>
      </c>
      <c r="E41" s="72">
        <v>2.5</v>
      </c>
      <c r="F41" s="72">
        <v>5.5</v>
      </c>
      <c r="G41" s="72">
        <v>0</v>
      </c>
      <c r="H41" s="106"/>
    </row>
    <row r="42" spans="1:8" x14ac:dyDescent="0.4">
      <c r="A42" s="57">
        <v>7</v>
      </c>
      <c r="B42" s="72" t="s">
        <v>919</v>
      </c>
      <c r="C42" s="73">
        <v>9000</v>
      </c>
      <c r="D42" s="72">
        <v>22</v>
      </c>
      <c r="E42" s="72">
        <v>0.25</v>
      </c>
      <c r="F42" s="72">
        <v>22.25</v>
      </c>
      <c r="G42" s="72">
        <v>0</v>
      </c>
      <c r="H42" s="106">
        <v>2325</v>
      </c>
    </row>
    <row r="43" spans="1:8" x14ac:dyDescent="0.4">
      <c r="A43" s="57">
        <v>8</v>
      </c>
      <c r="B43" s="72" t="s">
        <v>918</v>
      </c>
      <c r="C43" s="73">
        <v>7000</v>
      </c>
      <c r="D43" s="72">
        <v>0</v>
      </c>
      <c r="E43" s="72">
        <v>0</v>
      </c>
      <c r="F43" s="72">
        <v>0</v>
      </c>
      <c r="G43" s="72">
        <v>0</v>
      </c>
      <c r="H43" s="106">
        <v>7000</v>
      </c>
    </row>
    <row r="44" spans="1:8" x14ac:dyDescent="0.4">
      <c r="A44" s="57">
        <v>9</v>
      </c>
      <c r="B44" s="72" t="s">
        <v>920</v>
      </c>
      <c r="C44" s="73">
        <v>7000</v>
      </c>
      <c r="D44" s="72">
        <v>22</v>
      </c>
      <c r="E44" s="72">
        <v>0</v>
      </c>
      <c r="F44" s="72">
        <v>22</v>
      </c>
      <c r="G44" s="72">
        <v>0</v>
      </c>
      <c r="H44" s="106">
        <v>1867</v>
      </c>
    </row>
    <row r="45" spans="1:8" x14ac:dyDescent="0.4">
      <c r="A45" s="57">
        <v>10</v>
      </c>
      <c r="B45" s="72" t="s">
        <v>48</v>
      </c>
      <c r="C45" s="73">
        <v>7000</v>
      </c>
      <c r="D45" s="72">
        <v>1</v>
      </c>
      <c r="E45" s="72">
        <v>0.75</v>
      </c>
      <c r="F45" s="72">
        <v>1.75</v>
      </c>
      <c r="G45" s="72">
        <v>0</v>
      </c>
      <c r="H45" s="114">
        <v>6592</v>
      </c>
    </row>
    <row r="46" spans="1:8" x14ac:dyDescent="0.4">
      <c r="A46" s="57">
        <v>11</v>
      </c>
      <c r="B46" s="72" t="s">
        <v>99</v>
      </c>
      <c r="C46" s="73">
        <v>13000</v>
      </c>
      <c r="D46" s="72">
        <v>3</v>
      </c>
      <c r="E46" s="72">
        <v>0.5</v>
      </c>
      <c r="F46" s="72">
        <v>3.5</v>
      </c>
      <c r="G46" s="72">
        <v>0</v>
      </c>
      <c r="H46" s="106">
        <v>11266</v>
      </c>
    </row>
    <row r="47" spans="1:8" x14ac:dyDescent="0.4">
      <c r="A47" s="110"/>
      <c r="B47" s="110"/>
      <c r="C47" s="110"/>
      <c r="D47" s="110"/>
      <c r="E47" s="110"/>
      <c r="F47" s="110"/>
      <c r="G47" s="110"/>
      <c r="H47" s="115">
        <f>SUM(H36:H46)</f>
        <v>74241</v>
      </c>
    </row>
    <row r="48" spans="1:8" s="118" customFormat="1" x14ac:dyDescent="0.4">
      <c r="A48" s="116"/>
      <c r="B48" s="116"/>
      <c r="C48" s="116"/>
      <c r="D48" s="116"/>
      <c r="E48" s="116"/>
      <c r="F48" s="116"/>
      <c r="G48" s="116"/>
      <c r="H48" s="117"/>
    </row>
    <row r="49" spans="1:8" x14ac:dyDescent="0.4">
      <c r="A49" s="119"/>
      <c r="B49" s="301" t="s">
        <v>106</v>
      </c>
      <c r="C49" s="301"/>
      <c r="D49" s="301"/>
      <c r="E49" s="301"/>
      <c r="F49" s="301"/>
      <c r="G49" s="301"/>
      <c r="H49" s="301"/>
    </row>
    <row r="50" spans="1:8" x14ac:dyDescent="0.4">
      <c r="A50" s="67" t="s">
        <v>0</v>
      </c>
      <c r="B50" s="110" t="s">
        <v>69</v>
      </c>
      <c r="C50" s="110" t="s">
        <v>65</v>
      </c>
      <c r="D50" s="110" t="s">
        <v>68</v>
      </c>
      <c r="E50" s="110" t="s">
        <v>67</v>
      </c>
      <c r="F50" s="111" t="s">
        <v>8</v>
      </c>
      <c r="G50" s="112" t="s">
        <v>55</v>
      </c>
      <c r="H50" s="113" t="s">
        <v>11</v>
      </c>
    </row>
    <row r="51" spans="1:8" x14ac:dyDescent="0.4">
      <c r="A51" s="57">
        <v>1</v>
      </c>
      <c r="B51" s="72" t="s">
        <v>27</v>
      </c>
      <c r="C51" s="73">
        <v>3000</v>
      </c>
      <c r="D51" s="72">
        <v>0</v>
      </c>
      <c r="E51" s="72">
        <v>0</v>
      </c>
      <c r="F51" s="72">
        <v>0</v>
      </c>
      <c r="G51" s="72">
        <v>0</v>
      </c>
      <c r="H51" s="106">
        <v>3000</v>
      </c>
    </row>
    <row r="52" spans="1:8" x14ac:dyDescent="0.4">
      <c r="A52" s="57">
        <v>2</v>
      </c>
      <c r="B52" s="72" t="s">
        <v>26</v>
      </c>
      <c r="C52" s="73">
        <v>7000</v>
      </c>
      <c r="D52" s="72">
        <v>0</v>
      </c>
      <c r="E52" s="72">
        <v>0</v>
      </c>
      <c r="F52" s="72">
        <v>0</v>
      </c>
      <c r="G52" s="72">
        <v>0</v>
      </c>
      <c r="H52" s="106">
        <v>7000</v>
      </c>
    </row>
    <row r="53" spans="1:8" x14ac:dyDescent="0.4">
      <c r="A53" s="3"/>
      <c r="B53" s="3"/>
      <c r="C53" s="4"/>
      <c r="D53" s="3"/>
      <c r="E53" s="3"/>
      <c r="F53" s="3"/>
      <c r="G53" s="3"/>
      <c r="H53" s="42">
        <f>SUM(H47:H52)</f>
        <v>84241</v>
      </c>
    </row>
    <row r="56" spans="1:8" x14ac:dyDescent="0.4">
      <c r="C56" s="57"/>
    </row>
    <row r="57" spans="1:8" s="67" customFormat="1" x14ac:dyDescent="0.25">
      <c r="H57" s="120"/>
    </row>
    <row r="58" spans="1:8" x14ac:dyDescent="0.4">
      <c r="C58" s="57"/>
    </row>
    <row r="59" spans="1:8" x14ac:dyDescent="0.4">
      <c r="C59" s="57"/>
    </row>
    <row r="60" spans="1:8" x14ac:dyDescent="0.4">
      <c r="C60" s="57"/>
    </row>
    <row r="61" spans="1:8" x14ac:dyDescent="0.4">
      <c r="C61" s="57"/>
    </row>
    <row r="62" spans="1:8" x14ac:dyDescent="0.4">
      <c r="C62" s="57"/>
    </row>
    <row r="63" spans="1:8" x14ac:dyDescent="0.4">
      <c r="C63" s="57"/>
    </row>
    <row r="64" spans="1:8" x14ac:dyDescent="0.4">
      <c r="C64" s="57"/>
    </row>
    <row r="65" spans="3:3" x14ac:dyDescent="0.4">
      <c r="C65" s="57"/>
    </row>
    <row r="66" spans="3:3" x14ac:dyDescent="0.4">
      <c r="C66" s="57"/>
    </row>
    <row r="67" spans="3:3" x14ac:dyDescent="0.4">
      <c r="C67" s="57"/>
    </row>
    <row r="68" spans="3:3" x14ac:dyDescent="0.4">
      <c r="C68" s="57"/>
    </row>
    <row r="69" spans="3:3" x14ac:dyDescent="0.4">
      <c r="C69" s="57"/>
    </row>
  </sheetData>
  <mergeCells count="6">
    <mergeCell ref="B49:H49"/>
    <mergeCell ref="B1:H1"/>
    <mergeCell ref="J1:P1"/>
    <mergeCell ref="B21:G21"/>
    <mergeCell ref="K23:P23"/>
    <mergeCell ref="A34:G34"/>
  </mergeCells>
  <conditionalFormatting sqref="B49">
    <cfRule type="duplicateValues" dxfId="91" priority="11"/>
    <cfRule type="duplicateValues" dxfId="90" priority="12"/>
  </conditionalFormatting>
  <conditionalFormatting sqref="L7">
    <cfRule type="duplicateValues" dxfId="89" priority="9"/>
    <cfRule type="duplicateValues" dxfId="88" priority="10"/>
  </conditionalFormatting>
  <conditionalFormatting sqref="M16:M17">
    <cfRule type="duplicateValues" dxfId="87" priority="1"/>
    <cfRule type="duplicateValues" dxfId="86" priority="2"/>
    <cfRule type="duplicateValues" dxfId="85" priority="3"/>
    <cfRule type="duplicateValues" dxfId="84" priority="4"/>
    <cfRule type="duplicateValues" dxfId="83" priority="5"/>
    <cfRule type="duplicateValues" dxfId="82" priority="6"/>
    <cfRule type="duplicateValues" dxfId="81" priority="7"/>
    <cfRule type="duplicateValues" dxfId="80" priority="8"/>
  </conditionalFormatting>
  <pageMargins left="0.7" right="0.7" top="0.75" bottom="0.75" header="0.3" footer="0.3"/>
  <pageSetup scale="36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84D8D-8DF3-4B58-8980-6F2F0DED530E}">
  <dimension ref="A1:XEW108"/>
  <sheetViews>
    <sheetView view="pageBreakPreview" topLeftCell="D1" zoomScaleNormal="100" zoomScaleSheetLayoutView="100" workbookViewId="0">
      <selection activeCell="I24" sqref="I24"/>
    </sheetView>
  </sheetViews>
  <sheetFormatPr defaultColWidth="8.7109375" defaultRowHeight="23.25" x14ac:dyDescent="0.35"/>
  <cols>
    <col min="1" max="1" width="7.42578125" style="149" bestFit="1" customWidth="1"/>
    <col min="2" max="2" width="75.85546875" style="125" bestFit="1" customWidth="1"/>
    <col min="3" max="3" width="21.5703125" style="150" bestFit="1" customWidth="1"/>
    <col min="4" max="4" width="34.7109375" style="186" customWidth="1"/>
    <col min="5" max="16384" width="8.7109375" style="125"/>
  </cols>
  <sheetData>
    <row r="1" spans="1:4" ht="28.5" x14ac:dyDescent="0.45">
      <c r="A1" s="151" t="s">
        <v>0</v>
      </c>
      <c r="B1" s="152" t="s">
        <v>58</v>
      </c>
      <c r="C1" s="153" t="s">
        <v>57</v>
      </c>
      <c r="D1" s="183" t="s">
        <v>1013</v>
      </c>
    </row>
    <row r="2" spans="1:4" ht="28.5" x14ac:dyDescent="0.45">
      <c r="A2" s="173">
        <v>1</v>
      </c>
      <c r="B2" s="189" t="s">
        <v>53</v>
      </c>
      <c r="C2" s="190">
        <v>6242</v>
      </c>
      <c r="D2" s="176" t="s">
        <v>1016</v>
      </c>
    </row>
    <row r="3" spans="1:4" ht="28.5" x14ac:dyDescent="0.45">
      <c r="A3" s="173">
        <v>2</v>
      </c>
      <c r="B3" s="174" t="s">
        <v>99</v>
      </c>
      <c r="C3" s="175">
        <v>11266</v>
      </c>
      <c r="D3" s="176" t="s">
        <v>1016</v>
      </c>
    </row>
    <row r="4" spans="1:4" ht="28.5" x14ac:dyDescent="0.45">
      <c r="A4" s="173">
        <v>3</v>
      </c>
      <c r="B4" s="177" t="s">
        <v>14</v>
      </c>
      <c r="C4" s="178">
        <v>9917</v>
      </c>
      <c r="D4" s="184" t="s">
        <v>967</v>
      </c>
    </row>
    <row r="5" spans="1:4" ht="28.5" x14ac:dyDescent="0.35">
      <c r="A5" s="173">
        <v>4</v>
      </c>
      <c r="B5" s="179" t="s">
        <v>13</v>
      </c>
      <c r="C5" s="180">
        <f>Sheet3!N3</f>
        <v>6899</v>
      </c>
      <c r="D5" s="184" t="s">
        <v>967</v>
      </c>
    </row>
    <row r="6" spans="1:4" ht="28.5" x14ac:dyDescent="0.45">
      <c r="A6" s="173">
        <v>5</v>
      </c>
      <c r="B6" s="156" t="s">
        <v>32</v>
      </c>
      <c r="C6" s="166">
        <v>30000</v>
      </c>
      <c r="D6" s="165" t="s">
        <v>1017</v>
      </c>
    </row>
    <row r="7" spans="1:4" ht="28.5" x14ac:dyDescent="0.45">
      <c r="A7" s="173">
        <v>6</v>
      </c>
      <c r="B7" s="156" t="s">
        <v>24</v>
      </c>
      <c r="C7" s="166">
        <v>8800</v>
      </c>
      <c r="D7" s="165"/>
    </row>
    <row r="8" spans="1:4" ht="28.5" x14ac:dyDescent="0.45">
      <c r="A8" s="173">
        <v>7</v>
      </c>
      <c r="B8" s="156" t="s">
        <v>30</v>
      </c>
      <c r="C8" s="166">
        <v>5600</v>
      </c>
      <c r="D8" s="165"/>
    </row>
    <row r="9" spans="1:4" ht="28.5" x14ac:dyDescent="0.45">
      <c r="A9" s="173">
        <v>8</v>
      </c>
      <c r="B9" s="156" t="s">
        <v>22</v>
      </c>
      <c r="C9" s="166">
        <v>15000</v>
      </c>
      <c r="D9" s="165"/>
    </row>
    <row r="10" spans="1:4" ht="28.5" x14ac:dyDescent="0.35">
      <c r="A10" s="173">
        <v>9</v>
      </c>
      <c r="B10" s="179" t="s">
        <v>37</v>
      </c>
      <c r="C10" s="181">
        <v>13500</v>
      </c>
      <c r="D10" s="184" t="s">
        <v>967</v>
      </c>
    </row>
    <row r="11" spans="1:4" ht="28.5" x14ac:dyDescent="0.45">
      <c r="A11" s="173">
        <v>10</v>
      </c>
      <c r="B11" s="242" t="s">
        <v>920</v>
      </c>
      <c r="C11" s="178">
        <v>1867</v>
      </c>
      <c r="D11" s="184" t="s">
        <v>967</v>
      </c>
    </row>
    <row r="12" spans="1:4" ht="28.5" x14ac:dyDescent="0.45">
      <c r="A12" s="173">
        <v>11</v>
      </c>
      <c r="B12" s="177" t="s">
        <v>919</v>
      </c>
      <c r="C12" s="178">
        <v>2325</v>
      </c>
      <c r="D12" s="184" t="s">
        <v>967</v>
      </c>
    </row>
    <row r="13" spans="1:4" ht="28.5" x14ac:dyDescent="0.45">
      <c r="A13" s="173">
        <v>12</v>
      </c>
      <c r="B13" s="174" t="s">
        <v>47</v>
      </c>
      <c r="C13" s="175">
        <v>6708</v>
      </c>
      <c r="D13" s="176" t="s">
        <v>1016</v>
      </c>
    </row>
    <row r="14" spans="1:4" ht="28.5" x14ac:dyDescent="0.45">
      <c r="A14" s="173">
        <v>13</v>
      </c>
      <c r="B14" s="177" t="s">
        <v>49</v>
      </c>
      <c r="C14" s="178">
        <v>6300</v>
      </c>
      <c r="D14" s="184" t="s">
        <v>967</v>
      </c>
    </row>
    <row r="15" spans="1:4" ht="28.5" x14ac:dyDescent="0.45">
      <c r="A15" s="173">
        <v>14</v>
      </c>
      <c r="B15" s="174" t="s">
        <v>39</v>
      </c>
      <c r="C15" s="175">
        <v>2850</v>
      </c>
      <c r="D15" s="176" t="s">
        <v>1016</v>
      </c>
    </row>
    <row r="16" spans="1:4" ht="28.5" x14ac:dyDescent="0.45">
      <c r="A16" s="173">
        <v>15</v>
      </c>
      <c r="B16" s="182" t="s">
        <v>40</v>
      </c>
      <c r="C16" s="178">
        <v>18500</v>
      </c>
      <c r="D16" s="184" t="s">
        <v>967</v>
      </c>
    </row>
    <row r="17" spans="1:1023 1026:2046 2049:3072 3075:4095 4098:5118 5121:6144 6147:7167 7170:8190 8193:9216 9219:10239 10242:11262 11265:12288 12291:13311 13314:14334 14337:15360 15363:16377" ht="28.5" x14ac:dyDescent="0.45">
      <c r="A17" s="173">
        <v>16</v>
      </c>
      <c r="B17" s="154" t="s">
        <v>20</v>
      </c>
      <c r="C17" s="155">
        <v>17333</v>
      </c>
      <c r="D17" s="165"/>
    </row>
    <row r="18" spans="1:1023 1026:2046 2049:3072 3075:4095 4098:5118 5121:6144 6147:7167 7170:8190 8193:9216 9219:10239 10242:11262 11265:12288 12291:13311 13314:14334 14337:15360 15363:16377" ht="28.5" x14ac:dyDescent="0.45">
      <c r="A18" s="173">
        <v>17</v>
      </c>
      <c r="B18" s="174" t="s">
        <v>48</v>
      </c>
      <c r="C18" s="175">
        <v>6592</v>
      </c>
      <c r="D18" s="176" t="s">
        <v>1016</v>
      </c>
    </row>
    <row r="19" spans="1:1023 1026:2046 2049:3072 3075:4095 4098:5118 5121:6144 6147:7167 7170:8190 8193:9216 9219:10239 10242:11262 11265:12288 12291:13311 13314:14334 14337:15360 15363:16377" ht="28.5" x14ac:dyDescent="0.45">
      <c r="A19" s="173">
        <v>18</v>
      </c>
      <c r="B19" s="177" t="s">
        <v>98</v>
      </c>
      <c r="C19" s="178">
        <v>7000</v>
      </c>
      <c r="D19" s="184" t="s">
        <v>967</v>
      </c>
    </row>
    <row r="20" spans="1:1023 1026:2046 2049:3072 3075:4095 4098:5118 5121:6144 6147:7167 7170:8190 8193:9216 9219:10239 10242:11262 11265:12288 12291:13311 13314:14334 14337:15360 15363:16377" ht="28.5" x14ac:dyDescent="0.45">
      <c r="A20" s="173">
        <v>19</v>
      </c>
      <c r="B20" s="154" t="s">
        <v>27</v>
      </c>
      <c r="C20" s="155">
        <v>3000</v>
      </c>
      <c r="D20" s="172">
        <v>549</v>
      </c>
    </row>
    <row r="21" spans="1:1023 1026:2046 2049:3072 3075:4095 4098:5118 5121:6144 6147:7167 7170:8190 8193:9216 9219:10239 10242:11262 11265:12288 12291:13311 13314:14334 14337:15360 15363:16377" ht="28.5" x14ac:dyDescent="0.45">
      <c r="A21" s="173">
        <v>20</v>
      </c>
      <c r="B21" s="177" t="s">
        <v>26</v>
      </c>
      <c r="C21" s="178">
        <v>7000</v>
      </c>
      <c r="D21" s="184" t="s">
        <v>967</v>
      </c>
    </row>
    <row r="22" spans="1:1023 1026:2046 2049:3072 3075:4095 4098:5118 5121:6144 6147:7167 7170:8190 8193:9216 9219:10239 10242:11262 11265:12288 12291:13311 13314:14334 14337:15360 15363:16377" ht="28.5" x14ac:dyDescent="0.45">
      <c r="A22" s="173">
        <v>21</v>
      </c>
      <c r="B22" s="177" t="s">
        <v>918</v>
      </c>
      <c r="C22" s="178">
        <v>7000</v>
      </c>
      <c r="D22" s="184" t="s">
        <v>967</v>
      </c>
    </row>
    <row r="23" spans="1:1023 1026:2046 2049:3072 3075:4095 4098:5118 5121:6144 6147:7167 7170:8190 8193:9216 9219:10239 10242:11262 11265:12288 12291:13311 13314:14334 14337:15360 15363:16377" ht="28.5" x14ac:dyDescent="0.45">
      <c r="A23" s="173">
        <v>22</v>
      </c>
      <c r="B23" s="177" t="s">
        <v>63</v>
      </c>
      <c r="C23" s="178">
        <v>7000</v>
      </c>
      <c r="D23" s="184" t="s">
        <v>967</v>
      </c>
    </row>
    <row r="24" spans="1:1023 1026:2046 2049:3072 3075:4095 4098:5118 5121:6144 6147:7167 7170:8190 8193:9216 9219:10239 10242:11262 11265:12288 12291:13311 13314:14334 14337:15360 15363:16377" ht="28.5" x14ac:dyDescent="0.45">
      <c r="A24" s="157"/>
      <c r="B24" s="158"/>
      <c r="C24" s="159">
        <f>SUM(C2:C23)</f>
        <v>200699</v>
      </c>
      <c r="D24" s="185"/>
    </row>
    <row r="25" spans="1:1023 1026:2046 2049:3072 3075:4095 4098:5118 5121:6144 6147:7167 7170:8190 8193:9216 9219:10239 10242:11262 11265:12288 12291:13311 13314:14334 14337:15360 15363:16377" x14ac:dyDescent="0.35">
      <c r="A25" s="297"/>
      <c r="B25" s="298"/>
      <c r="C25" s="299"/>
    </row>
    <row r="26" spans="1:1023 1026:2046 2049:3072 3075:4095 4098:5118 5121:6144 6147:7167 7170:8190 8193:9216 9219:10239 10242:11262 11265:12288 12291:13311 13314:14334 14337:15360 15363:16377" x14ac:dyDescent="0.35">
      <c r="A26" s="297" t="s">
        <v>28</v>
      </c>
      <c r="B26" s="298"/>
      <c r="C26" s="299"/>
    </row>
    <row r="27" spans="1:1023 1026:2046 2049:3072 3075:4095 4098:5118 5121:6144 6147:7167 7170:8190 8193:9216 9219:10239 10242:11262 11265:12288 12291:13311 13314:14334 14337:15360 15363:16377" x14ac:dyDescent="0.35">
      <c r="A27" s="126" t="s">
        <v>0</v>
      </c>
      <c r="B27" s="127" t="s">
        <v>25</v>
      </c>
      <c r="C27" s="128" t="s">
        <v>71</v>
      </c>
    </row>
    <row r="28" spans="1:1023 1026:2046 2049:3072 3075:4095 4098:5118 5121:6144 6147:7167 7170:8190 8193:9216 9219:10239 10242:11262 11265:12288 12291:13311 13314:14334 14337:15360 15363:16377" s="132" customFormat="1" ht="21.95" customHeight="1" x14ac:dyDescent="0.35">
      <c r="A28" s="129">
        <v>1</v>
      </c>
      <c r="B28" s="131" t="s">
        <v>46</v>
      </c>
      <c r="C28" s="167">
        <v>3850</v>
      </c>
      <c r="D28" s="187"/>
    </row>
    <row r="29" spans="1:1023 1026:2046 2049:3072 3075:4095 4098:5118 5121:6144 6147:7167 7170:8190 8193:9216 9219:10239 10242:11262 11265:12288 12291:13311 13314:14334 14337:15360 15363:16377" x14ac:dyDescent="0.35">
      <c r="A29" s="129">
        <v>2</v>
      </c>
      <c r="B29" s="130" t="s">
        <v>380</v>
      </c>
      <c r="C29" s="168">
        <v>2975</v>
      </c>
    </row>
    <row r="30" spans="1:1023 1026:2046 2049:3072 3075:4095 4098:5118 5121:6144 6147:7167 7170:8190 8193:9216 9219:10239 10242:11262 11265:12288 12291:13311 13314:14334 14337:15360 15363:16377" x14ac:dyDescent="0.35">
      <c r="A30" s="129">
        <v>3</v>
      </c>
      <c r="B30" s="133" t="s">
        <v>15</v>
      </c>
      <c r="C30" s="169">
        <v>11350</v>
      </c>
      <c r="F30" s="134"/>
      <c r="I30" s="134"/>
      <c r="L30" s="134"/>
      <c r="O30" s="134"/>
      <c r="R30" s="134"/>
      <c r="U30" s="134"/>
      <c r="X30" s="134"/>
      <c r="AA30" s="134"/>
      <c r="AD30" s="134"/>
      <c r="AG30" s="134"/>
      <c r="AJ30" s="134"/>
      <c r="AM30" s="134"/>
      <c r="AP30" s="134"/>
      <c r="AS30" s="134"/>
      <c r="AV30" s="134"/>
      <c r="AY30" s="134"/>
      <c r="BB30" s="134"/>
      <c r="BE30" s="134"/>
      <c r="BH30" s="134"/>
      <c r="BK30" s="134"/>
      <c r="BN30" s="134"/>
      <c r="BQ30" s="134"/>
      <c r="BT30" s="134"/>
      <c r="BW30" s="134"/>
      <c r="BZ30" s="134"/>
      <c r="CC30" s="134"/>
      <c r="CF30" s="134"/>
      <c r="CI30" s="134"/>
      <c r="CL30" s="134"/>
      <c r="CO30" s="134"/>
      <c r="CR30" s="134"/>
      <c r="CU30" s="134"/>
      <c r="CX30" s="134"/>
      <c r="DA30" s="134"/>
      <c r="DD30" s="134"/>
      <c r="DG30" s="134"/>
      <c r="DJ30" s="134"/>
      <c r="DM30" s="134"/>
      <c r="DP30" s="134"/>
      <c r="DS30" s="134"/>
      <c r="DV30" s="134"/>
      <c r="DY30" s="134"/>
      <c r="EB30" s="134"/>
      <c r="EE30" s="134"/>
      <c r="EH30" s="134"/>
      <c r="EK30" s="134"/>
      <c r="EN30" s="134"/>
      <c r="EQ30" s="134"/>
      <c r="ET30" s="134"/>
      <c r="EW30" s="134"/>
      <c r="EZ30" s="134"/>
      <c r="FC30" s="134"/>
      <c r="FF30" s="134"/>
      <c r="FI30" s="134"/>
      <c r="FL30" s="134"/>
      <c r="FO30" s="134"/>
      <c r="FR30" s="134"/>
      <c r="FU30" s="134"/>
      <c r="FX30" s="134"/>
      <c r="GA30" s="134"/>
      <c r="GD30" s="134"/>
      <c r="GG30" s="134"/>
      <c r="GJ30" s="134"/>
      <c r="GM30" s="134"/>
      <c r="GP30" s="134"/>
      <c r="GS30" s="134"/>
      <c r="GV30" s="134"/>
      <c r="GY30" s="134"/>
      <c r="HB30" s="134"/>
      <c r="HE30" s="134"/>
      <c r="HH30" s="134"/>
      <c r="HK30" s="134"/>
      <c r="HN30" s="134"/>
      <c r="HQ30" s="134"/>
      <c r="HT30" s="134"/>
      <c r="HW30" s="134"/>
      <c r="HZ30" s="134"/>
      <c r="IC30" s="134"/>
      <c r="IF30" s="134"/>
      <c r="II30" s="134"/>
      <c r="IL30" s="134"/>
      <c r="IO30" s="134"/>
      <c r="IR30" s="134"/>
      <c r="IU30" s="134"/>
      <c r="IX30" s="134"/>
      <c r="JA30" s="134"/>
      <c r="JD30" s="134"/>
      <c r="JG30" s="134"/>
      <c r="JJ30" s="134"/>
      <c r="JM30" s="134"/>
      <c r="JP30" s="134"/>
      <c r="JS30" s="134"/>
      <c r="JV30" s="134"/>
      <c r="JY30" s="134"/>
      <c r="KB30" s="134"/>
      <c r="KE30" s="134"/>
      <c r="KH30" s="134"/>
      <c r="KK30" s="134"/>
      <c r="KN30" s="134"/>
      <c r="KQ30" s="134"/>
      <c r="KT30" s="134"/>
      <c r="KW30" s="134"/>
      <c r="KZ30" s="134"/>
      <c r="LC30" s="134"/>
      <c r="LF30" s="134"/>
      <c r="LI30" s="134"/>
      <c r="LL30" s="134"/>
      <c r="LO30" s="134"/>
      <c r="LR30" s="134"/>
      <c r="LU30" s="134"/>
      <c r="LX30" s="134"/>
      <c r="MA30" s="134"/>
      <c r="MD30" s="134"/>
      <c r="MG30" s="134"/>
      <c r="MJ30" s="134"/>
      <c r="MM30" s="134"/>
      <c r="MP30" s="134"/>
      <c r="MS30" s="134"/>
      <c r="MV30" s="134"/>
      <c r="MY30" s="134"/>
      <c r="NB30" s="134"/>
      <c r="NE30" s="134"/>
      <c r="NH30" s="134"/>
      <c r="NK30" s="134"/>
      <c r="NN30" s="134"/>
      <c r="NQ30" s="134"/>
      <c r="NT30" s="134"/>
      <c r="NW30" s="134"/>
      <c r="NZ30" s="134"/>
      <c r="OC30" s="134"/>
      <c r="OF30" s="134"/>
      <c r="OI30" s="134"/>
      <c r="OL30" s="134"/>
      <c r="OO30" s="134"/>
      <c r="OR30" s="134"/>
      <c r="OU30" s="134"/>
      <c r="OX30" s="134"/>
      <c r="PA30" s="134"/>
      <c r="PD30" s="134"/>
      <c r="PG30" s="134"/>
      <c r="PJ30" s="134"/>
      <c r="PM30" s="134"/>
      <c r="PP30" s="134"/>
      <c r="PS30" s="134"/>
      <c r="PV30" s="134"/>
      <c r="PY30" s="134"/>
      <c r="QB30" s="134"/>
      <c r="QE30" s="134"/>
      <c r="QH30" s="134"/>
      <c r="QK30" s="134"/>
      <c r="QN30" s="134"/>
      <c r="QQ30" s="134"/>
      <c r="QT30" s="134"/>
      <c r="QW30" s="134"/>
      <c r="QZ30" s="134"/>
      <c r="RC30" s="134"/>
      <c r="RF30" s="134"/>
      <c r="RI30" s="134"/>
      <c r="RL30" s="134"/>
      <c r="RO30" s="134"/>
      <c r="RR30" s="134"/>
      <c r="RU30" s="134"/>
      <c r="RX30" s="134"/>
      <c r="SA30" s="134"/>
      <c r="SD30" s="134"/>
      <c r="SG30" s="134"/>
      <c r="SJ30" s="134"/>
      <c r="SM30" s="134"/>
      <c r="SP30" s="134"/>
      <c r="SS30" s="134"/>
      <c r="SV30" s="134"/>
      <c r="SY30" s="134"/>
      <c r="TB30" s="134"/>
      <c r="TE30" s="134"/>
      <c r="TH30" s="134"/>
      <c r="TK30" s="134"/>
      <c r="TN30" s="134"/>
      <c r="TQ30" s="134"/>
      <c r="TT30" s="134"/>
      <c r="TW30" s="134"/>
      <c r="TZ30" s="134"/>
      <c r="UC30" s="134"/>
      <c r="UF30" s="134"/>
      <c r="UI30" s="134"/>
      <c r="UL30" s="134"/>
      <c r="UO30" s="134"/>
      <c r="UR30" s="134"/>
      <c r="UU30" s="134"/>
      <c r="UX30" s="134"/>
      <c r="VA30" s="134"/>
      <c r="VD30" s="134"/>
      <c r="VG30" s="134"/>
      <c r="VJ30" s="134"/>
      <c r="VM30" s="134"/>
      <c r="VP30" s="134"/>
      <c r="VS30" s="134"/>
      <c r="VV30" s="134"/>
      <c r="VY30" s="134"/>
      <c r="WB30" s="134"/>
      <c r="WE30" s="134"/>
      <c r="WH30" s="134"/>
      <c r="WK30" s="134"/>
      <c r="WN30" s="134"/>
      <c r="WQ30" s="134"/>
      <c r="WT30" s="134"/>
      <c r="WW30" s="134"/>
      <c r="WZ30" s="134"/>
      <c r="XC30" s="134"/>
      <c r="XF30" s="134"/>
      <c r="XI30" s="134"/>
      <c r="XL30" s="134"/>
      <c r="XO30" s="134"/>
      <c r="XR30" s="134"/>
      <c r="XU30" s="134"/>
      <c r="XX30" s="134"/>
      <c r="YA30" s="134"/>
      <c r="YD30" s="134"/>
      <c r="YG30" s="134"/>
      <c r="YJ30" s="134"/>
      <c r="YM30" s="134"/>
      <c r="YP30" s="134"/>
      <c r="YS30" s="134"/>
      <c r="YV30" s="134"/>
      <c r="YY30" s="134"/>
      <c r="ZB30" s="134"/>
      <c r="ZE30" s="134"/>
      <c r="ZH30" s="134"/>
      <c r="ZK30" s="134"/>
      <c r="ZN30" s="134"/>
      <c r="ZQ30" s="134"/>
      <c r="ZT30" s="134"/>
      <c r="ZW30" s="134"/>
      <c r="ZZ30" s="134"/>
      <c r="AAC30" s="134"/>
      <c r="AAF30" s="134"/>
      <c r="AAI30" s="134"/>
      <c r="AAL30" s="134"/>
      <c r="AAO30" s="134"/>
      <c r="AAR30" s="134"/>
      <c r="AAU30" s="134"/>
      <c r="AAX30" s="134"/>
      <c r="ABA30" s="134"/>
      <c r="ABD30" s="134"/>
      <c r="ABG30" s="134"/>
      <c r="ABJ30" s="134"/>
      <c r="ABM30" s="134"/>
      <c r="ABP30" s="134"/>
      <c r="ABS30" s="134"/>
      <c r="ABV30" s="134"/>
      <c r="ABY30" s="134"/>
      <c r="ACB30" s="134"/>
      <c r="ACE30" s="134"/>
      <c r="ACH30" s="134"/>
      <c r="ACK30" s="134"/>
      <c r="ACN30" s="134"/>
      <c r="ACQ30" s="134"/>
      <c r="ACT30" s="134"/>
      <c r="ACW30" s="134"/>
      <c r="ACZ30" s="134"/>
      <c r="ADC30" s="134"/>
      <c r="ADF30" s="134"/>
      <c r="ADI30" s="134"/>
      <c r="ADL30" s="134"/>
      <c r="ADO30" s="134"/>
      <c r="ADR30" s="134"/>
      <c r="ADU30" s="134"/>
      <c r="ADX30" s="134"/>
      <c r="AEA30" s="134"/>
      <c r="AED30" s="134"/>
      <c r="AEG30" s="134"/>
      <c r="AEJ30" s="134"/>
      <c r="AEM30" s="134"/>
      <c r="AEP30" s="134"/>
      <c r="AES30" s="134"/>
      <c r="AEV30" s="134"/>
      <c r="AEY30" s="134"/>
      <c r="AFB30" s="134"/>
      <c r="AFE30" s="134"/>
      <c r="AFH30" s="134"/>
      <c r="AFK30" s="134"/>
      <c r="AFN30" s="134"/>
      <c r="AFQ30" s="134"/>
      <c r="AFT30" s="134"/>
      <c r="AFW30" s="134"/>
      <c r="AFZ30" s="134"/>
      <c r="AGC30" s="134"/>
      <c r="AGF30" s="134"/>
      <c r="AGI30" s="134"/>
      <c r="AGL30" s="134"/>
      <c r="AGO30" s="134"/>
      <c r="AGR30" s="134"/>
      <c r="AGU30" s="134"/>
      <c r="AGX30" s="134"/>
      <c r="AHA30" s="134"/>
      <c r="AHD30" s="134"/>
      <c r="AHG30" s="134"/>
      <c r="AHJ30" s="134"/>
      <c r="AHM30" s="134"/>
      <c r="AHP30" s="134"/>
      <c r="AHS30" s="134"/>
      <c r="AHV30" s="134"/>
      <c r="AHY30" s="134"/>
      <c r="AIB30" s="134"/>
      <c r="AIE30" s="134"/>
      <c r="AIH30" s="134"/>
      <c r="AIK30" s="134"/>
      <c r="AIN30" s="134"/>
      <c r="AIQ30" s="134"/>
      <c r="AIT30" s="134"/>
      <c r="AIW30" s="134"/>
      <c r="AIZ30" s="134"/>
      <c r="AJC30" s="134"/>
      <c r="AJF30" s="134"/>
      <c r="AJI30" s="134"/>
      <c r="AJL30" s="134"/>
      <c r="AJO30" s="134"/>
      <c r="AJR30" s="134"/>
      <c r="AJU30" s="134"/>
      <c r="AJX30" s="134"/>
      <c r="AKA30" s="134"/>
      <c r="AKD30" s="134"/>
      <c r="AKG30" s="134"/>
      <c r="AKJ30" s="134"/>
      <c r="AKM30" s="134"/>
      <c r="AKP30" s="134"/>
      <c r="AKS30" s="134"/>
      <c r="AKV30" s="134"/>
      <c r="AKY30" s="134"/>
      <c r="ALB30" s="134"/>
      <c r="ALE30" s="134"/>
      <c r="ALH30" s="134"/>
      <c r="ALK30" s="134"/>
      <c r="ALN30" s="134"/>
      <c r="ALQ30" s="134"/>
      <c r="ALT30" s="134"/>
      <c r="ALW30" s="134"/>
      <c r="ALZ30" s="134"/>
      <c r="AMC30" s="134"/>
      <c r="AMF30" s="134"/>
      <c r="AMI30" s="134"/>
      <c r="AML30" s="134"/>
      <c r="AMO30" s="134"/>
      <c r="AMR30" s="134"/>
      <c r="AMU30" s="134"/>
      <c r="AMX30" s="134"/>
      <c r="ANA30" s="134"/>
      <c r="AND30" s="134"/>
      <c r="ANG30" s="134"/>
      <c r="ANJ30" s="134"/>
      <c r="ANM30" s="134"/>
      <c r="ANP30" s="134"/>
      <c r="ANS30" s="134"/>
      <c r="ANV30" s="134"/>
      <c r="ANY30" s="134"/>
      <c r="AOB30" s="134"/>
      <c r="AOE30" s="134"/>
      <c r="AOH30" s="134"/>
      <c r="AOK30" s="134"/>
      <c r="AON30" s="134"/>
      <c r="AOQ30" s="134"/>
      <c r="AOT30" s="134"/>
      <c r="AOW30" s="134"/>
      <c r="AOZ30" s="134"/>
      <c r="APC30" s="134"/>
      <c r="APF30" s="134"/>
      <c r="API30" s="134"/>
      <c r="APL30" s="134"/>
      <c r="APO30" s="134"/>
      <c r="APR30" s="134"/>
      <c r="APU30" s="134"/>
      <c r="APX30" s="134"/>
      <c r="AQA30" s="134"/>
      <c r="AQD30" s="134"/>
      <c r="AQG30" s="134"/>
      <c r="AQJ30" s="134"/>
      <c r="AQM30" s="134"/>
      <c r="AQP30" s="134"/>
      <c r="AQS30" s="134"/>
      <c r="AQV30" s="134"/>
      <c r="AQY30" s="134"/>
      <c r="ARB30" s="134"/>
      <c r="ARE30" s="134"/>
      <c r="ARH30" s="134"/>
      <c r="ARK30" s="134"/>
      <c r="ARN30" s="134"/>
      <c r="ARQ30" s="134"/>
      <c r="ART30" s="134"/>
      <c r="ARW30" s="134"/>
      <c r="ARZ30" s="134"/>
      <c r="ASC30" s="134"/>
      <c r="ASF30" s="134"/>
      <c r="ASI30" s="134"/>
      <c r="ASL30" s="134"/>
      <c r="ASO30" s="134"/>
      <c r="ASR30" s="134"/>
      <c r="ASU30" s="134"/>
      <c r="ASX30" s="134"/>
      <c r="ATA30" s="134"/>
      <c r="ATD30" s="134"/>
      <c r="ATG30" s="134"/>
      <c r="ATJ30" s="134"/>
      <c r="ATM30" s="134"/>
      <c r="ATP30" s="134"/>
      <c r="ATS30" s="134"/>
      <c r="ATV30" s="134"/>
      <c r="ATY30" s="134"/>
      <c r="AUB30" s="134"/>
      <c r="AUE30" s="134"/>
      <c r="AUH30" s="134"/>
      <c r="AUK30" s="134"/>
      <c r="AUN30" s="134"/>
      <c r="AUQ30" s="134"/>
      <c r="AUT30" s="134"/>
      <c r="AUW30" s="134"/>
      <c r="AUZ30" s="134"/>
      <c r="AVC30" s="134"/>
      <c r="AVF30" s="134"/>
      <c r="AVI30" s="134"/>
      <c r="AVL30" s="134"/>
      <c r="AVO30" s="134"/>
      <c r="AVR30" s="134"/>
      <c r="AVU30" s="134"/>
      <c r="AVX30" s="134"/>
      <c r="AWA30" s="134"/>
      <c r="AWD30" s="134"/>
      <c r="AWG30" s="134"/>
      <c r="AWJ30" s="134"/>
      <c r="AWM30" s="134"/>
      <c r="AWP30" s="134"/>
      <c r="AWS30" s="134"/>
      <c r="AWV30" s="134"/>
      <c r="AWY30" s="134"/>
      <c r="AXB30" s="134"/>
      <c r="AXE30" s="134"/>
      <c r="AXH30" s="134"/>
      <c r="AXK30" s="134"/>
      <c r="AXN30" s="134"/>
      <c r="AXQ30" s="134"/>
      <c r="AXT30" s="134"/>
      <c r="AXW30" s="134"/>
      <c r="AXZ30" s="134"/>
      <c r="AYC30" s="134"/>
      <c r="AYF30" s="134"/>
      <c r="AYI30" s="134"/>
      <c r="AYL30" s="134"/>
      <c r="AYO30" s="134"/>
      <c r="AYR30" s="134"/>
      <c r="AYU30" s="134"/>
      <c r="AYX30" s="134"/>
      <c r="AZA30" s="134"/>
      <c r="AZD30" s="134"/>
      <c r="AZG30" s="134"/>
      <c r="AZJ30" s="134"/>
      <c r="AZM30" s="134"/>
      <c r="AZP30" s="134"/>
      <c r="AZS30" s="134"/>
      <c r="AZV30" s="134"/>
      <c r="AZY30" s="134"/>
      <c r="BAB30" s="134"/>
      <c r="BAE30" s="134"/>
      <c r="BAH30" s="134"/>
      <c r="BAK30" s="134"/>
      <c r="BAN30" s="134"/>
      <c r="BAQ30" s="134"/>
      <c r="BAT30" s="134"/>
      <c r="BAW30" s="134"/>
      <c r="BAZ30" s="134"/>
      <c r="BBC30" s="134"/>
      <c r="BBF30" s="134"/>
      <c r="BBI30" s="134"/>
      <c r="BBL30" s="134"/>
      <c r="BBO30" s="134"/>
      <c r="BBR30" s="134"/>
      <c r="BBU30" s="134"/>
      <c r="BBX30" s="134"/>
      <c r="BCA30" s="134"/>
      <c r="BCD30" s="134"/>
      <c r="BCG30" s="134"/>
      <c r="BCJ30" s="134"/>
      <c r="BCM30" s="134"/>
      <c r="BCP30" s="134"/>
      <c r="BCS30" s="134"/>
      <c r="BCV30" s="134"/>
      <c r="BCY30" s="134"/>
      <c r="BDB30" s="134"/>
      <c r="BDE30" s="134"/>
      <c r="BDH30" s="134"/>
      <c r="BDK30" s="134"/>
      <c r="BDN30" s="134"/>
      <c r="BDQ30" s="134"/>
      <c r="BDT30" s="134"/>
      <c r="BDW30" s="134"/>
      <c r="BDZ30" s="134"/>
      <c r="BEC30" s="134"/>
      <c r="BEF30" s="134"/>
      <c r="BEI30" s="134"/>
      <c r="BEL30" s="134"/>
      <c r="BEO30" s="134"/>
      <c r="BER30" s="134"/>
      <c r="BEU30" s="134"/>
      <c r="BEX30" s="134"/>
      <c r="BFA30" s="134"/>
      <c r="BFD30" s="134"/>
      <c r="BFG30" s="134"/>
      <c r="BFJ30" s="134"/>
      <c r="BFM30" s="134"/>
      <c r="BFP30" s="134"/>
      <c r="BFS30" s="134"/>
      <c r="BFV30" s="134"/>
      <c r="BFY30" s="134"/>
      <c r="BGB30" s="134"/>
      <c r="BGE30" s="134"/>
      <c r="BGH30" s="134"/>
      <c r="BGK30" s="134"/>
      <c r="BGN30" s="134"/>
      <c r="BGQ30" s="134"/>
      <c r="BGT30" s="134"/>
      <c r="BGW30" s="134"/>
      <c r="BGZ30" s="134"/>
      <c r="BHC30" s="134"/>
      <c r="BHF30" s="134"/>
      <c r="BHI30" s="134"/>
      <c r="BHL30" s="134"/>
      <c r="BHO30" s="134"/>
      <c r="BHR30" s="134"/>
      <c r="BHU30" s="134"/>
      <c r="BHX30" s="134"/>
      <c r="BIA30" s="134"/>
      <c r="BID30" s="134"/>
      <c r="BIG30" s="134"/>
      <c r="BIJ30" s="134"/>
      <c r="BIM30" s="134"/>
      <c r="BIP30" s="134"/>
      <c r="BIS30" s="134"/>
      <c r="BIV30" s="134"/>
      <c r="BIY30" s="134"/>
      <c r="BJB30" s="134"/>
      <c r="BJE30" s="134"/>
      <c r="BJH30" s="134"/>
      <c r="BJK30" s="134"/>
      <c r="BJN30" s="134"/>
      <c r="BJQ30" s="134"/>
      <c r="BJT30" s="134"/>
      <c r="BJW30" s="134"/>
      <c r="BJZ30" s="134"/>
      <c r="BKC30" s="134"/>
      <c r="BKF30" s="134"/>
      <c r="BKI30" s="134"/>
      <c r="BKL30" s="134"/>
      <c r="BKO30" s="134"/>
      <c r="BKR30" s="134"/>
      <c r="BKU30" s="134"/>
      <c r="BKX30" s="134"/>
      <c r="BLA30" s="134"/>
      <c r="BLD30" s="134"/>
      <c r="BLG30" s="134"/>
      <c r="BLJ30" s="134"/>
      <c r="BLM30" s="134"/>
      <c r="BLP30" s="134"/>
      <c r="BLS30" s="134"/>
      <c r="BLV30" s="134"/>
      <c r="BLY30" s="134"/>
      <c r="BMB30" s="134"/>
      <c r="BME30" s="134"/>
      <c r="BMH30" s="134"/>
      <c r="BMK30" s="134"/>
      <c r="BMN30" s="134"/>
      <c r="BMQ30" s="134"/>
      <c r="BMT30" s="134"/>
      <c r="BMW30" s="134"/>
      <c r="BMZ30" s="134"/>
      <c r="BNC30" s="134"/>
      <c r="BNF30" s="134"/>
      <c r="BNI30" s="134"/>
      <c r="BNL30" s="134"/>
      <c r="BNO30" s="134"/>
      <c r="BNR30" s="134"/>
      <c r="BNU30" s="134"/>
      <c r="BNX30" s="134"/>
      <c r="BOA30" s="134"/>
      <c r="BOD30" s="134"/>
      <c r="BOG30" s="134"/>
      <c r="BOJ30" s="134"/>
      <c r="BOM30" s="134"/>
      <c r="BOP30" s="134"/>
      <c r="BOS30" s="134"/>
      <c r="BOV30" s="134"/>
      <c r="BOY30" s="134"/>
      <c r="BPB30" s="134"/>
      <c r="BPE30" s="134"/>
      <c r="BPH30" s="134"/>
      <c r="BPK30" s="134"/>
      <c r="BPN30" s="134"/>
      <c r="BPQ30" s="134"/>
      <c r="BPT30" s="134"/>
      <c r="BPW30" s="134"/>
      <c r="BPZ30" s="134"/>
      <c r="BQC30" s="134"/>
      <c r="BQF30" s="134"/>
      <c r="BQI30" s="134"/>
      <c r="BQL30" s="134"/>
      <c r="BQO30" s="134"/>
      <c r="BQR30" s="134"/>
      <c r="BQU30" s="134"/>
      <c r="BQX30" s="134"/>
      <c r="BRA30" s="134"/>
      <c r="BRD30" s="134"/>
      <c r="BRG30" s="134"/>
      <c r="BRJ30" s="134"/>
      <c r="BRM30" s="134"/>
      <c r="BRP30" s="134"/>
      <c r="BRS30" s="134"/>
      <c r="BRV30" s="134"/>
      <c r="BRY30" s="134"/>
      <c r="BSB30" s="134"/>
      <c r="BSE30" s="134"/>
      <c r="BSH30" s="134"/>
      <c r="BSK30" s="134"/>
      <c r="BSN30" s="134"/>
      <c r="BSQ30" s="134"/>
      <c r="BST30" s="134"/>
      <c r="BSW30" s="134"/>
      <c r="BSZ30" s="134"/>
      <c r="BTC30" s="134"/>
      <c r="BTF30" s="134"/>
      <c r="BTI30" s="134"/>
      <c r="BTL30" s="134"/>
      <c r="BTO30" s="134"/>
      <c r="BTR30" s="134"/>
      <c r="BTU30" s="134"/>
      <c r="BTX30" s="134"/>
      <c r="BUA30" s="134"/>
      <c r="BUD30" s="134"/>
      <c r="BUG30" s="134"/>
      <c r="BUJ30" s="134"/>
      <c r="BUM30" s="134"/>
      <c r="BUP30" s="134"/>
      <c r="BUS30" s="134"/>
      <c r="BUV30" s="134"/>
      <c r="BUY30" s="134"/>
      <c r="BVB30" s="134"/>
      <c r="BVE30" s="134"/>
      <c r="BVH30" s="134"/>
      <c r="BVK30" s="134"/>
      <c r="BVN30" s="134"/>
      <c r="BVQ30" s="134"/>
      <c r="BVT30" s="134"/>
      <c r="BVW30" s="134"/>
      <c r="BVZ30" s="134"/>
      <c r="BWC30" s="134"/>
      <c r="BWF30" s="134"/>
      <c r="BWI30" s="134"/>
      <c r="BWL30" s="134"/>
      <c r="BWO30" s="134"/>
      <c r="BWR30" s="134"/>
      <c r="BWU30" s="134"/>
      <c r="BWX30" s="134"/>
      <c r="BXA30" s="134"/>
      <c r="BXD30" s="134"/>
      <c r="BXG30" s="134"/>
      <c r="BXJ30" s="134"/>
      <c r="BXM30" s="134"/>
      <c r="BXP30" s="134"/>
      <c r="BXS30" s="134"/>
      <c r="BXV30" s="134"/>
      <c r="BXY30" s="134"/>
      <c r="BYB30" s="134"/>
      <c r="BYE30" s="134"/>
      <c r="BYH30" s="134"/>
      <c r="BYK30" s="134"/>
      <c r="BYN30" s="134"/>
      <c r="BYQ30" s="134"/>
      <c r="BYT30" s="134"/>
      <c r="BYW30" s="134"/>
      <c r="BYZ30" s="134"/>
      <c r="BZC30" s="134"/>
      <c r="BZF30" s="134"/>
      <c r="BZI30" s="134"/>
      <c r="BZL30" s="134"/>
      <c r="BZO30" s="134"/>
      <c r="BZR30" s="134"/>
      <c r="BZU30" s="134"/>
      <c r="BZX30" s="134"/>
      <c r="CAA30" s="134"/>
      <c r="CAD30" s="134"/>
      <c r="CAG30" s="134"/>
      <c r="CAJ30" s="134"/>
      <c r="CAM30" s="134"/>
      <c r="CAP30" s="134"/>
      <c r="CAS30" s="134"/>
      <c r="CAV30" s="134"/>
      <c r="CAY30" s="134"/>
      <c r="CBB30" s="134"/>
      <c r="CBE30" s="134"/>
      <c r="CBH30" s="134"/>
      <c r="CBK30" s="134"/>
      <c r="CBN30" s="134"/>
      <c r="CBQ30" s="134"/>
      <c r="CBT30" s="134"/>
      <c r="CBW30" s="134"/>
      <c r="CBZ30" s="134"/>
      <c r="CCC30" s="134"/>
      <c r="CCF30" s="134"/>
      <c r="CCI30" s="134"/>
      <c r="CCL30" s="134"/>
      <c r="CCO30" s="134"/>
      <c r="CCR30" s="134"/>
      <c r="CCU30" s="134"/>
      <c r="CCX30" s="134"/>
      <c r="CDA30" s="134"/>
      <c r="CDD30" s="134"/>
      <c r="CDG30" s="134"/>
      <c r="CDJ30" s="134"/>
      <c r="CDM30" s="134"/>
      <c r="CDP30" s="134"/>
      <c r="CDS30" s="134"/>
      <c r="CDV30" s="134"/>
      <c r="CDY30" s="134"/>
      <c r="CEB30" s="134"/>
      <c r="CEE30" s="134"/>
      <c r="CEH30" s="134"/>
      <c r="CEK30" s="134"/>
      <c r="CEN30" s="134"/>
      <c r="CEQ30" s="134"/>
      <c r="CET30" s="134"/>
      <c r="CEW30" s="134"/>
      <c r="CEZ30" s="134"/>
      <c r="CFC30" s="134"/>
      <c r="CFF30" s="134"/>
      <c r="CFI30" s="134"/>
      <c r="CFL30" s="134"/>
      <c r="CFO30" s="134"/>
      <c r="CFR30" s="134"/>
      <c r="CFU30" s="134"/>
      <c r="CFX30" s="134"/>
      <c r="CGA30" s="134"/>
      <c r="CGD30" s="134"/>
      <c r="CGG30" s="134"/>
      <c r="CGJ30" s="134"/>
      <c r="CGM30" s="134"/>
      <c r="CGP30" s="134"/>
      <c r="CGS30" s="134"/>
      <c r="CGV30" s="134"/>
      <c r="CGY30" s="134"/>
      <c r="CHB30" s="134"/>
      <c r="CHE30" s="134"/>
      <c r="CHH30" s="134"/>
      <c r="CHK30" s="134"/>
      <c r="CHN30" s="134"/>
      <c r="CHQ30" s="134"/>
      <c r="CHT30" s="134"/>
      <c r="CHW30" s="134"/>
      <c r="CHZ30" s="134"/>
      <c r="CIC30" s="134"/>
      <c r="CIF30" s="134"/>
      <c r="CII30" s="134"/>
      <c r="CIL30" s="134"/>
      <c r="CIO30" s="134"/>
      <c r="CIR30" s="134"/>
      <c r="CIU30" s="134"/>
      <c r="CIX30" s="134"/>
      <c r="CJA30" s="134"/>
      <c r="CJD30" s="134"/>
      <c r="CJG30" s="134"/>
      <c r="CJJ30" s="134"/>
      <c r="CJM30" s="134"/>
      <c r="CJP30" s="134"/>
      <c r="CJS30" s="134"/>
      <c r="CJV30" s="134"/>
      <c r="CJY30" s="134"/>
      <c r="CKB30" s="134"/>
      <c r="CKE30" s="134"/>
      <c r="CKH30" s="134"/>
      <c r="CKK30" s="134"/>
      <c r="CKN30" s="134"/>
      <c r="CKQ30" s="134"/>
      <c r="CKT30" s="134"/>
      <c r="CKW30" s="134"/>
      <c r="CKZ30" s="134"/>
      <c r="CLC30" s="134"/>
      <c r="CLF30" s="134"/>
      <c r="CLI30" s="134"/>
      <c r="CLL30" s="134"/>
      <c r="CLO30" s="134"/>
      <c r="CLR30" s="134"/>
      <c r="CLU30" s="134"/>
      <c r="CLX30" s="134"/>
      <c r="CMA30" s="134"/>
      <c r="CMD30" s="134"/>
      <c r="CMG30" s="134"/>
      <c r="CMJ30" s="134"/>
      <c r="CMM30" s="134"/>
      <c r="CMP30" s="134"/>
      <c r="CMS30" s="134"/>
      <c r="CMV30" s="134"/>
      <c r="CMY30" s="134"/>
      <c r="CNB30" s="134"/>
      <c r="CNE30" s="134"/>
      <c r="CNH30" s="134"/>
      <c r="CNK30" s="134"/>
      <c r="CNN30" s="134"/>
      <c r="CNQ30" s="134"/>
      <c r="CNT30" s="134"/>
      <c r="CNW30" s="134"/>
      <c r="CNZ30" s="134"/>
      <c r="COC30" s="134"/>
      <c r="COF30" s="134"/>
      <c r="COI30" s="134"/>
      <c r="COL30" s="134"/>
      <c r="COO30" s="134"/>
      <c r="COR30" s="134"/>
      <c r="COU30" s="134"/>
      <c r="COX30" s="134"/>
      <c r="CPA30" s="134"/>
      <c r="CPD30" s="134"/>
      <c r="CPG30" s="134"/>
      <c r="CPJ30" s="134"/>
      <c r="CPM30" s="134"/>
      <c r="CPP30" s="134"/>
      <c r="CPS30" s="134"/>
      <c r="CPV30" s="134"/>
      <c r="CPY30" s="134"/>
      <c r="CQB30" s="134"/>
      <c r="CQE30" s="134"/>
      <c r="CQH30" s="134"/>
      <c r="CQK30" s="134"/>
      <c r="CQN30" s="134"/>
      <c r="CQQ30" s="134"/>
      <c r="CQT30" s="134"/>
      <c r="CQW30" s="134"/>
      <c r="CQZ30" s="134"/>
      <c r="CRC30" s="134"/>
      <c r="CRF30" s="134"/>
      <c r="CRI30" s="134"/>
      <c r="CRL30" s="134"/>
      <c r="CRO30" s="134"/>
      <c r="CRR30" s="134"/>
      <c r="CRU30" s="134"/>
      <c r="CRX30" s="134"/>
      <c r="CSA30" s="134"/>
      <c r="CSD30" s="134"/>
      <c r="CSG30" s="134"/>
      <c r="CSJ30" s="134"/>
      <c r="CSM30" s="134"/>
      <c r="CSP30" s="134"/>
      <c r="CSS30" s="134"/>
      <c r="CSV30" s="134"/>
      <c r="CSY30" s="134"/>
      <c r="CTB30" s="134"/>
      <c r="CTE30" s="134"/>
      <c r="CTH30" s="134"/>
      <c r="CTK30" s="134"/>
      <c r="CTN30" s="134"/>
      <c r="CTQ30" s="134"/>
      <c r="CTT30" s="134"/>
      <c r="CTW30" s="134"/>
      <c r="CTZ30" s="134"/>
      <c r="CUC30" s="134"/>
      <c r="CUF30" s="134"/>
      <c r="CUI30" s="134"/>
      <c r="CUL30" s="134"/>
      <c r="CUO30" s="134"/>
      <c r="CUR30" s="134"/>
      <c r="CUU30" s="134"/>
      <c r="CUX30" s="134"/>
      <c r="CVA30" s="134"/>
      <c r="CVD30" s="134"/>
      <c r="CVG30" s="134"/>
      <c r="CVJ30" s="134"/>
      <c r="CVM30" s="134"/>
      <c r="CVP30" s="134"/>
      <c r="CVS30" s="134"/>
      <c r="CVV30" s="134"/>
      <c r="CVY30" s="134"/>
      <c r="CWB30" s="134"/>
      <c r="CWE30" s="134"/>
      <c r="CWH30" s="134"/>
      <c r="CWK30" s="134"/>
      <c r="CWN30" s="134"/>
      <c r="CWQ30" s="134"/>
      <c r="CWT30" s="134"/>
      <c r="CWW30" s="134"/>
      <c r="CWZ30" s="134"/>
      <c r="CXC30" s="134"/>
      <c r="CXF30" s="134"/>
      <c r="CXI30" s="134"/>
      <c r="CXL30" s="134"/>
      <c r="CXO30" s="134"/>
      <c r="CXR30" s="134"/>
      <c r="CXU30" s="134"/>
      <c r="CXX30" s="134"/>
      <c r="CYA30" s="134"/>
      <c r="CYD30" s="134"/>
      <c r="CYG30" s="134"/>
      <c r="CYJ30" s="134"/>
      <c r="CYM30" s="134"/>
      <c r="CYP30" s="134"/>
      <c r="CYS30" s="134"/>
      <c r="CYV30" s="134"/>
      <c r="CYY30" s="134"/>
      <c r="CZB30" s="134"/>
      <c r="CZE30" s="134"/>
      <c r="CZH30" s="134"/>
      <c r="CZK30" s="134"/>
      <c r="CZN30" s="134"/>
      <c r="CZQ30" s="134"/>
      <c r="CZT30" s="134"/>
      <c r="CZW30" s="134"/>
      <c r="CZZ30" s="134"/>
      <c r="DAC30" s="134"/>
      <c r="DAF30" s="134"/>
      <c r="DAI30" s="134"/>
      <c r="DAL30" s="134"/>
      <c r="DAO30" s="134"/>
      <c r="DAR30" s="134"/>
      <c r="DAU30" s="134"/>
      <c r="DAX30" s="134"/>
      <c r="DBA30" s="134"/>
      <c r="DBD30" s="134"/>
      <c r="DBG30" s="134"/>
      <c r="DBJ30" s="134"/>
      <c r="DBM30" s="134"/>
      <c r="DBP30" s="134"/>
      <c r="DBS30" s="134"/>
      <c r="DBV30" s="134"/>
      <c r="DBY30" s="134"/>
      <c r="DCB30" s="134"/>
      <c r="DCE30" s="134"/>
      <c r="DCH30" s="134"/>
      <c r="DCK30" s="134"/>
      <c r="DCN30" s="134"/>
      <c r="DCQ30" s="134"/>
      <c r="DCT30" s="134"/>
      <c r="DCW30" s="134"/>
      <c r="DCZ30" s="134"/>
      <c r="DDC30" s="134"/>
      <c r="DDF30" s="134"/>
      <c r="DDI30" s="134"/>
      <c r="DDL30" s="134"/>
      <c r="DDO30" s="134"/>
      <c r="DDR30" s="134"/>
      <c r="DDU30" s="134"/>
      <c r="DDX30" s="134"/>
      <c r="DEA30" s="134"/>
      <c r="DED30" s="134"/>
      <c r="DEG30" s="134"/>
      <c r="DEJ30" s="134"/>
      <c r="DEM30" s="134"/>
      <c r="DEP30" s="134"/>
      <c r="DES30" s="134"/>
      <c r="DEV30" s="134"/>
      <c r="DEY30" s="134"/>
      <c r="DFB30" s="134"/>
      <c r="DFE30" s="134"/>
      <c r="DFH30" s="134"/>
      <c r="DFK30" s="134"/>
      <c r="DFN30" s="134"/>
      <c r="DFQ30" s="134"/>
      <c r="DFT30" s="134"/>
      <c r="DFW30" s="134"/>
      <c r="DFZ30" s="134"/>
      <c r="DGC30" s="134"/>
      <c r="DGF30" s="134"/>
      <c r="DGI30" s="134"/>
      <c r="DGL30" s="134"/>
      <c r="DGO30" s="134"/>
      <c r="DGR30" s="134"/>
      <c r="DGU30" s="134"/>
      <c r="DGX30" s="134"/>
      <c r="DHA30" s="134"/>
      <c r="DHD30" s="134"/>
      <c r="DHG30" s="134"/>
      <c r="DHJ30" s="134"/>
      <c r="DHM30" s="134"/>
      <c r="DHP30" s="134"/>
      <c r="DHS30" s="134"/>
      <c r="DHV30" s="134"/>
      <c r="DHY30" s="134"/>
      <c r="DIB30" s="134"/>
      <c r="DIE30" s="134"/>
      <c r="DIH30" s="134"/>
      <c r="DIK30" s="134"/>
      <c r="DIN30" s="134"/>
      <c r="DIQ30" s="134"/>
      <c r="DIT30" s="134"/>
      <c r="DIW30" s="134"/>
      <c r="DIZ30" s="134"/>
      <c r="DJC30" s="134"/>
      <c r="DJF30" s="134"/>
      <c r="DJI30" s="134"/>
      <c r="DJL30" s="134"/>
      <c r="DJO30" s="134"/>
      <c r="DJR30" s="134"/>
      <c r="DJU30" s="134"/>
      <c r="DJX30" s="134"/>
      <c r="DKA30" s="134"/>
      <c r="DKD30" s="134"/>
      <c r="DKG30" s="134"/>
      <c r="DKJ30" s="134"/>
      <c r="DKM30" s="134"/>
      <c r="DKP30" s="134"/>
      <c r="DKS30" s="134"/>
      <c r="DKV30" s="134"/>
      <c r="DKY30" s="134"/>
      <c r="DLB30" s="134"/>
      <c r="DLE30" s="134"/>
      <c r="DLH30" s="134"/>
      <c r="DLK30" s="134"/>
      <c r="DLN30" s="134"/>
      <c r="DLQ30" s="134"/>
      <c r="DLT30" s="134"/>
      <c r="DLW30" s="134"/>
      <c r="DLZ30" s="134"/>
      <c r="DMC30" s="134"/>
      <c r="DMF30" s="134"/>
      <c r="DMI30" s="134"/>
      <c r="DML30" s="134"/>
      <c r="DMO30" s="134"/>
      <c r="DMR30" s="134"/>
      <c r="DMU30" s="134"/>
      <c r="DMX30" s="134"/>
      <c r="DNA30" s="134"/>
      <c r="DND30" s="134"/>
      <c r="DNG30" s="134"/>
      <c r="DNJ30" s="134"/>
      <c r="DNM30" s="134"/>
      <c r="DNP30" s="134"/>
      <c r="DNS30" s="134"/>
      <c r="DNV30" s="134"/>
      <c r="DNY30" s="134"/>
      <c r="DOB30" s="134"/>
      <c r="DOE30" s="134"/>
      <c r="DOH30" s="134"/>
      <c r="DOK30" s="134"/>
      <c r="DON30" s="134"/>
      <c r="DOQ30" s="134"/>
      <c r="DOT30" s="134"/>
      <c r="DOW30" s="134"/>
      <c r="DOZ30" s="134"/>
      <c r="DPC30" s="134"/>
      <c r="DPF30" s="134"/>
      <c r="DPI30" s="134"/>
      <c r="DPL30" s="134"/>
      <c r="DPO30" s="134"/>
      <c r="DPR30" s="134"/>
      <c r="DPU30" s="134"/>
      <c r="DPX30" s="134"/>
      <c r="DQA30" s="134"/>
      <c r="DQD30" s="134"/>
      <c r="DQG30" s="134"/>
      <c r="DQJ30" s="134"/>
      <c r="DQM30" s="134"/>
      <c r="DQP30" s="134"/>
      <c r="DQS30" s="134"/>
      <c r="DQV30" s="134"/>
      <c r="DQY30" s="134"/>
      <c r="DRB30" s="134"/>
      <c r="DRE30" s="134"/>
      <c r="DRH30" s="134"/>
      <c r="DRK30" s="134"/>
      <c r="DRN30" s="134"/>
      <c r="DRQ30" s="134"/>
      <c r="DRT30" s="134"/>
      <c r="DRW30" s="134"/>
      <c r="DRZ30" s="134"/>
      <c r="DSC30" s="134"/>
      <c r="DSF30" s="134"/>
      <c r="DSI30" s="134"/>
      <c r="DSL30" s="134"/>
      <c r="DSO30" s="134"/>
      <c r="DSR30" s="134"/>
      <c r="DSU30" s="134"/>
      <c r="DSX30" s="134"/>
      <c r="DTA30" s="134"/>
      <c r="DTD30" s="134"/>
      <c r="DTG30" s="134"/>
      <c r="DTJ30" s="134"/>
      <c r="DTM30" s="134"/>
      <c r="DTP30" s="134"/>
      <c r="DTS30" s="134"/>
      <c r="DTV30" s="134"/>
      <c r="DTY30" s="134"/>
      <c r="DUB30" s="134"/>
      <c r="DUE30" s="134"/>
      <c r="DUH30" s="134"/>
      <c r="DUK30" s="134"/>
      <c r="DUN30" s="134"/>
      <c r="DUQ30" s="134"/>
      <c r="DUT30" s="134"/>
      <c r="DUW30" s="134"/>
      <c r="DUZ30" s="134"/>
      <c r="DVC30" s="134"/>
      <c r="DVF30" s="134"/>
      <c r="DVI30" s="134"/>
      <c r="DVL30" s="134"/>
      <c r="DVO30" s="134"/>
      <c r="DVR30" s="134"/>
      <c r="DVU30" s="134"/>
      <c r="DVX30" s="134"/>
      <c r="DWA30" s="134"/>
      <c r="DWD30" s="134"/>
      <c r="DWG30" s="134"/>
      <c r="DWJ30" s="134"/>
      <c r="DWM30" s="134"/>
      <c r="DWP30" s="134"/>
      <c r="DWS30" s="134"/>
      <c r="DWV30" s="134"/>
      <c r="DWY30" s="134"/>
      <c r="DXB30" s="134"/>
      <c r="DXE30" s="134"/>
      <c r="DXH30" s="134"/>
      <c r="DXK30" s="134"/>
      <c r="DXN30" s="134"/>
      <c r="DXQ30" s="134"/>
      <c r="DXT30" s="134"/>
      <c r="DXW30" s="134"/>
      <c r="DXZ30" s="134"/>
      <c r="DYC30" s="134"/>
      <c r="DYF30" s="134"/>
      <c r="DYI30" s="134"/>
      <c r="DYL30" s="134"/>
      <c r="DYO30" s="134"/>
      <c r="DYR30" s="134"/>
      <c r="DYU30" s="134"/>
      <c r="DYX30" s="134"/>
      <c r="DZA30" s="134"/>
      <c r="DZD30" s="134"/>
      <c r="DZG30" s="134"/>
      <c r="DZJ30" s="134"/>
      <c r="DZM30" s="134"/>
      <c r="DZP30" s="134"/>
      <c r="DZS30" s="134"/>
      <c r="DZV30" s="134"/>
      <c r="DZY30" s="134"/>
      <c r="EAB30" s="134"/>
      <c r="EAE30" s="134"/>
      <c r="EAH30" s="134"/>
      <c r="EAK30" s="134"/>
      <c r="EAN30" s="134"/>
      <c r="EAQ30" s="134"/>
      <c r="EAT30" s="134"/>
      <c r="EAW30" s="134"/>
      <c r="EAZ30" s="134"/>
      <c r="EBC30" s="134"/>
      <c r="EBF30" s="134"/>
      <c r="EBI30" s="134"/>
      <c r="EBL30" s="134"/>
      <c r="EBO30" s="134"/>
      <c r="EBR30" s="134"/>
      <c r="EBU30" s="134"/>
      <c r="EBX30" s="134"/>
      <c r="ECA30" s="134"/>
      <c r="ECD30" s="134"/>
      <c r="ECG30" s="134"/>
      <c r="ECJ30" s="134"/>
      <c r="ECM30" s="134"/>
      <c r="ECP30" s="134"/>
      <c r="ECS30" s="134"/>
      <c r="ECV30" s="134"/>
      <c r="ECY30" s="134"/>
      <c r="EDB30" s="134"/>
      <c r="EDE30" s="134"/>
      <c r="EDH30" s="134"/>
      <c r="EDK30" s="134"/>
      <c r="EDN30" s="134"/>
      <c r="EDQ30" s="134"/>
      <c r="EDT30" s="134"/>
      <c r="EDW30" s="134"/>
      <c r="EDZ30" s="134"/>
      <c r="EEC30" s="134"/>
      <c r="EEF30" s="134"/>
      <c r="EEI30" s="134"/>
      <c r="EEL30" s="134"/>
      <c r="EEO30" s="134"/>
      <c r="EER30" s="134"/>
      <c r="EEU30" s="134"/>
      <c r="EEX30" s="134"/>
      <c r="EFA30" s="134"/>
      <c r="EFD30" s="134"/>
      <c r="EFG30" s="134"/>
      <c r="EFJ30" s="134"/>
      <c r="EFM30" s="134"/>
      <c r="EFP30" s="134"/>
      <c r="EFS30" s="134"/>
      <c r="EFV30" s="134"/>
      <c r="EFY30" s="134"/>
      <c r="EGB30" s="134"/>
      <c r="EGE30" s="134"/>
      <c r="EGH30" s="134"/>
      <c r="EGK30" s="134"/>
      <c r="EGN30" s="134"/>
      <c r="EGQ30" s="134"/>
      <c r="EGT30" s="134"/>
      <c r="EGW30" s="134"/>
      <c r="EGZ30" s="134"/>
      <c r="EHC30" s="134"/>
      <c r="EHF30" s="134"/>
      <c r="EHI30" s="134"/>
      <c r="EHL30" s="134"/>
      <c r="EHO30" s="134"/>
      <c r="EHR30" s="134"/>
      <c r="EHU30" s="134"/>
      <c r="EHX30" s="134"/>
      <c r="EIA30" s="134"/>
      <c r="EID30" s="134"/>
      <c r="EIG30" s="134"/>
      <c r="EIJ30" s="134"/>
      <c r="EIM30" s="134"/>
      <c r="EIP30" s="134"/>
      <c r="EIS30" s="134"/>
      <c r="EIV30" s="134"/>
      <c r="EIY30" s="134"/>
      <c r="EJB30" s="134"/>
      <c r="EJE30" s="134"/>
      <c r="EJH30" s="134"/>
      <c r="EJK30" s="134"/>
      <c r="EJN30" s="134"/>
      <c r="EJQ30" s="134"/>
      <c r="EJT30" s="134"/>
      <c r="EJW30" s="134"/>
      <c r="EJZ30" s="134"/>
      <c r="EKC30" s="134"/>
      <c r="EKF30" s="134"/>
      <c r="EKI30" s="134"/>
      <c r="EKL30" s="134"/>
      <c r="EKO30" s="134"/>
      <c r="EKR30" s="134"/>
      <c r="EKU30" s="134"/>
      <c r="EKX30" s="134"/>
      <c r="ELA30" s="134"/>
      <c r="ELD30" s="134"/>
      <c r="ELG30" s="134"/>
      <c r="ELJ30" s="134"/>
      <c r="ELM30" s="134"/>
      <c r="ELP30" s="134"/>
      <c r="ELS30" s="134"/>
      <c r="ELV30" s="134"/>
      <c r="ELY30" s="134"/>
      <c r="EMB30" s="134"/>
      <c r="EME30" s="134"/>
      <c r="EMH30" s="134"/>
      <c r="EMK30" s="134"/>
      <c r="EMN30" s="134"/>
      <c r="EMQ30" s="134"/>
      <c r="EMT30" s="134"/>
      <c r="EMW30" s="134"/>
      <c r="EMZ30" s="134"/>
      <c r="ENC30" s="134"/>
      <c r="ENF30" s="134"/>
      <c r="ENI30" s="134"/>
      <c r="ENL30" s="134"/>
      <c r="ENO30" s="134"/>
      <c r="ENR30" s="134"/>
      <c r="ENU30" s="134"/>
      <c r="ENX30" s="134"/>
      <c r="EOA30" s="134"/>
      <c r="EOD30" s="134"/>
      <c r="EOG30" s="134"/>
      <c r="EOJ30" s="134"/>
      <c r="EOM30" s="134"/>
      <c r="EOP30" s="134"/>
      <c r="EOS30" s="134"/>
      <c r="EOV30" s="134"/>
      <c r="EOY30" s="134"/>
      <c r="EPB30" s="134"/>
      <c r="EPE30" s="134"/>
      <c r="EPH30" s="134"/>
      <c r="EPK30" s="134"/>
      <c r="EPN30" s="134"/>
      <c r="EPQ30" s="134"/>
      <c r="EPT30" s="134"/>
      <c r="EPW30" s="134"/>
      <c r="EPZ30" s="134"/>
      <c r="EQC30" s="134"/>
      <c r="EQF30" s="134"/>
      <c r="EQI30" s="134"/>
      <c r="EQL30" s="134"/>
      <c r="EQO30" s="134"/>
      <c r="EQR30" s="134"/>
      <c r="EQU30" s="134"/>
      <c r="EQX30" s="134"/>
      <c r="ERA30" s="134"/>
      <c r="ERD30" s="134"/>
      <c r="ERG30" s="134"/>
      <c r="ERJ30" s="134"/>
      <c r="ERM30" s="134"/>
      <c r="ERP30" s="134"/>
      <c r="ERS30" s="134"/>
      <c r="ERV30" s="134"/>
      <c r="ERY30" s="134"/>
      <c r="ESB30" s="134"/>
      <c r="ESE30" s="134"/>
      <c r="ESH30" s="134"/>
      <c r="ESK30" s="134"/>
      <c r="ESN30" s="134"/>
      <c r="ESQ30" s="134"/>
      <c r="EST30" s="134"/>
      <c r="ESW30" s="134"/>
      <c r="ESZ30" s="134"/>
      <c r="ETC30" s="134"/>
      <c r="ETF30" s="134"/>
      <c r="ETI30" s="134"/>
      <c r="ETL30" s="134"/>
      <c r="ETO30" s="134"/>
      <c r="ETR30" s="134"/>
      <c r="ETU30" s="134"/>
      <c r="ETX30" s="134"/>
      <c r="EUA30" s="134"/>
      <c r="EUD30" s="134"/>
      <c r="EUG30" s="134"/>
      <c r="EUJ30" s="134"/>
      <c r="EUM30" s="134"/>
      <c r="EUP30" s="134"/>
      <c r="EUS30" s="134"/>
      <c r="EUV30" s="134"/>
      <c r="EUY30" s="134"/>
      <c r="EVB30" s="134"/>
      <c r="EVE30" s="134"/>
      <c r="EVH30" s="134"/>
      <c r="EVK30" s="134"/>
      <c r="EVN30" s="134"/>
      <c r="EVQ30" s="134"/>
      <c r="EVT30" s="134"/>
      <c r="EVW30" s="134"/>
      <c r="EVZ30" s="134"/>
      <c r="EWC30" s="134"/>
      <c r="EWF30" s="134"/>
      <c r="EWI30" s="134"/>
      <c r="EWL30" s="134"/>
      <c r="EWO30" s="134"/>
      <c r="EWR30" s="134"/>
      <c r="EWU30" s="134"/>
      <c r="EWX30" s="134"/>
      <c r="EXA30" s="134"/>
      <c r="EXD30" s="134"/>
      <c r="EXG30" s="134"/>
      <c r="EXJ30" s="134"/>
      <c r="EXM30" s="134"/>
      <c r="EXP30" s="134"/>
      <c r="EXS30" s="134"/>
      <c r="EXV30" s="134"/>
      <c r="EXY30" s="134"/>
      <c r="EYB30" s="134"/>
      <c r="EYE30" s="134"/>
      <c r="EYH30" s="134"/>
      <c r="EYK30" s="134"/>
      <c r="EYN30" s="134"/>
      <c r="EYQ30" s="134"/>
      <c r="EYT30" s="134"/>
      <c r="EYW30" s="134"/>
      <c r="EYZ30" s="134"/>
      <c r="EZC30" s="134"/>
      <c r="EZF30" s="134"/>
      <c r="EZI30" s="134"/>
      <c r="EZL30" s="134"/>
      <c r="EZO30" s="134"/>
      <c r="EZR30" s="134"/>
      <c r="EZU30" s="134"/>
      <c r="EZX30" s="134"/>
      <c r="FAA30" s="134"/>
      <c r="FAD30" s="134"/>
      <c r="FAG30" s="134"/>
      <c r="FAJ30" s="134"/>
      <c r="FAM30" s="134"/>
      <c r="FAP30" s="134"/>
      <c r="FAS30" s="134"/>
      <c r="FAV30" s="134"/>
      <c r="FAY30" s="134"/>
      <c r="FBB30" s="134"/>
      <c r="FBE30" s="134"/>
      <c r="FBH30" s="134"/>
      <c r="FBK30" s="134"/>
      <c r="FBN30" s="134"/>
      <c r="FBQ30" s="134"/>
      <c r="FBT30" s="134"/>
      <c r="FBW30" s="134"/>
      <c r="FBZ30" s="134"/>
      <c r="FCC30" s="134"/>
      <c r="FCF30" s="134"/>
      <c r="FCI30" s="134"/>
      <c r="FCL30" s="134"/>
      <c r="FCO30" s="134"/>
      <c r="FCR30" s="134"/>
      <c r="FCU30" s="134"/>
      <c r="FCX30" s="134"/>
      <c r="FDA30" s="134"/>
      <c r="FDD30" s="134"/>
      <c r="FDG30" s="134"/>
      <c r="FDJ30" s="134"/>
      <c r="FDM30" s="134"/>
      <c r="FDP30" s="134"/>
      <c r="FDS30" s="134"/>
      <c r="FDV30" s="134"/>
      <c r="FDY30" s="134"/>
      <c r="FEB30" s="134"/>
      <c r="FEE30" s="134"/>
      <c r="FEH30" s="134"/>
      <c r="FEK30" s="134"/>
      <c r="FEN30" s="134"/>
      <c r="FEQ30" s="134"/>
      <c r="FET30" s="134"/>
      <c r="FEW30" s="134"/>
      <c r="FEZ30" s="134"/>
      <c r="FFC30" s="134"/>
      <c r="FFF30" s="134"/>
      <c r="FFI30" s="134"/>
      <c r="FFL30" s="134"/>
      <c r="FFO30" s="134"/>
      <c r="FFR30" s="134"/>
      <c r="FFU30" s="134"/>
      <c r="FFX30" s="134"/>
      <c r="FGA30" s="134"/>
      <c r="FGD30" s="134"/>
      <c r="FGG30" s="134"/>
      <c r="FGJ30" s="134"/>
      <c r="FGM30" s="134"/>
      <c r="FGP30" s="134"/>
      <c r="FGS30" s="134"/>
      <c r="FGV30" s="134"/>
      <c r="FGY30" s="134"/>
      <c r="FHB30" s="134"/>
      <c r="FHE30" s="134"/>
      <c r="FHH30" s="134"/>
      <c r="FHK30" s="134"/>
      <c r="FHN30" s="134"/>
      <c r="FHQ30" s="134"/>
      <c r="FHT30" s="134"/>
      <c r="FHW30" s="134"/>
      <c r="FHZ30" s="134"/>
      <c r="FIC30" s="134"/>
      <c r="FIF30" s="134"/>
      <c r="FII30" s="134"/>
      <c r="FIL30" s="134"/>
      <c r="FIO30" s="134"/>
      <c r="FIR30" s="134"/>
      <c r="FIU30" s="134"/>
      <c r="FIX30" s="134"/>
      <c r="FJA30" s="134"/>
      <c r="FJD30" s="134"/>
      <c r="FJG30" s="134"/>
      <c r="FJJ30" s="134"/>
      <c r="FJM30" s="134"/>
      <c r="FJP30" s="134"/>
      <c r="FJS30" s="134"/>
      <c r="FJV30" s="134"/>
      <c r="FJY30" s="134"/>
      <c r="FKB30" s="134"/>
      <c r="FKE30" s="134"/>
      <c r="FKH30" s="134"/>
      <c r="FKK30" s="134"/>
      <c r="FKN30" s="134"/>
      <c r="FKQ30" s="134"/>
      <c r="FKT30" s="134"/>
      <c r="FKW30" s="134"/>
      <c r="FKZ30" s="134"/>
      <c r="FLC30" s="134"/>
      <c r="FLF30" s="134"/>
      <c r="FLI30" s="134"/>
      <c r="FLL30" s="134"/>
      <c r="FLO30" s="134"/>
      <c r="FLR30" s="134"/>
      <c r="FLU30" s="134"/>
      <c r="FLX30" s="134"/>
      <c r="FMA30" s="134"/>
      <c r="FMD30" s="134"/>
      <c r="FMG30" s="134"/>
      <c r="FMJ30" s="134"/>
      <c r="FMM30" s="134"/>
      <c r="FMP30" s="134"/>
      <c r="FMS30" s="134"/>
      <c r="FMV30" s="134"/>
      <c r="FMY30" s="134"/>
      <c r="FNB30" s="134"/>
      <c r="FNE30" s="134"/>
      <c r="FNH30" s="134"/>
      <c r="FNK30" s="134"/>
      <c r="FNN30" s="134"/>
      <c r="FNQ30" s="134"/>
      <c r="FNT30" s="134"/>
      <c r="FNW30" s="134"/>
      <c r="FNZ30" s="134"/>
      <c r="FOC30" s="134"/>
      <c r="FOF30" s="134"/>
      <c r="FOI30" s="134"/>
      <c r="FOL30" s="134"/>
      <c r="FOO30" s="134"/>
      <c r="FOR30" s="134"/>
      <c r="FOU30" s="134"/>
      <c r="FOX30" s="134"/>
      <c r="FPA30" s="134"/>
      <c r="FPD30" s="134"/>
      <c r="FPG30" s="134"/>
      <c r="FPJ30" s="134"/>
      <c r="FPM30" s="134"/>
      <c r="FPP30" s="134"/>
      <c r="FPS30" s="134"/>
      <c r="FPV30" s="134"/>
      <c r="FPY30" s="134"/>
      <c r="FQB30" s="134"/>
      <c r="FQE30" s="134"/>
      <c r="FQH30" s="134"/>
      <c r="FQK30" s="134"/>
      <c r="FQN30" s="134"/>
      <c r="FQQ30" s="134"/>
      <c r="FQT30" s="134"/>
      <c r="FQW30" s="134"/>
      <c r="FQZ30" s="134"/>
      <c r="FRC30" s="134"/>
      <c r="FRF30" s="134"/>
      <c r="FRI30" s="134"/>
      <c r="FRL30" s="134"/>
      <c r="FRO30" s="134"/>
      <c r="FRR30" s="134"/>
      <c r="FRU30" s="134"/>
      <c r="FRX30" s="134"/>
      <c r="FSA30" s="134"/>
      <c r="FSD30" s="134"/>
      <c r="FSG30" s="134"/>
      <c r="FSJ30" s="134"/>
      <c r="FSM30" s="134"/>
      <c r="FSP30" s="134"/>
      <c r="FSS30" s="134"/>
      <c r="FSV30" s="134"/>
      <c r="FSY30" s="134"/>
      <c r="FTB30" s="134"/>
      <c r="FTE30" s="134"/>
      <c r="FTH30" s="134"/>
      <c r="FTK30" s="134"/>
      <c r="FTN30" s="134"/>
      <c r="FTQ30" s="134"/>
      <c r="FTT30" s="134"/>
      <c r="FTW30" s="134"/>
      <c r="FTZ30" s="134"/>
      <c r="FUC30" s="134"/>
      <c r="FUF30" s="134"/>
      <c r="FUI30" s="134"/>
      <c r="FUL30" s="134"/>
      <c r="FUO30" s="134"/>
      <c r="FUR30" s="134"/>
      <c r="FUU30" s="134"/>
      <c r="FUX30" s="134"/>
      <c r="FVA30" s="134"/>
      <c r="FVD30" s="134"/>
      <c r="FVG30" s="134"/>
      <c r="FVJ30" s="134"/>
      <c r="FVM30" s="134"/>
      <c r="FVP30" s="134"/>
      <c r="FVS30" s="134"/>
      <c r="FVV30" s="134"/>
      <c r="FVY30" s="134"/>
      <c r="FWB30" s="134"/>
      <c r="FWE30" s="134"/>
      <c r="FWH30" s="134"/>
      <c r="FWK30" s="134"/>
      <c r="FWN30" s="134"/>
      <c r="FWQ30" s="134"/>
      <c r="FWT30" s="134"/>
      <c r="FWW30" s="134"/>
      <c r="FWZ30" s="134"/>
      <c r="FXC30" s="134"/>
      <c r="FXF30" s="134"/>
      <c r="FXI30" s="134"/>
      <c r="FXL30" s="134"/>
      <c r="FXO30" s="134"/>
      <c r="FXR30" s="134"/>
      <c r="FXU30" s="134"/>
      <c r="FXX30" s="134"/>
      <c r="FYA30" s="134"/>
      <c r="FYD30" s="134"/>
      <c r="FYG30" s="134"/>
      <c r="FYJ30" s="134"/>
      <c r="FYM30" s="134"/>
      <c r="FYP30" s="134"/>
      <c r="FYS30" s="134"/>
      <c r="FYV30" s="134"/>
      <c r="FYY30" s="134"/>
      <c r="FZB30" s="134"/>
      <c r="FZE30" s="134"/>
      <c r="FZH30" s="134"/>
      <c r="FZK30" s="134"/>
      <c r="FZN30" s="134"/>
      <c r="FZQ30" s="134"/>
      <c r="FZT30" s="134"/>
      <c r="FZW30" s="134"/>
      <c r="FZZ30" s="134"/>
      <c r="GAC30" s="134"/>
      <c r="GAF30" s="134"/>
      <c r="GAI30" s="134"/>
      <c r="GAL30" s="134"/>
      <c r="GAO30" s="134"/>
      <c r="GAR30" s="134"/>
      <c r="GAU30" s="134"/>
      <c r="GAX30" s="134"/>
      <c r="GBA30" s="134"/>
      <c r="GBD30" s="134"/>
      <c r="GBG30" s="134"/>
      <c r="GBJ30" s="134"/>
      <c r="GBM30" s="134"/>
      <c r="GBP30" s="134"/>
      <c r="GBS30" s="134"/>
      <c r="GBV30" s="134"/>
      <c r="GBY30" s="134"/>
      <c r="GCB30" s="134"/>
      <c r="GCE30" s="134"/>
      <c r="GCH30" s="134"/>
      <c r="GCK30" s="134"/>
      <c r="GCN30" s="134"/>
      <c r="GCQ30" s="134"/>
      <c r="GCT30" s="134"/>
      <c r="GCW30" s="134"/>
      <c r="GCZ30" s="134"/>
      <c r="GDC30" s="134"/>
      <c r="GDF30" s="134"/>
      <c r="GDI30" s="134"/>
      <c r="GDL30" s="134"/>
      <c r="GDO30" s="134"/>
      <c r="GDR30" s="134"/>
      <c r="GDU30" s="134"/>
      <c r="GDX30" s="134"/>
      <c r="GEA30" s="134"/>
      <c r="GED30" s="134"/>
      <c r="GEG30" s="134"/>
      <c r="GEJ30" s="134"/>
      <c r="GEM30" s="134"/>
      <c r="GEP30" s="134"/>
      <c r="GES30" s="134"/>
      <c r="GEV30" s="134"/>
      <c r="GEY30" s="134"/>
      <c r="GFB30" s="134"/>
      <c r="GFE30" s="134"/>
      <c r="GFH30" s="134"/>
      <c r="GFK30" s="134"/>
      <c r="GFN30" s="134"/>
      <c r="GFQ30" s="134"/>
      <c r="GFT30" s="134"/>
      <c r="GFW30" s="134"/>
      <c r="GFZ30" s="134"/>
      <c r="GGC30" s="134"/>
      <c r="GGF30" s="134"/>
      <c r="GGI30" s="134"/>
      <c r="GGL30" s="134"/>
      <c r="GGO30" s="134"/>
      <c r="GGR30" s="134"/>
      <c r="GGU30" s="134"/>
      <c r="GGX30" s="134"/>
      <c r="GHA30" s="134"/>
      <c r="GHD30" s="134"/>
      <c r="GHG30" s="134"/>
      <c r="GHJ30" s="134"/>
      <c r="GHM30" s="134"/>
      <c r="GHP30" s="134"/>
      <c r="GHS30" s="134"/>
      <c r="GHV30" s="134"/>
      <c r="GHY30" s="134"/>
      <c r="GIB30" s="134"/>
      <c r="GIE30" s="134"/>
      <c r="GIH30" s="134"/>
      <c r="GIK30" s="134"/>
      <c r="GIN30" s="134"/>
      <c r="GIQ30" s="134"/>
      <c r="GIT30" s="134"/>
      <c r="GIW30" s="134"/>
      <c r="GIZ30" s="134"/>
      <c r="GJC30" s="134"/>
      <c r="GJF30" s="134"/>
      <c r="GJI30" s="134"/>
      <c r="GJL30" s="134"/>
      <c r="GJO30" s="134"/>
      <c r="GJR30" s="134"/>
      <c r="GJU30" s="134"/>
      <c r="GJX30" s="134"/>
      <c r="GKA30" s="134"/>
      <c r="GKD30" s="134"/>
      <c r="GKG30" s="134"/>
      <c r="GKJ30" s="134"/>
      <c r="GKM30" s="134"/>
      <c r="GKP30" s="134"/>
      <c r="GKS30" s="134"/>
      <c r="GKV30" s="134"/>
      <c r="GKY30" s="134"/>
      <c r="GLB30" s="134"/>
      <c r="GLE30" s="134"/>
      <c r="GLH30" s="134"/>
      <c r="GLK30" s="134"/>
      <c r="GLN30" s="134"/>
      <c r="GLQ30" s="134"/>
      <c r="GLT30" s="134"/>
      <c r="GLW30" s="134"/>
      <c r="GLZ30" s="134"/>
      <c r="GMC30" s="134"/>
      <c r="GMF30" s="134"/>
      <c r="GMI30" s="134"/>
      <c r="GML30" s="134"/>
      <c r="GMO30" s="134"/>
      <c r="GMR30" s="134"/>
      <c r="GMU30" s="134"/>
      <c r="GMX30" s="134"/>
      <c r="GNA30" s="134"/>
      <c r="GND30" s="134"/>
      <c r="GNG30" s="134"/>
      <c r="GNJ30" s="134"/>
      <c r="GNM30" s="134"/>
      <c r="GNP30" s="134"/>
      <c r="GNS30" s="134"/>
      <c r="GNV30" s="134"/>
      <c r="GNY30" s="134"/>
      <c r="GOB30" s="134"/>
      <c r="GOE30" s="134"/>
      <c r="GOH30" s="134"/>
      <c r="GOK30" s="134"/>
      <c r="GON30" s="134"/>
      <c r="GOQ30" s="134"/>
      <c r="GOT30" s="134"/>
      <c r="GOW30" s="134"/>
      <c r="GOZ30" s="134"/>
      <c r="GPC30" s="134"/>
      <c r="GPF30" s="134"/>
      <c r="GPI30" s="134"/>
      <c r="GPL30" s="134"/>
      <c r="GPO30" s="134"/>
      <c r="GPR30" s="134"/>
      <c r="GPU30" s="134"/>
      <c r="GPX30" s="134"/>
      <c r="GQA30" s="134"/>
      <c r="GQD30" s="134"/>
      <c r="GQG30" s="134"/>
      <c r="GQJ30" s="134"/>
      <c r="GQM30" s="134"/>
      <c r="GQP30" s="134"/>
      <c r="GQS30" s="134"/>
      <c r="GQV30" s="134"/>
      <c r="GQY30" s="134"/>
      <c r="GRB30" s="134"/>
      <c r="GRE30" s="134"/>
      <c r="GRH30" s="134"/>
      <c r="GRK30" s="134"/>
      <c r="GRN30" s="134"/>
      <c r="GRQ30" s="134"/>
      <c r="GRT30" s="134"/>
      <c r="GRW30" s="134"/>
      <c r="GRZ30" s="134"/>
      <c r="GSC30" s="134"/>
      <c r="GSF30" s="134"/>
      <c r="GSI30" s="134"/>
      <c r="GSL30" s="134"/>
      <c r="GSO30" s="134"/>
      <c r="GSR30" s="134"/>
      <c r="GSU30" s="134"/>
      <c r="GSX30" s="134"/>
      <c r="GTA30" s="134"/>
      <c r="GTD30" s="134"/>
      <c r="GTG30" s="134"/>
      <c r="GTJ30" s="134"/>
      <c r="GTM30" s="134"/>
      <c r="GTP30" s="134"/>
      <c r="GTS30" s="134"/>
      <c r="GTV30" s="134"/>
      <c r="GTY30" s="134"/>
      <c r="GUB30" s="134"/>
      <c r="GUE30" s="134"/>
      <c r="GUH30" s="134"/>
      <c r="GUK30" s="134"/>
      <c r="GUN30" s="134"/>
      <c r="GUQ30" s="134"/>
      <c r="GUT30" s="134"/>
      <c r="GUW30" s="134"/>
      <c r="GUZ30" s="134"/>
      <c r="GVC30" s="134"/>
      <c r="GVF30" s="134"/>
      <c r="GVI30" s="134"/>
      <c r="GVL30" s="134"/>
      <c r="GVO30" s="134"/>
      <c r="GVR30" s="134"/>
      <c r="GVU30" s="134"/>
      <c r="GVX30" s="134"/>
      <c r="GWA30" s="134"/>
      <c r="GWD30" s="134"/>
      <c r="GWG30" s="134"/>
      <c r="GWJ30" s="134"/>
      <c r="GWM30" s="134"/>
      <c r="GWP30" s="134"/>
      <c r="GWS30" s="134"/>
      <c r="GWV30" s="134"/>
      <c r="GWY30" s="134"/>
      <c r="GXB30" s="134"/>
      <c r="GXE30" s="134"/>
      <c r="GXH30" s="134"/>
      <c r="GXK30" s="134"/>
      <c r="GXN30" s="134"/>
      <c r="GXQ30" s="134"/>
      <c r="GXT30" s="134"/>
      <c r="GXW30" s="134"/>
      <c r="GXZ30" s="134"/>
      <c r="GYC30" s="134"/>
      <c r="GYF30" s="134"/>
      <c r="GYI30" s="134"/>
      <c r="GYL30" s="134"/>
      <c r="GYO30" s="134"/>
      <c r="GYR30" s="134"/>
      <c r="GYU30" s="134"/>
      <c r="GYX30" s="134"/>
      <c r="GZA30" s="134"/>
      <c r="GZD30" s="134"/>
      <c r="GZG30" s="134"/>
      <c r="GZJ30" s="134"/>
      <c r="GZM30" s="134"/>
      <c r="GZP30" s="134"/>
      <c r="GZS30" s="134"/>
      <c r="GZV30" s="134"/>
      <c r="GZY30" s="134"/>
      <c r="HAB30" s="134"/>
      <c r="HAE30" s="134"/>
      <c r="HAH30" s="134"/>
      <c r="HAK30" s="134"/>
      <c r="HAN30" s="134"/>
      <c r="HAQ30" s="134"/>
      <c r="HAT30" s="134"/>
      <c r="HAW30" s="134"/>
      <c r="HAZ30" s="134"/>
      <c r="HBC30" s="134"/>
      <c r="HBF30" s="134"/>
      <c r="HBI30" s="134"/>
      <c r="HBL30" s="134"/>
      <c r="HBO30" s="134"/>
      <c r="HBR30" s="134"/>
      <c r="HBU30" s="134"/>
      <c r="HBX30" s="134"/>
      <c r="HCA30" s="134"/>
      <c r="HCD30" s="134"/>
      <c r="HCG30" s="134"/>
      <c r="HCJ30" s="134"/>
      <c r="HCM30" s="134"/>
      <c r="HCP30" s="134"/>
      <c r="HCS30" s="134"/>
      <c r="HCV30" s="134"/>
      <c r="HCY30" s="134"/>
      <c r="HDB30" s="134"/>
      <c r="HDE30" s="134"/>
      <c r="HDH30" s="134"/>
      <c r="HDK30" s="134"/>
      <c r="HDN30" s="134"/>
      <c r="HDQ30" s="134"/>
      <c r="HDT30" s="134"/>
      <c r="HDW30" s="134"/>
      <c r="HDZ30" s="134"/>
      <c r="HEC30" s="134"/>
      <c r="HEF30" s="134"/>
      <c r="HEI30" s="134"/>
      <c r="HEL30" s="134"/>
      <c r="HEO30" s="134"/>
      <c r="HER30" s="134"/>
      <c r="HEU30" s="134"/>
      <c r="HEX30" s="134"/>
      <c r="HFA30" s="134"/>
      <c r="HFD30" s="134"/>
      <c r="HFG30" s="134"/>
      <c r="HFJ30" s="134"/>
      <c r="HFM30" s="134"/>
      <c r="HFP30" s="134"/>
      <c r="HFS30" s="134"/>
      <c r="HFV30" s="134"/>
      <c r="HFY30" s="134"/>
      <c r="HGB30" s="134"/>
      <c r="HGE30" s="134"/>
      <c r="HGH30" s="134"/>
      <c r="HGK30" s="134"/>
      <c r="HGN30" s="134"/>
      <c r="HGQ30" s="134"/>
      <c r="HGT30" s="134"/>
      <c r="HGW30" s="134"/>
      <c r="HGZ30" s="134"/>
      <c r="HHC30" s="134"/>
      <c r="HHF30" s="134"/>
      <c r="HHI30" s="134"/>
      <c r="HHL30" s="134"/>
      <c r="HHO30" s="134"/>
      <c r="HHR30" s="134"/>
      <c r="HHU30" s="134"/>
      <c r="HHX30" s="134"/>
      <c r="HIA30" s="134"/>
      <c r="HID30" s="134"/>
      <c r="HIG30" s="134"/>
      <c r="HIJ30" s="134"/>
      <c r="HIM30" s="134"/>
      <c r="HIP30" s="134"/>
      <c r="HIS30" s="134"/>
      <c r="HIV30" s="134"/>
      <c r="HIY30" s="134"/>
      <c r="HJB30" s="134"/>
      <c r="HJE30" s="134"/>
      <c r="HJH30" s="134"/>
      <c r="HJK30" s="134"/>
      <c r="HJN30" s="134"/>
      <c r="HJQ30" s="134"/>
      <c r="HJT30" s="134"/>
      <c r="HJW30" s="134"/>
      <c r="HJZ30" s="134"/>
      <c r="HKC30" s="134"/>
      <c r="HKF30" s="134"/>
      <c r="HKI30" s="134"/>
      <c r="HKL30" s="134"/>
      <c r="HKO30" s="134"/>
      <c r="HKR30" s="134"/>
      <c r="HKU30" s="134"/>
      <c r="HKX30" s="134"/>
      <c r="HLA30" s="134"/>
      <c r="HLD30" s="134"/>
      <c r="HLG30" s="134"/>
      <c r="HLJ30" s="134"/>
      <c r="HLM30" s="134"/>
      <c r="HLP30" s="134"/>
      <c r="HLS30" s="134"/>
      <c r="HLV30" s="134"/>
      <c r="HLY30" s="134"/>
      <c r="HMB30" s="134"/>
      <c r="HME30" s="134"/>
      <c r="HMH30" s="134"/>
      <c r="HMK30" s="134"/>
      <c r="HMN30" s="134"/>
      <c r="HMQ30" s="134"/>
      <c r="HMT30" s="134"/>
      <c r="HMW30" s="134"/>
      <c r="HMZ30" s="134"/>
      <c r="HNC30" s="134"/>
      <c r="HNF30" s="134"/>
      <c r="HNI30" s="134"/>
      <c r="HNL30" s="134"/>
      <c r="HNO30" s="134"/>
      <c r="HNR30" s="134"/>
      <c r="HNU30" s="134"/>
      <c r="HNX30" s="134"/>
      <c r="HOA30" s="134"/>
      <c r="HOD30" s="134"/>
      <c r="HOG30" s="134"/>
      <c r="HOJ30" s="134"/>
      <c r="HOM30" s="134"/>
      <c r="HOP30" s="134"/>
      <c r="HOS30" s="134"/>
      <c r="HOV30" s="134"/>
      <c r="HOY30" s="134"/>
      <c r="HPB30" s="134"/>
      <c r="HPE30" s="134"/>
      <c r="HPH30" s="134"/>
      <c r="HPK30" s="134"/>
      <c r="HPN30" s="134"/>
      <c r="HPQ30" s="134"/>
      <c r="HPT30" s="134"/>
      <c r="HPW30" s="134"/>
      <c r="HPZ30" s="134"/>
      <c r="HQC30" s="134"/>
      <c r="HQF30" s="134"/>
      <c r="HQI30" s="134"/>
      <c r="HQL30" s="134"/>
      <c r="HQO30" s="134"/>
      <c r="HQR30" s="134"/>
      <c r="HQU30" s="134"/>
      <c r="HQX30" s="134"/>
      <c r="HRA30" s="134"/>
      <c r="HRD30" s="134"/>
      <c r="HRG30" s="134"/>
      <c r="HRJ30" s="134"/>
      <c r="HRM30" s="134"/>
      <c r="HRP30" s="134"/>
      <c r="HRS30" s="134"/>
      <c r="HRV30" s="134"/>
      <c r="HRY30" s="134"/>
      <c r="HSB30" s="134"/>
      <c r="HSE30" s="134"/>
      <c r="HSH30" s="134"/>
      <c r="HSK30" s="134"/>
      <c r="HSN30" s="134"/>
      <c r="HSQ30" s="134"/>
      <c r="HST30" s="134"/>
      <c r="HSW30" s="134"/>
      <c r="HSZ30" s="134"/>
      <c r="HTC30" s="134"/>
      <c r="HTF30" s="134"/>
      <c r="HTI30" s="134"/>
      <c r="HTL30" s="134"/>
      <c r="HTO30" s="134"/>
      <c r="HTR30" s="134"/>
      <c r="HTU30" s="134"/>
      <c r="HTX30" s="134"/>
      <c r="HUA30" s="134"/>
      <c r="HUD30" s="134"/>
      <c r="HUG30" s="134"/>
      <c r="HUJ30" s="134"/>
      <c r="HUM30" s="134"/>
      <c r="HUP30" s="134"/>
      <c r="HUS30" s="134"/>
      <c r="HUV30" s="134"/>
      <c r="HUY30" s="134"/>
      <c r="HVB30" s="134"/>
      <c r="HVE30" s="134"/>
      <c r="HVH30" s="134"/>
      <c r="HVK30" s="134"/>
      <c r="HVN30" s="134"/>
      <c r="HVQ30" s="134"/>
      <c r="HVT30" s="134"/>
      <c r="HVW30" s="134"/>
      <c r="HVZ30" s="134"/>
      <c r="HWC30" s="134"/>
      <c r="HWF30" s="134"/>
      <c r="HWI30" s="134"/>
      <c r="HWL30" s="134"/>
      <c r="HWO30" s="134"/>
      <c r="HWR30" s="134"/>
      <c r="HWU30" s="134"/>
      <c r="HWX30" s="134"/>
      <c r="HXA30" s="134"/>
      <c r="HXD30" s="134"/>
      <c r="HXG30" s="134"/>
      <c r="HXJ30" s="134"/>
      <c r="HXM30" s="134"/>
      <c r="HXP30" s="134"/>
      <c r="HXS30" s="134"/>
      <c r="HXV30" s="134"/>
      <c r="HXY30" s="134"/>
      <c r="HYB30" s="134"/>
      <c r="HYE30" s="134"/>
      <c r="HYH30" s="134"/>
      <c r="HYK30" s="134"/>
      <c r="HYN30" s="134"/>
      <c r="HYQ30" s="134"/>
      <c r="HYT30" s="134"/>
      <c r="HYW30" s="134"/>
      <c r="HYZ30" s="134"/>
      <c r="HZC30" s="134"/>
      <c r="HZF30" s="134"/>
      <c r="HZI30" s="134"/>
      <c r="HZL30" s="134"/>
      <c r="HZO30" s="134"/>
      <c r="HZR30" s="134"/>
      <c r="HZU30" s="134"/>
      <c r="HZX30" s="134"/>
      <c r="IAA30" s="134"/>
      <c r="IAD30" s="134"/>
      <c r="IAG30" s="134"/>
      <c r="IAJ30" s="134"/>
      <c r="IAM30" s="134"/>
      <c r="IAP30" s="134"/>
      <c r="IAS30" s="134"/>
      <c r="IAV30" s="134"/>
      <c r="IAY30" s="134"/>
      <c r="IBB30" s="134"/>
      <c r="IBE30" s="134"/>
      <c r="IBH30" s="134"/>
      <c r="IBK30" s="134"/>
      <c r="IBN30" s="134"/>
      <c r="IBQ30" s="134"/>
      <c r="IBT30" s="134"/>
      <c r="IBW30" s="134"/>
      <c r="IBZ30" s="134"/>
      <c r="ICC30" s="134"/>
      <c r="ICF30" s="134"/>
      <c r="ICI30" s="134"/>
      <c r="ICL30" s="134"/>
      <c r="ICO30" s="134"/>
      <c r="ICR30" s="134"/>
      <c r="ICU30" s="134"/>
      <c r="ICX30" s="134"/>
      <c r="IDA30" s="134"/>
      <c r="IDD30" s="134"/>
      <c r="IDG30" s="134"/>
      <c r="IDJ30" s="134"/>
      <c r="IDM30" s="134"/>
      <c r="IDP30" s="134"/>
      <c r="IDS30" s="134"/>
      <c r="IDV30" s="134"/>
      <c r="IDY30" s="134"/>
      <c r="IEB30" s="134"/>
      <c r="IEE30" s="134"/>
      <c r="IEH30" s="134"/>
      <c r="IEK30" s="134"/>
      <c r="IEN30" s="134"/>
      <c r="IEQ30" s="134"/>
      <c r="IET30" s="134"/>
      <c r="IEW30" s="134"/>
      <c r="IEZ30" s="134"/>
      <c r="IFC30" s="134"/>
      <c r="IFF30" s="134"/>
      <c r="IFI30" s="134"/>
      <c r="IFL30" s="134"/>
      <c r="IFO30" s="134"/>
      <c r="IFR30" s="134"/>
      <c r="IFU30" s="134"/>
      <c r="IFX30" s="134"/>
      <c r="IGA30" s="134"/>
      <c r="IGD30" s="134"/>
      <c r="IGG30" s="134"/>
      <c r="IGJ30" s="134"/>
      <c r="IGM30" s="134"/>
      <c r="IGP30" s="134"/>
      <c r="IGS30" s="134"/>
      <c r="IGV30" s="134"/>
      <c r="IGY30" s="134"/>
      <c r="IHB30" s="134"/>
      <c r="IHE30" s="134"/>
      <c r="IHH30" s="134"/>
      <c r="IHK30" s="134"/>
      <c r="IHN30" s="134"/>
      <c r="IHQ30" s="134"/>
      <c r="IHT30" s="134"/>
      <c r="IHW30" s="134"/>
      <c r="IHZ30" s="134"/>
      <c r="IIC30" s="134"/>
      <c r="IIF30" s="134"/>
      <c r="III30" s="134"/>
      <c r="IIL30" s="134"/>
      <c r="IIO30" s="134"/>
      <c r="IIR30" s="134"/>
      <c r="IIU30" s="134"/>
      <c r="IIX30" s="134"/>
      <c r="IJA30" s="134"/>
      <c r="IJD30" s="134"/>
      <c r="IJG30" s="134"/>
      <c r="IJJ30" s="134"/>
      <c r="IJM30" s="134"/>
      <c r="IJP30" s="134"/>
      <c r="IJS30" s="134"/>
      <c r="IJV30" s="134"/>
      <c r="IJY30" s="134"/>
      <c r="IKB30" s="134"/>
      <c r="IKE30" s="134"/>
      <c r="IKH30" s="134"/>
      <c r="IKK30" s="134"/>
      <c r="IKN30" s="134"/>
      <c r="IKQ30" s="134"/>
      <c r="IKT30" s="134"/>
      <c r="IKW30" s="134"/>
      <c r="IKZ30" s="134"/>
      <c r="ILC30" s="134"/>
      <c r="ILF30" s="134"/>
      <c r="ILI30" s="134"/>
      <c r="ILL30" s="134"/>
      <c r="ILO30" s="134"/>
      <c r="ILR30" s="134"/>
      <c r="ILU30" s="134"/>
      <c r="ILX30" s="134"/>
      <c r="IMA30" s="134"/>
      <c r="IMD30" s="134"/>
      <c r="IMG30" s="134"/>
      <c r="IMJ30" s="134"/>
      <c r="IMM30" s="134"/>
      <c r="IMP30" s="134"/>
      <c r="IMS30" s="134"/>
      <c r="IMV30" s="134"/>
      <c r="IMY30" s="134"/>
      <c r="INB30" s="134"/>
      <c r="INE30" s="134"/>
      <c r="INH30" s="134"/>
      <c r="INK30" s="134"/>
      <c r="INN30" s="134"/>
      <c r="INQ30" s="134"/>
      <c r="INT30" s="134"/>
      <c r="INW30" s="134"/>
      <c r="INZ30" s="134"/>
      <c r="IOC30" s="134"/>
      <c r="IOF30" s="134"/>
      <c r="IOI30" s="134"/>
      <c r="IOL30" s="134"/>
      <c r="IOO30" s="134"/>
      <c r="IOR30" s="134"/>
      <c r="IOU30" s="134"/>
      <c r="IOX30" s="134"/>
      <c r="IPA30" s="134"/>
      <c r="IPD30" s="134"/>
      <c r="IPG30" s="134"/>
      <c r="IPJ30" s="134"/>
      <c r="IPM30" s="134"/>
      <c r="IPP30" s="134"/>
      <c r="IPS30" s="134"/>
      <c r="IPV30" s="134"/>
      <c r="IPY30" s="134"/>
      <c r="IQB30" s="134"/>
      <c r="IQE30" s="134"/>
      <c r="IQH30" s="134"/>
      <c r="IQK30" s="134"/>
      <c r="IQN30" s="134"/>
      <c r="IQQ30" s="134"/>
      <c r="IQT30" s="134"/>
      <c r="IQW30" s="134"/>
      <c r="IQZ30" s="134"/>
      <c r="IRC30" s="134"/>
      <c r="IRF30" s="134"/>
      <c r="IRI30" s="134"/>
      <c r="IRL30" s="134"/>
      <c r="IRO30" s="134"/>
      <c r="IRR30" s="134"/>
      <c r="IRU30" s="134"/>
      <c r="IRX30" s="134"/>
      <c r="ISA30" s="134"/>
      <c r="ISD30" s="134"/>
      <c r="ISG30" s="134"/>
      <c r="ISJ30" s="134"/>
      <c r="ISM30" s="134"/>
      <c r="ISP30" s="134"/>
      <c r="ISS30" s="134"/>
      <c r="ISV30" s="134"/>
      <c r="ISY30" s="134"/>
      <c r="ITB30" s="134"/>
      <c r="ITE30" s="134"/>
      <c r="ITH30" s="134"/>
      <c r="ITK30" s="134"/>
      <c r="ITN30" s="134"/>
      <c r="ITQ30" s="134"/>
      <c r="ITT30" s="134"/>
      <c r="ITW30" s="134"/>
      <c r="ITZ30" s="134"/>
      <c r="IUC30" s="134"/>
      <c r="IUF30" s="134"/>
      <c r="IUI30" s="134"/>
      <c r="IUL30" s="134"/>
      <c r="IUO30" s="134"/>
      <c r="IUR30" s="134"/>
      <c r="IUU30" s="134"/>
      <c r="IUX30" s="134"/>
      <c r="IVA30" s="134"/>
      <c r="IVD30" s="134"/>
      <c r="IVG30" s="134"/>
      <c r="IVJ30" s="134"/>
      <c r="IVM30" s="134"/>
      <c r="IVP30" s="134"/>
      <c r="IVS30" s="134"/>
      <c r="IVV30" s="134"/>
      <c r="IVY30" s="134"/>
      <c r="IWB30" s="134"/>
      <c r="IWE30" s="134"/>
      <c r="IWH30" s="134"/>
      <c r="IWK30" s="134"/>
      <c r="IWN30" s="134"/>
      <c r="IWQ30" s="134"/>
      <c r="IWT30" s="134"/>
      <c r="IWW30" s="134"/>
      <c r="IWZ30" s="134"/>
      <c r="IXC30" s="134"/>
      <c r="IXF30" s="134"/>
      <c r="IXI30" s="134"/>
      <c r="IXL30" s="134"/>
      <c r="IXO30" s="134"/>
      <c r="IXR30" s="134"/>
      <c r="IXU30" s="134"/>
      <c r="IXX30" s="134"/>
      <c r="IYA30" s="134"/>
      <c r="IYD30" s="134"/>
      <c r="IYG30" s="134"/>
      <c r="IYJ30" s="134"/>
      <c r="IYM30" s="134"/>
      <c r="IYP30" s="134"/>
      <c r="IYS30" s="134"/>
      <c r="IYV30" s="134"/>
      <c r="IYY30" s="134"/>
      <c r="IZB30" s="134"/>
      <c r="IZE30" s="134"/>
      <c r="IZH30" s="134"/>
      <c r="IZK30" s="134"/>
      <c r="IZN30" s="134"/>
      <c r="IZQ30" s="134"/>
      <c r="IZT30" s="134"/>
      <c r="IZW30" s="134"/>
      <c r="IZZ30" s="134"/>
      <c r="JAC30" s="134"/>
      <c r="JAF30" s="134"/>
      <c r="JAI30" s="134"/>
      <c r="JAL30" s="134"/>
      <c r="JAO30" s="134"/>
      <c r="JAR30" s="134"/>
      <c r="JAU30" s="134"/>
      <c r="JAX30" s="134"/>
      <c r="JBA30" s="134"/>
      <c r="JBD30" s="134"/>
      <c r="JBG30" s="134"/>
      <c r="JBJ30" s="134"/>
      <c r="JBM30" s="134"/>
      <c r="JBP30" s="134"/>
      <c r="JBS30" s="134"/>
      <c r="JBV30" s="134"/>
      <c r="JBY30" s="134"/>
      <c r="JCB30" s="134"/>
      <c r="JCE30" s="134"/>
      <c r="JCH30" s="134"/>
      <c r="JCK30" s="134"/>
      <c r="JCN30" s="134"/>
      <c r="JCQ30" s="134"/>
      <c r="JCT30" s="134"/>
      <c r="JCW30" s="134"/>
      <c r="JCZ30" s="134"/>
      <c r="JDC30" s="134"/>
      <c r="JDF30" s="134"/>
      <c r="JDI30" s="134"/>
      <c r="JDL30" s="134"/>
      <c r="JDO30" s="134"/>
      <c r="JDR30" s="134"/>
      <c r="JDU30" s="134"/>
      <c r="JDX30" s="134"/>
      <c r="JEA30" s="134"/>
      <c r="JED30" s="134"/>
      <c r="JEG30" s="134"/>
      <c r="JEJ30" s="134"/>
      <c r="JEM30" s="134"/>
      <c r="JEP30" s="134"/>
      <c r="JES30" s="134"/>
      <c r="JEV30" s="134"/>
      <c r="JEY30" s="134"/>
      <c r="JFB30" s="134"/>
      <c r="JFE30" s="134"/>
      <c r="JFH30" s="134"/>
      <c r="JFK30" s="134"/>
      <c r="JFN30" s="134"/>
      <c r="JFQ30" s="134"/>
      <c r="JFT30" s="134"/>
      <c r="JFW30" s="134"/>
      <c r="JFZ30" s="134"/>
      <c r="JGC30" s="134"/>
      <c r="JGF30" s="134"/>
      <c r="JGI30" s="134"/>
      <c r="JGL30" s="134"/>
      <c r="JGO30" s="134"/>
      <c r="JGR30" s="134"/>
      <c r="JGU30" s="134"/>
      <c r="JGX30" s="134"/>
      <c r="JHA30" s="134"/>
      <c r="JHD30" s="134"/>
      <c r="JHG30" s="134"/>
      <c r="JHJ30" s="134"/>
      <c r="JHM30" s="134"/>
      <c r="JHP30" s="134"/>
      <c r="JHS30" s="134"/>
      <c r="JHV30" s="134"/>
      <c r="JHY30" s="134"/>
      <c r="JIB30" s="134"/>
      <c r="JIE30" s="134"/>
      <c r="JIH30" s="134"/>
      <c r="JIK30" s="134"/>
      <c r="JIN30" s="134"/>
      <c r="JIQ30" s="134"/>
      <c r="JIT30" s="134"/>
      <c r="JIW30" s="134"/>
      <c r="JIZ30" s="134"/>
      <c r="JJC30" s="134"/>
      <c r="JJF30" s="134"/>
      <c r="JJI30" s="134"/>
      <c r="JJL30" s="134"/>
      <c r="JJO30" s="134"/>
      <c r="JJR30" s="134"/>
      <c r="JJU30" s="134"/>
      <c r="JJX30" s="134"/>
      <c r="JKA30" s="134"/>
      <c r="JKD30" s="134"/>
      <c r="JKG30" s="134"/>
      <c r="JKJ30" s="134"/>
      <c r="JKM30" s="134"/>
      <c r="JKP30" s="134"/>
      <c r="JKS30" s="134"/>
      <c r="JKV30" s="134"/>
      <c r="JKY30" s="134"/>
      <c r="JLB30" s="134"/>
      <c r="JLE30" s="134"/>
      <c r="JLH30" s="134"/>
      <c r="JLK30" s="134"/>
      <c r="JLN30" s="134"/>
      <c r="JLQ30" s="134"/>
      <c r="JLT30" s="134"/>
      <c r="JLW30" s="134"/>
      <c r="JLZ30" s="134"/>
      <c r="JMC30" s="134"/>
      <c r="JMF30" s="134"/>
      <c r="JMI30" s="134"/>
      <c r="JML30" s="134"/>
      <c r="JMO30" s="134"/>
      <c r="JMR30" s="134"/>
      <c r="JMU30" s="134"/>
      <c r="JMX30" s="134"/>
      <c r="JNA30" s="134"/>
      <c r="JND30" s="134"/>
      <c r="JNG30" s="134"/>
      <c r="JNJ30" s="134"/>
      <c r="JNM30" s="134"/>
      <c r="JNP30" s="134"/>
      <c r="JNS30" s="134"/>
      <c r="JNV30" s="134"/>
      <c r="JNY30" s="134"/>
      <c r="JOB30" s="134"/>
      <c r="JOE30" s="134"/>
      <c r="JOH30" s="134"/>
      <c r="JOK30" s="134"/>
      <c r="JON30" s="134"/>
      <c r="JOQ30" s="134"/>
      <c r="JOT30" s="134"/>
      <c r="JOW30" s="134"/>
      <c r="JOZ30" s="134"/>
      <c r="JPC30" s="134"/>
      <c r="JPF30" s="134"/>
      <c r="JPI30" s="134"/>
      <c r="JPL30" s="134"/>
      <c r="JPO30" s="134"/>
      <c r="JPR30" s="134"/>
      <c r="JPU30" s="134"/>
      <c r="JPX30" s="134"/>
      <c r="JQA30" s="134"/>
      <c r="JQD30" s="134"/>
      <c r="JQG30" s="134"/>
      <c r="JQJ30" s="134"/>
      <c r="JQM30" s="134"/>
      <c r="JQP30" s="134"/>
      <c r="JQS30" s="134"/>
      <c r="JQV30" s="134"/>
      <c r="JQY30" s="134"/>
      <c r="JRB30" s="134"/>
      <c r="JRE30" s="134"/>
      <c r="JRH30" s="134"/>
      <c r="JRK30" s="134"/>
      <c r="JRN30" s="134"/>
      <c r="JRQ30" s="134"/>
      <c r="JRT30" s="134"/>
      <c r="JRW30" s="134"/>
      <c r="JRZ30" s="134"/>
      <c r="JSC30" s="134"/>
      <c r="JSF30" s="134"/>
      <c r="JSI30" s="134"/>
      <c r="JSL30" s="134"/>
      <c r="JSO30" s="134"/>
      <c r="JSR30" s="134"/>
      <c r="JSU30" s="134"/>
      <c r="JSX30" s="134"/>
      <c r="JTA30" s="134"/>
      <c r="JTD30" s="134"/>
      <c r="JTG30" s="134"/>
      <c r="JTJ30" s="134"/>
      <c r="JTM30" s="134"/>
      <c r="JTP30" s="134"/>
      <c r="JTS30" s="134"/>
      <c r="JTV30" s="134"/>
      <c r="JTY30" s="134"/>
      <c r="JUB30" s="134"/>
      <c r="JUE30" s="134"/>
      <c r="JUH30" s="134"/>
      <c r="JUK30" s="134"/>
      <c r="JUN30" s="134"/>
      <c r="JUQ30" s="134"/>
      <c r="JUT30" s="134"/>
      <c r="JUW30" s="134"/>
      <c r="JUZ30" s="134"/>
      <c r="JVC30" s="134"/>
      <c r="JVF30" s="134"/>
      <c r="JVI30" s="134"/>
      <c r="JVL30" s="134"/>
      <c r="JVO30" s="134"/>
      <c r="JVR30" s="134"/>
      <c r="JVU30" s="134"/>
      <c r="JVX30" s="134"/>
      <c r="JWA30" s="134"/>
      <c r="JWD30" s="134"/>
      <c r="JWG30" s="134"/>
      <c r="JWJ30" s="134"/>
      <c r="JWM30" s="134"/>
      <c r="JWP30" s="134"/>
      <c r="JWS30" s="134"/>
      <c r="JWV30" s="134"/>
      <c r="JWY30" s="134"/>
      <c r="JXB30" s="134"/>
      <c r="JXE30" s="134"/>
      <c r="JXH30" s="134"/>
      <c r="JXK30" s="134"/>
      <c r="JXN30" s="134"/>
      <c r="JXQ30" s="134"/>
      <c r="JXT30" s="134"/>
      <c r="JXW30" s="134"/>
      <c r="JXZ30" s="134"/>
      <c r="JYC30" s="134"/>
      <c r="JYF30" s="134"/>
      <c r="JYI30" s="134"/>
      <c r="JYL30" s="134"/>
      <c r="JYO30" s="134"/>
      <c r="JYR30" s="134"/>
      <c r="JYU30" s="134"/>
      <c r="JYX30" s="134"/>
      <c r="JZA30" s="134"/>
      <c r="JZD30" s="134"/>
      <c r="JZG30" s="134"/>
      <c r="JZJ30" s="134"/>
      <c r="JZM30" s="134"/>
      <c r="JZP30" s="134"/>
      <c r="JZS30" s="134"/>
      <c r="JZV30" s="134"/>
      <c r="JZY30" s="134"/>
      <c r="KAB30" s="134"/>
      <c r="KAE30" s="134"/>
      <c r="KAH30" s="134"/>
      <c r="KAK30" s="134"/>
      <c r="KAN30" s="134"/>
      <c r="KAQ30" s="134"/>
      <c r="KAT30" s="134"/>
      <c r="KAW30" s="134"/>
      <c r="KAZ30" s="134"/>
      <c r="KBC30" s="134"/>
      <c r="KBF30" s="134"/>
      <c r="KBI30" s="134"/>
      <c r="KBL30" s="134"/>
      <c r="KBO30" s="134"/>
      <c r="KBR30" s="134"/>
      <c r="KBU30" s="134"/>
      <c r="KBX30" s="134"/>
      <c r="KCA30" s="134"/>
      <c r="KCD30" s="134"/>
      <c r="KCG30" s="134"/>
      <c r="KCJ30" s="134"/>
      <c r="KCM30" s="134"/>
      <c r="KCP30" s="134"/>
      <c r="KCS30" s="134"/>
      <c r="KCV30" s="134"/>
      <c r="KCY30" s="134"/>
      <c r="KDB30" s="134"/>
      <c r="KDE30" s="134"/>
      <c r="KDH30" s="134"/>
      <c r="KDK30" s="134"/>
      <c r="KDN30" s="134"/>
      <c r="KDQ30" s="134"/>
      <c r="KDT30" s="134"/>
      <c r="KDW30" s="134"/>
      <c r="KDZ30" s="134"/>
      <c r="KEC30" s="134"/>
      <c r="KEF30" s="134"/>
      <c r="KEI30" s="134"/>
      <c r="KEL30" s="134"/>
      <c r="KEO30" s="134"/>
      <c r="KER30" s="134"/>
      <c r="KEU30" s="134"/>
      <c r="KEX30" s="134"/>
      <c r="KFA30" s="134"/>
      <c r="KFD30" s="134"/>
      <c r="KFG30" s="134"/>
      <c r="KFJ30" s="134"/>
      <c r="KFM30" s="134"/>
      <c r="KFP30" s="134"/>
      <c r="KFS30" s="134"/>
      <c r="KFV30" s="134"/>
      <c r="KFY30" s="134"/>
      <c r="KGB30" s="134"/>
      <c r="KGE30" s="134"/>
      <c r="KGH30" s="134"/>
      <c r="KGK30" s="134"/>
      <c r="KGN30" s="134"/>
      <c r="KGQ30" s="134"/>
      <c r="KGT30" s="134"/>
      <c r="KGW30" s="134"/>
      <c r="KGZ30" s="134"/>
      <c r="KHC30" s="134"/>
      <c r="KHF30" s="134"/>
      <c r="KHI30" s="134"/>
      <c r="KHL30" s="134"/>
      <c r="KHO30" s="134"/>
      <c r="KHR30" s="134"/>
      <c r="KHU30" s="134"/>
      <c r="KHX30" s="134"/>
      <c r="KIA30" s="134"/>
      <c r="KID30" s="134"/>
      <c r="KIG30" s="134"/>
      <c r="KIJ30" s="134"/>
      <c r="KIM30" s="134"/>
      <c r="KIP30" s="134"/>
      <c r="KIS30" s="134"/>
      <c r="KIV30" s="134"/>
      <c r="KIY30" s="134"/>
      <c r="KJB30" s="134"/>
      <c r="KJE30" s="134"/>
      <c r="KJH30" s="134"/>
      <c r="KJK30" s="134"/>
      <c r="KJN30" s="134"/>
      <c r="KJQ30" s="134"/>
      <c r="KJT30" s="134"/>
      <c r="KJW30" s="134"/>
      <c r="KJZ30" s="134"/>
      <c r="KKC30" s="134"/>
      <c r="KKF30" s="134"/>
      <c r="KKI30" s="134"/>
      <c r="KKL30" s="134"/>
      <c r="KKO30" s="134"/>
      <c r="KKR30" s="134"/>
      <c r="KKU30" s="134"/>
      <c r="KKX30" s="134"/>
      <c r="KLA30" s="134"/>
      <c r="KLD30" s="134"/>
      <c r="KLG30" s="134"/>
      <c r="KLJ30" s="134"/>
      <c r="KLM30" s="134"/>
      <c r="KLP30" s="134"/>
      <c r="KLS30" s="134"/>
      <c r="KLV30" s="134"/>
      <c r="KLY30" s="134"/>
      <c r="KMB30" s="134"/>
      <c r="KME30" s="134"/>
      <c r="KMH30" s="134"/>
      <c r="KMK30" s="134"/>
      <c r="KMN30" s="134"/>
      <c r="KMQ30" s="134"/>
      <c r="KMT30" s="134"/>
      <c r="KMW30" s="134"/>
      <c r="KMZ30" s="134"/>
      <c r="KNC30" s="134"/>
      <c r="KNF30" s="134"/>
      <c r="KNI30" s="134"/>
      <c r="KNL30" s="134"/>
      <c r="KNO30" s="134"/>
      <c r="KNR30" s="134"/>
      <c r="KNU30" s="134"/>
      <c r="KNX30" s="134"/>
      <c r="KOA30" s="134"/>
      <c r="KOD30" s="134"/>
      <c r="KOG30" s="134"/>
      <c r="KOJ30" s="134"/>
      <c r="KOM30" s="134"/>
      <c r="KOP30" s="134"/>
      <c r="KOS30" s="134"/>
      <c r="KOV30" s="134"/>
      <c r="KOY30" s="134"/>
      <c r="KPB30" s="134"/>
      <c r="KPE30" s="134"/>
      <c r="KPH30" s="134"/>
      <c r="KPK30" s="134"/>
      <c r="KPN30" s="134"/>
      <c r="KPQ30" s="134"/>
      <c r="KPT30" s="134"/>
      <c r="KPW30" s="134"/>
      <c r="KPZ30" s="134"/>
      <c r="KQC30" s="134"/>
      <c r="KQF30" s="134"/>
      <c r="KQI30" s="134"/>
      <c r="KQL30" s="134"/>
      <c r="KQO30" s="134"/>
      <c r="KQR30" s="134"/>
      <c r="KQU30" s="134"/>
      <c r="KQX30" s="134"/>
      <c r="KRA30" s="134"/>
      <c r="KRD30" s="134"/>
      <c r="KRG30" s="134"/>
      <c r="KRJ30" s="134"/>
      <c r="KRM30" s="134"/>
      <c r="KRP30" s="134"/>
      <c r="KRS30" s="134"/>
      <c r="KRV30" s="134"/>
      <c r="KRY30" s="134"/>
      <c r="KSB30" s="134"/>
      <c r="KSE30" s="134"/>
      <c r="KSH30" s="134"/>
      <c r="KSK30" s="134"/>
      <c r="KSN30" s="134"/>
      <c r="KSQ30" s="134"/>
      <c r="KST30" s="134"/>
      <c r="KSW30" s="134"/>
      <c r="KSZ30" s="134"/>
      <c r="KTC30" s="134"/>
      <c r="KTF30" s="134"/>
      <c r="KTI30" s="134"/>
      <c r="KTL30" s="134"/>
      <c r="KTO30" s="134"/>
      <c r="KTR30" s="134"/>
      <c r="KTU30" s="134"/>
      <c r="KTX30" s="134"/>
      <c r="KUA30" s="134"/>
      <c r="KUD30" s="134"/>
      <c r="KUG30" s="134"/>
      <c r="KUJ30" s="134"/>
      <c r="KUM30" s="134"/>
      <c r="KUP30" s="134"/>
      <c r="KUS30" s="134"/>
      <c r="KUV30" s="134"/>
      <c r="KUY30" s="134"/>
      <c r="KVB30" s="134"/>
      <c r="KVE30" s="134"/>
      <c r="KVH30" s="134"/>
      <c r="KVK30" s="134"/>
      <c r="KVN30" s="134"/>
      <c r="KVQ30" s="134"/>
      <c r="KVT30" s="134"/>
      <c r="KVW30" s="134"/>
      <c r="KVZ30" s="134"/>
      <c r="KWC30" s="134"/>
      <c r="KWF30" s="134"/>
      <c r="KWI30" s="134"/>
      <c r="KWL30" s="134"/>
      <c r="KWO30" s="134"/>
      <c r="KWR30" s="134"/>
      <c r="KWU30" s="134"/>
      <c r="KWX30" s="134"/>
      <c r="KXA30" s="134"/>
      <c r="KXD30" s="134"/>
      <c r="KXG30" s="134"/>
      <c r="KXJ30" s="134"/>
      <c r="KXM30" s="134"/>
      <c r="KXP30" s="134"/>
      <c r="KXS30" s="134"/>
      <c r="KXV30" s="134"/>
      <c r="KXY30" s="134"/>
      <c r="KYB30" s="134"/>
      <c r="KYE30" s="134"/>
      <c r="KYH30" s="134"/>
      <c r="KYK30" s="134"/>
      <c r="KYN30" s="134"/>
      <c r="KYQ30" s="134"/>
      <c r="KYT30" s="134"/>
      <c r="KYW30" s="134"/>
      <c r="KYZ30" s="134"/>
      <c r="KZC30" s="134"/>
      <c r="KZF30" s="134"/>
      <c r="KZI30" s="134"/>
      <c r="KZL30" s="134"/>
      <c r="KZO30" s="134"/>
      <c r="KZR30" s="134"/>
      <c r="KZU30" s="134"/>
      <c r="KZX30" s="134"/>
      <c r="LAA30" s="134"/>
      <c r="LAD30" s="134"/>
      <c r="LAG30" s="134"/>
      <c r="LAJ30" s="134"/>
      <c r="LAM30" s="134"/>
      <c r="LAP30" s="134"/>
      <c r="LAS30" s="134"/>
      <c r="LAV30" s="134"/>
      <c r="LAY30" s="134"/>
      <c r="LBB30" s="134"/>
      <c r="LBE30" s="134"/>
      <c r="LBH30" s="134"/>
      <c r="LBK30" s="134"/>
      <c r="LBN30" s="134"/>
      <c r="LBQ30" s="134"/>
      <c r="LBT30" s="134"/>
      <c r="LBW30" s="134"/>
      <c r="LBZ30" s="134"/>
      <c r="LCC30" s="134"/>
      <c r="LCF30" s="134"/>
      <c r="LCI30" s="134"/>
      <c r="LCL30" s="134"/>
      <c r="LCO30" s="134"/>
      <c r="LCR30" s="134"/>
      <c r="LCU30" s="134"/>
      <c r="LCX30" s="134"/>
      <c r="LDA30" s="134"/>
      <c r="LDD30" s="134"/>
      <c r="LDG30" s="134"/>
      <c r="LDJ30" s="134"/>
      <c r="LDM30" s="134"/>
      <c r="LDP30" s="134"/>
      <c r="LDS30" s="134"/>
      <c r="LDV30" s="134"/>
      <c r="LDY30" s="134"/>
      <c r="LEB30" s="134"/>
      <c r="LEE30" s="134"/>
      <c r="LEH30" s="134"/>
      <c r="LEK30" s="134"/>
      <c r="LEN30" s="134"/>
      <c r="LEQ30" s="134"/>
      <c r="LET30" s="134"/>
      <c r="LEW30" s="134"/>
      <c r="LEZ30" s="134"/>
      <c r="LFC30" s="134"/>
      <c r="LFF30" s="134"/>
      <c r="LFI30" s="134"/>
      <c r="LFL30" s="134"/>
      <c r="LFO30" s="134"/>
      <c r="LFR30" s="134"/>
      <c r="LFU30" s="134"/>
      <c r="LFX30" s="134"/>
      <c r="LGA30" s="134"/>
      <c r="LGD30" s="134"/>
      <c r="LGG30" s="134"/>
      <c r="LGJ30" s="134"/>
      <c r="LGM30" s="134"/>
      <c r="LGP30" s="134"/>
      <c r="LGS30" s="134"/>
      <c r="LGV30" s="134"/>
      <c r="LGY30" s="134"/>
      <c r="LHB30" s="134"/>
      <c r="LHE30" s="134"/>
      <c r="LHH30" s="134"/>
      <c r="LHK30" s="134"/>
      <c r="LHN30" s="134"/>
      <c r="LHQ30" s="134"/>
      <c r="LHT30" s="134"/>
      <c r="LHW30" s="134"/>
      <c r="LHZ30" s="134"/>
      <c r="LIC30" s="134"/>
      <c r="LIF30" s="134"/>
      <c r="LII30" s="134"/>
      <c r="LIL30" s="134"/>
      <c r="LIO30" s="134"/>
      <c r="LIR30" s="134"/>
      <c r="LIU30" s="134"/>
      <c r="LIX30" s="134"/>
      <c r="LJA30" s="134"/>
      <c r="LJD30" s="134"/>
      <c r="LJG30" s="134"/>
      <c r="LJJ30" s="134"/>
      <c r="LJM30" s="134"/>
      <c r="LJP30" s="134"/>
      <c r="LJS30" s="134"/>
      <c r="LJV30" s="134"/>
      <c r="LJY30" s="134"/>
      <c r="LKB30" s="134"/>
      <c r="LKE30" s="134"/>
      <c r="LKH30" s="134"/>
      <c r="LKK30" s="134"/>
      <c r="LKN30" s="134"/>
      <c r="LKQ30" s="134"/>
      <c r="LKT30" s="134"/>
      <c r="LKW30" s="134"/>
      <c r="LKZ30" s="134"/>
      <c r="LLC30" s="134"/>
      <c r="LLF30" s="134"/>
      <c r="LLI30" s="134"/>
      <c r="LLL30" s="134"/>
      <c r="LLO30" s="134"/>
      <c r="LLR30" s="134"/>
      <c r="LLU30" s="134"/>
      <c r="LLX30" s="134"/>
      <c r="LMA30" s="134"/>
      <c r="LMD30" s="134"/>
      <c r="LMG30" s="134"/>
      <c r="LMJ30" s="134"/>
      <c r="LMM30" s="134"/>
      <c r="LMP30" s="134"/>
      <c r="LMS30" s="134"/>
      <c r="LMV30" s="134"/>
      <c r="LMY30" s="134"/>
      <c r="LNB30" s="134"/>
      <c r="LNE30" s="134"/>
      <c r="LNH30" s="134"/>
      <c r="LNK30" s="134"/>
      <c r="LNN30" s="134"/>
      <c r="LNQ30" s="134"/>
      <c r="LNT30" s="134"/>
      <c r="LNW30" s="134"/>
      <c r="LNZ30" s="134"/>
      <c r="LOC30" s="134"/>
      <c r="LOF30" s="134"/>
      <c r="LOI30" s="134"/>
      <c r="LOL30" s="134"/>
      <c r="LOO30" s="134"/>
      <c r="LOR30" s="134"/>
      <c r="LOU30" s="134"/>
      <c r="LOX30" s="134"/>
      <c r="LPA30" s="134"/>
      <c r="LPD30" s="134"/>
      <c r="LPG30" s="134"/>
      <c r="LPJ30" s="134"/>
      <c r="LPM30" s="134"/>
      <c r="LPP30" s="134"/>
      <c r="LPS30" s="134"/>
      <c r="LPV30" s="134"/>
      <c r="LPY30" s="134"/>
      <c r="LQB30" s="134"/>
      <c r="LQE30" s="134"/>
      <c r="LQH30" s="134"/>
      <c r="LQK30" s="134"/>
      <c r="LQN30" s="134"/>
      <c r="LQQ30" s="134"/>
      <c r="LQT30" s="134"/>
      <c r="LQW30" s="134"/>
      <c r="LQZ30" s="134"/>
      <c r="LRC30" s="134"/>
      <c r="LRF30" s="134"/>
      <c r="LRI30" s="134"/>
      <c r="LRL30" s="134"/>
      <c r="LRO30" s="134"/>
      <c r="LRR30" s="134"/>
      <c r="LRU30" s="134"/>
      <c r="LRX30" s="134"/>
      <c r="LSA30" s="134"/>
      <c r="LSD30" s="134"/>
      <c r="LSG30" s="134"/>
      <c r="LSJ30" s="134"/>
      <c r="LSM30" s="134"/>
      <c r="LSP30" s="134"/>
      <c r="LSS30" s="134"/>
      <c r="LSV30" s="134"/>
      <c r="LSY30" s="134"/>
      <c r="LTB30" s="134"/>
      <c r="LTE30" s="134"/>
      <c r="LTH30" s="134"/>
      <c r="LTK30" s="134"/>
      <c r="LTN30" s="134"/>
      <c r="LTQ30" s="134"/>
      <c r="LTT30" s="134"/>
      <c r="LTW30" s="134"/>
      <c r="LTZ30" s="134"/>
      <c r="LUC30" s="134"/>
      <c r="LUF30" s="134"/>
      <c r="LUI30" s="134"/>
      <c r="LUL30" s="134"/>
      <c r="LUO30" s="134"/>
      <c r="LUR30" s="134"/>
      <c r="LUU30" s="134"/>
      <c r="LUX30" s="134"/>
      <c r="LVA30" s="134"/>
      <c r="LVD30" s="134"/>
      <c r="LVG30" s="134"/>
      <c r="LVJ30" s="134"/>
      <c r="LVM30" s="134"/>
      <c r="LVP30" s="134"/>
      <c r="LVS30" s="134"/>
      <c r="LVV30" s="134"/>
      <c r="LVY30" s="134"/>
      <c r="LWB30" s="134"/>
      <c r="LWE30" s="134"/>
      <c r="LWH30" s="134"/>
      <c r="LWK30" s="134"/>
      <c r="LWN30" s="134"/>
      <c r="LWQ30" s="134"/>
      <c r="LWT30" s="134"/>
      <c r="LWW30" s="134"/>
      <c r="LWZ30" s="134"/>
      <c r="LXC30" s="134"/>
      <c r="LXF30" s="134"/>
      <c r="LXI30" s="134"/>
      <c r="LXL30" s="134"/>
      <c r="LXO30" s="134"/>
      <c r="LXR30" s="134"/>
      <c r="LXU30" s="134"/>
      <c r="LXX30" s="134"/>
      <c r="LYA30" s="134"/>
      <c r="LYD30" s="134"/>
      <c r="LYG30" s="134"/>
      <c r="LYJ30" s="134"/>
      <c r="LYM30" s="134"/>
      <c r="LYP30" s="134"/>
      <c r="LYS30" s="134"/>
      <c r="LYV30" s="134"/>
      <c r="LYY30" s="134"/>
      <c r="LZB30" s="134"/>
      <c r="LZE30" s="134"/>
      <c r="LZH30" s="134"/>
      <c r="LZK30" s="134"/>
      <c r="LZN30" s="134"/>
      <c r="LZQ30" s="134"/>
      <c r="LZT30" s="134"/>
      <c r="LZW30" s="134"/>
      <c r="LZZ30" s="134"/>
      <c r="MAC30" s="134"/>
      <c r="MAF30" s="134"/>
      <c r="MAI30" s="134"/>
      <c r="MAL30" s="134"/>
      <c r="MAO30" s="134"/>
      <c r="MAR30" s="134"/>
      <c r="MAU30" s="134"/>
      <c r="MAX30" s="134"/>
      <c r="MBA30" s="134"/>
      <c r="MBD30" s="134"/>
      <c r="MBG30" s="134"/>
      <c r="MBJ30" s="134"/>
      <c r="MBM30" s="134"/>
      <c r="MBP30" s="134"/>
      <c r="MBS30" s="134"/>
      <c r="MBV30" s="134"/>
      <c r="MBY30" s="134"/>
      <c r="MCB30" s="134"/>
      <c r="MCE30" s="134"/>
      <c r="MCH30" s="134"/>
      <c r="MCK30" s="134"/>
      <c r="MCN30" s="134"/>
      <c r="MCQ30" s="134"/>
      <c r="MCT30" s="134"/>
      <c r="MCW30" s="134"/>
      <c r="MCZ30" s="134"/>
      <c r="MDC30" s="134"/>
      <c r="MDF30" s="134"/>
      <c r="MDI30" s="134"/>
      <c r="MDL30" s="134"/>
      <c r="MDO30" s="134"/>
      <c r="MDR30" s="134"/>
      <c r="MDU30" s="134"/>
      <c r="MDX30" s="134"/>
      <c r="MEA30" s="134"/>
      <c r="MED30" s="134"/>
      <c r="MEG30" s="134"/>
      <c r="MEJ30" s="134"/>
      <c r="MEM30" s="134"/>
      <c r="MEP30" s="134"/>
      <c r="MES30" s="134"/>
      <c r="MEV30" s="134"/>
      <c r="MEY30" s="134"/>
      <c r="MFB30" s="134"/>
      <c r="MFE30" s="134"/>
      <c r="MFH30" s="134"/>
      <c r="MFK30" s="134"/>
      <c r="MFN30" s="134"/>
      <c r="MFQ30" s="134"/>
      <c r="MFT30" s="134"/>
      <c r="MFW30" s="134"/>
      <c r="MFZ30" s="134"/>
      <c r="MGC30" s="134"/>
      <c r="MGF30" s="134"/>
      <c r="MGI30" s="134"/>
      <c r="MGL30" s="134"/>
      <c r="MGO30" s="134"/>
      <c r="MGR30" s="134"/>
      <c r="MGU30" s="134"/>
      <c r="MGX30" s="134"/>
      <c r="MHA30" s="134"/>
      <c r="MHD30" s="134"/>
      <c r="MHG30" s="134"/>
      <c r="MHJ30" s="134"/>
      <c r="MHM30" s="134"/>
      <c r="MHP30" s="134"/>
      <c r="MHS30" s="134"/>
      <c r="MHV30" s="134"/>
      <c r="MHY30" s="134"/>
      <c r="MIB30" s="134"/>
      <c r="MIE30" s="134"/>
      <c r="MIH30" s="134"/>
      <c r="MIK30" s="134"/>
      <c r="MIN30" s="134"/>
      <c r="MIQ30" s="134"/>
      <c r="MIT30" s="134"/>
      <c r="MIW30" s="134"/>
      <c r="MIZ30" s="134"/>
      <c r="MJC30" s="134"/>
      <c r="MJF30" s="134"/>
      <c r="MJI30" s="134"/>
      <c r="MJL30" s="134"/>
      <c r="MJO30" s="134"/>
      <c r="MJR30" s="134"/>
      <c r="MJU30" s="134"/>
      <c r="MJX30" s="134"/>
      <c r="MKA30" s="134"/>
      <c r="MKD30" s="134"/>
      <c r="MKG30" s="134"/>
      <c r="MKJ30" s="134"/>
      <c r="MKM30" s="134"/>
      <c r="MKP30" s="134"/>
      <c r="MKS30" s="134"/>
      <c r="MKV30" s="134"/>
      <c r="MKY30" s="134"/>
      <c r="MLB30" s="134"/>
      <c r="MLE30" s="134"/>
      <c r="MLH30" s="134"/>
      <c r="MLK30" s="134"/>
      <c r="MLN30" s="134"/>
      <c r="MLQ30" s="134"/>
      <c r="MLT30" s="134"/>
      <c r="MLW30" s="134"/>
      <c r="MLZ30" s="134"/>
      <c r="MMC30" s="134"/>
      <c r="MMF30" s="134"/>
      <c r="MMI30" s="134"/>
      <c r="MML30" s="134"/>
      <c r="MMO30" s="134"/>
      <c r="MMR30" s="134"/>
      <c r="MMU30" s="134"/>
      <c r="MMX30" s="134"/>
      <c r="MNA30" s="134"/>
      <c r="MND30" s="134"/>
      <c r="MNG30" s="134"/>
      <c r="MNJ30" s="134"/>
      <c r="MNM30" s="134"/>
      <c r="MNP30" s="134"/>
      <c r="MNS30" s="134"/>
      <c r="MNV30" s="134"/>
      <c r="MNY30" s="134"/>
      <c r="MOB30" s="134"/>
      <c r="MOE30" s="134"/>
      <c r="MOH30" s="134"/>
      <c r="MOK30" s="134"/>
      <c r="MON30" s="134"/>
      <c r="MOQ30" s="134"/>
      <c r="MOT30" s="134"/>
      <c r="MOW30" s="134"/>
      <c r="MOZ30" s="134"/>
      <c r="MPC30" s="134"/>
      <c r="MPF30" s="134"/>
      <c r="MPI30" s="134"/>
      <c r="MPL30" s="134"/>
      <c r="MPO30" s="134"/>
      <c r="MPR30" s="134"/>
      <c r="MPU30" s="134"/>
      <c r="MPX30" s="134"/>
      <c r="MQA30" s="134"/>
      <c r="MQD30" s="134"/>
      <c r="MQG30" s="134"/>
      <c r="MQJ30" s="134"/>
      <c r="MQM30" s="134"/>
      <c r="MQP30" s="134"/>
      <c r="MQS30" s="134"/>
      <c r="MQV30" s="134"/>
      <c r="MQY30" s="134"/>
      <c r="MRB30" s="134"/>
      <c r="MRE30" s="134"/>
      <c r="MRH30" s="134"/>
      <c r="MRK30" s="134"/>
      <c r="MRN30" s="134"/>
      <c r="MRQ30" s="134"/>
      <c r="MRT30" s="134"/>
      <c r="MRW30" s="134"/>
      <c r="MRZ30" s="134"/>
      <c r="MSC30" s="134"/>
      <c r="MSF30" s="134"/>
      <c r="MSI30" s="134"/>
      <c r="MSL30" s="134"/>
      <c r="MSO30" s="134"/>
      <c r="MSR30" s="134"/>
      <c r="MSU30" s="134"/>
      <c r="MSX30" s="134"/>
      <c r="MTA30" s="134"/>
      <c r="MTD30" s="134"/>
      <c r="MTG30" s="134"/>
      <c r="MTJ30" s="134"/>
      <c r="MTM30" s="134"/>
      <c r="MTP30" s="134"/>
      <c r="MTS30" s="134"/>
      <c r="MTV30" s="134"/>
      <c r="MTY30" s="134"/>
      <c r="MUB30" s="134"/>
      <c r="MUE30" s="134"/>
      <c r="MUH30" s="134"/>
      <c r="MUK30" s="134"/>
      <c r="MUN30" s="134"/>
      <c r="MUQ30" s="134"/>
      <c r="MUT30" s="134"/>
      <c r="MUW30" s="134"/>
      <c r="MUZ30" s="134"/>
      <c r="MVC30" s="134"/>
      <c r="MVF30" s="134"/>
      <c r="MVI30" s="134"/>
      <c r="MVL30" s="134"/>
      <c r="MVO30" s="134"/>
      <c r="MVR30" s="134"/>
      <c r="MVU30" s="134"/>
      <c r="MVX30" s="134"/>
      <c r="MWA30" s="134"/>
      <c r="MWD30" s="134"/>
      <c r="MWG30" s="134"/>
      <c r="MWJ30" s="134"/>
      <c r="MWM30" s="134"/>
      <c r="MWP30" s="134"/>
      <c r="MWS30" s="134"/>
      <c r="MWV30" s="134"/>
      <c r="MWY30" s="134"/>
      <c r="MXB30" s="134"/>
      <c r="MXE30" s="134"/>
      <c r="MXH30" s="134"/>
      <c r="MXK30" s="134"/>
      <c r="MXN30" s="134"/>
      <c r="MXQ30" s="134"/>
      <c r="MXT30" s="134"/>
      <c r="MXW30" s="134"/>
      <c r="MXZ30" s="134"/>
      <c r="MYC30" s="134"/>
      <c r="MYF30" s="134"/>
      <c r="MYI30" s="134"/>
      <c r="MYL30" s="134"/>
      <c r="MYO30" s="134"/>
      <c r="MYR30" s="134"/>
      <c r="MYU30" s="134"/>
      <c r="MYX30" s="134"/>
      <c r="MZA30" s="134"/>
      <c r="MZD30" s="134"/>
      <c r="MZG30" s="134"/>
      <c r="MZJ30" s="134"/>
      <c r="MZM30" s="134"/>
      <c r="MZP30" s="134"/>
      <c r="MZS30" s="134"/>
      <c r="MZV30" s="134"/>
      <c r="MZY30" s="134"/>
      <c r="NAB30" s="134"/>
      <c r="NAE30" s="134"/>
      <c r="NAH30" s="134"/>
      <c r="NAK30" s="134"/>
      <c r="NAN30" s="134"/>
      <c r="NAQ30" s="134"/>
      <c r="NAT30" s="134"/>
      <c r="NAW30" s="134"/>
      <c r="NAZ30" s="134"/>
      <c r="NBC30" s="134"/>
      <c r="NBF30" s="134"/>
      <c r="NBI30" s="134"/>
      <c r="NBL30" s="134"/>
      <c r="NBO30" s="134"/>
      <c r="NBR30" s="134"/>
      <c r="NBU30" s="134"/>
      <c r="NBX30" s="134"/>
      <c r="NCA30" s="134"/>
      <c r="NCD30" s="134"/>
      <c r="NCG30" s="134"/>
      <c r="NCJ30" s="134"/>
      <c r="NCM30" s="134"/>
      <c r="NCP30" s="134"/>
      <c r="NCS30" s="134"/>
      <c r="NCV30" s="134"/>
      <c r="NCY30" s="134"/>
      <c r="NDB30" s="134"/>
      <c r="NDE30" s="134"/>
      <c r="NDH30" s="134"/>
      <c r="NDK30" s="134"/>
      <c r="NDN30" s="134"/>
      <c r="NDQ30" s="134"/>
      <c r="NDT30" s="134"/>
      <c r="NDW30" s="134"/>
      <c r="NDZ30" s="134"/>
      <c r="NEC30" s="134"/>
      <c r="NEF30" s="134"/>
      <c r="NEI30" s="134"/>
      <c r="NEL30" s="134"/>
      <c r="NEO30" s="134"/>
      <c r="NER30" s="134"/>
      <c r="NEU30" s="134"/>
      <c r="NEX30" s="134"/>
      <c r="NFA30" s="134"/>
      <c r="NFD30" s="134"/>
      <c r="NFG30" s="134"/>
      <c r="NFJ30" s="134"/>
      <c r="NFM30" s="134"/>
      <c r="NFP30" s="134"/>
      <c r="NFS30" s="134"/>
      <c r="NFV30" s="134"/>
      <c r="NFY30" s="134"/>
      <c r="NGB30" s="134"/>
      <c r="NGE30" s="134"/>
      <c r="NGH30" s="134"/>
      <c r="NGK30" s="134"/>
      <c r="NGN30" s="134"/>
      <c r="NGQ30" s="134"/>
      <c r="NGT30" s="134"/>
      <c r="NGW30" s="134"/>
      <c r="NGZ30" s="134"/>
      <c r="NHC30" s="134"/>
      <c r="NHF30" s="134"/>
      <c r="NHI30" s="134"/>
      <c r="NHL30" s="134"/>
      <c r="NHO30" s="134"/>
      <c r="NHR30" s="134"/>
      <c r="NHU30" s="134"/>
      <c r="NHX30" s="134"/>
      <c r="NIA30" s="134"/>
      <c r="NID30" s="134"/>
      <c r="NIG30" s="134"/>
      <c r="NIJ30" s="134"/>
      <c r="NIM30" s="134"/>
      <c r="NIP30" s="134"/>
      <c r="NIS30" s="134"/>
      <c r="NIV30" s="134"/>
      <c r="NIY30" s="134"/>
      <c r="NJB30" s="134"/>
      <c r="NJE30" s="134"/>
      <c r="NJH30" s="134"/>
      <c r="NJK30" s="134"/>
      <c r="NJN30" s="134"/>
      <c r="NJQ30" s="134"/>
      <c r="NJT30" s="134"/>
      <c r="NJW30" s="134"/>
      <c r="NJZ30" s="134"/>
      <c r="NKC30" s="134"/>
      <c r="NKF30" s="134"/>
      <c r="NKI30" s="134"/>
      <c r="NKL30" s="134"/>
      <c r="NKO30" s="134"/>
      <c r="NKR30" s="134"/>
      <c r="NKU30" s="134"/>
      <c r="NKX30" s="134"/>
      <c r="NLA30" s="134"/>
      <c r="NLD30" s="134"/>
      <c r="NLG30" s="134"/>
      <c r="NLJ30" s="134"/>
      <c r="NLM30" s="134"/>
      <c r="NLP30" s="134"/>
      <c r="NLS30" s="134"/>
      <c r="NLV30" s="134"/>
      <c r="NLY30" s="134"/>
      <c r="NMB30" s="134"/>
      <c r="NME30" s="134"/>
      <c r="NMH30" s="134"/>
      <c r="NMK30" s="134"/>
      <c r="NMN30" s="134"/>
      <c r="NMQ30" s="134"/>
      <c r="NMT30" s="134"/>
      <c r="NMW30" s="134"/>
      <c r="NMZ30" s="134"/>
      <c r="NNC30" s="134"/>
      <c r="NNF30" s="134"/>
      <c r="NNI30" s="134"/>
      <c r="NNL30" s="134"/>
      <c r="NNO30" s="134"/>
      <c r="NNR30" s="134"/>
      <c r="NNU30" s="134"/>
      <c r="NNX30" s="134"/>
      <c r="NOA30" s="134"/>
      <c r="NOD30" s="134"/>
      <c r="NOG30" s="134"/>
      <c r="NOJ30" s="134"/>
      <c r="NOM30" s="134"/>
      <c r="NOP30" s="134"/>
      <c r="NOS30" s="134"/>
      <c r="NOV30" s="134"/>
      <c r="NOY30" s="134"/>
      <c r="NPB30" s="134"/>
      <c r="NPE30" s="134"/>
      <c r="NPH30" s="134"/>
      <c r="NPK30" s="134"/>
      <c r="NPN30" s="134"/>
      <c r="NPQ30" s="134"/>
      <c r="NPT30" s="134"/>
      <c r="NPW30" s="134"/>
      <c r="NPZ30" s="134"/>
      <c r="NQC30" s="134"/>
      <c r="NQF30" s="134"/>
      <c r="NQI30" s="134"/>
      <c r="NQL30" s="134"/>
      <c r="NQO30" s="134"/>
      <c r="NQR30" s="134"/>
      <c r="NQU30" s="134"/>
      <c r="NQX30" s="134"/>
      <c r="NRA30" s="134"/>
      <c r="NRD30" s="134"/>
      <c r="NRG30" s="134"/>
      <c r="NRJ30" s="134"/>
      <c r="NRM30" s="134"/>
      <c r="NRP30" s="134"/>
      <c r="NRS30" s="134"/>
      <c r="NRV30" s="134"/>
      <c r="NRY30" s="134"/>
      <c r="NSB30" s="134"/>
      <c r="NSE30" s="134"/>
      <c r="NSH30" s="134"/>
      <c r="NSK30" s="134"/>
      <c r="NSN30" s="134"/>
      <c r="NSQ30" s="134"/>
      <c r="NST30" s="134"/>
      <c r="NSW30" s="134"/>
      <c r="NSZ30" s="134"/>
      <c r="NTC30" s="134"/>
      <c r="NTF30" s="134"/>
      <c r="NTI30" s="134"/>
      <c r="NTL30" s="134"/>
      <c r="NTO30" s="134"/>
      <c r="NTR30" s="134"/>
      <c r="NTU30" s="134"/>
      <c r="NTX30" s="134"/>
      <c r="NUA30" s="134"/>
      <c r="NUD30" s="134"/>
      <c r="NUG30" s="134"/>
      <c r="NUJ30" s="134"/>
      <c r="NUM30" s="134"/>
      <c r="NUP30" s="134"/>
      <c r="NUS30" s="134"/>
      <c r="NUV30" s="134"/>
      <c r="NUY30" s="134"/>
      <c r="NVB30" s="134"/>
      <c r="NVE30" s="134"/>
      <c r="NVH30" s="134"/>
      <c r="NVK30" s="134"/>
      <c r="NVN30" s="134"/>
      <c r="NVQ30" s="134"/>
      <c r="NVT30" s="134"/>
      <c r="NVW30" s="134"/>
      <c r="NVZ30" s="134"/>
      <c r="NWC30" s="134"/>
      <c r="NWF30" s="134"/>
      <c r="NWI30" s="134"/>
      <c r="NWL30" s="134"/>
      <c r="NWO30" s="134"/>
      <c r="NWR30" s="134"/>
      <c r="NWU30" s="134"/>
      <c r="NWX30" s="134"/>
      <c r="NXA30" s="134"/>
      <c r="NXD30" s="134"/>
      <c r="NXG30" s="134"/>
      <c r="NXJ30" s="134"/>
      <c r="NXM30" s="134"/>
      <c r="NXP30" s="134"/>
      <c r="NXS30" s="134"/>
      <c r="NXV30" s="134"/>
      <c r="NXY30" s="134"/>
      <c r="NYB30" s="134"/>
      <c r="NYE30" s="134"/>
      <c r="NYH30" s="134"/>
      <c r="NYK30" s="134"/>
      <c r="NYN30" s="134"/>
      <c r="NYQ30" s="134"/>
      <c r="NYT30" s="134"/>
      <c r="NYW30" s="134"/>
      <c r="NYZ30" s="134"/>
      <c r="NZC30" s="134"/>
      <c r="NZF30" s="134"/>
      <c r="NZI30" s="134"/>
      <c r="NZL30" s="134"/>
      <c r="NZO30" s="134"/>
      <c r="NZR30" s="134"/>
      <c r="NZU30" s="134"/>
      <c r="NZX30" s="134"/>
      <c r="OAA30" s="134"/>
      <c r="OAD30" s="134"/>
      <c r="OAG30" s="134"/>
      <c r="OAJ30" s="134"/>
      <c r="OAM30" s="134"/>
      <c r="OAP30" s="134"/>
      <c r="OAS30" s="134"/>
      <c r="OAV30" s="134"/>
      <c r="OAY30" s="134"/>
      <c r="OBB30" s="134"/>
      <c r="OBE30" s="134"/>
      <c r="OBH30" s="134"/>
      <c r="OBK30" s="134"/>
      <c r="OBN30" s="134"/>
      <c r="OBQ30" s="134"/>
      <c r="OBT30" s="134"/>
      <c r="OBW30" s="134"/>
      <c r="OBZ30" s="134"/>
      <c r="OCC30" s="134"/>
      <c r="OCF30" s="134"/>
      <c r="OCI30" s="134"/>
      <c r="OCL30" s="134"/>
      <c r="OCO30" s="134"/>
      <c r="OCR30" s="134"/>
      <c r="OCU30" s="134"/>
      <c r="OCX30" s="134"/>
      <c r="ODA30" s="134"/>
      <c r="ODD30" s="134"/>
      <c r="ODG30" s="134"/>
      <c r="ODJ30" s="134"/>
      <c r="ODM30" s="134"/>
      <c r="ODP30" s="134"/>
      <c r="ODS30" s="134"/>
      <c r="ODV30" s="134"/>
      <c r="ODY30" s="134"/>
      <c r="OEB30" s="134"/>
      <c r="OEE30" s="134"/>
      <c r="OEH30" s="134"/>
      <c r="OEK30" s="134"/>
      <c r="OEN30" s="134"/>
      <c r="OEQ30" s="134"/>
      <c r="OET30" s="134"/>
      <c r="OEW30" s="134"/>
      <c r="OEZ30" s="134"/>
      <c r="OFC30" s="134"/>
      <c r="OFF30" s="134"/>
      <c r="OFI30" s="134"/>
      <c r="OFL30" s="134"/>
      <c r="OFO30" s="134"/>
      <c r="OFR30" s="134"/>
      <c r="OFU30" s="134"/>
      <c r="OFX30" s="134"/>
      <c r="OGA30" s="134"/>
      <c r="OGD30" s="134"/>
      <c r="OGG30" s="134"/>
      <c r="OGJ30" s="134"/>
      <c r="OGM30" s="134"/>
      <c r="OGP30" s="134"/>
      <c r="OGS30" s="134"/>
      <c r="OGV30" s="134"/>
      <c r="OGY30" s="134"/>
      <c r="OHB30" s="134"/>
      <c r="OHE30" s="134"/>
      <c r="OHH30" s="134"/>
      <c r="OHK30" s="134"/>
      <c r="OHN30" s="134"/>
      <c r="OHQ30" s="134"/>
      <c r="OHT30" s="134"/>
      <c r="OHW30" s="134"/>
      <c r="OHZ30" s="134"/>
      <c r="OIC30" s="134"/>
      <c r="OIF30" s="134"/>
      <c r="OII30" s="134"/>
      <c r="OIL30" s="134"/>
      <c r="OIO30" s="134"/>
      <c r="OIR30" s="134"/>
      <c r="OIU30" s="134"/>
      <c r="OIX30" s="134"/>
      <c r="OJA30" s="134"/>
      <c r="OJD30" s="134"/>
      <c r="OJG30" s="134"/>
      <c r="OJJ30" s="134"/>
      <c r="OJM30" s="134"/>
      <c r="OJP30" s="134"/>
      <c r="OJS30" s="134"/>
      <c r="OJV30" s="134"/>
      <c r="OJY30" s="134"/>
      <c r="OKB30" s="134"/>
      <c r="OKE30" s="134"/>
      <c r="OKH30" s="134"/>
      <c r="OKK30" s="134"/>
      <c r="OKN30" s="134"/>
      <c r="OKQ30" s="134"/>
      <c r="OKT30" s="134"/>
      <c r="OKW30" s="134"/>
      <c r="OKZ30" s="134"/>
      <c r="OLC30" s="134"/>
      <c r="OLF30" s="134"/>
      <c r="OLI30" s="134"/>
      <c r="OLL30" s="134"/>
      <c r="OLO30" s="134"/>
      <c r="OLR30" s="134"/>
      <c r="OLU30" s="134"/>
      <c r="OLX30" s="134"/>
      <c r="OMA30" s="134"/>
      <c r="OMD30" s="134"/>
      <c r="OMG30" s="134"/>
      <c r="OMJ30" s="134"/>
      <c r="OMM30" s="134"/>
      <c r="OMP30" s="134"/>
      <c r="OMS30" s="134"/>
      <c r="OMV30" s="134"/>
      <c r="OMY30" s="134"/>
      <c r="ONB30" s="134"/>
      <c r="ONE30" s="134"/>
      <c r="ONH30" s="134"/>
      <c r="ONK30" s="134"/>
      <c r="ONN30" s="134"/>
      <c r="ONQ30" s="134"/>
      <c r="ONT30" s="134"/>
      <c r="ONW30" s="134"/>
      <c r="ONZ30" s="134"/>
      <c r="OOC30" s="134"/>
      <c r="OOF30" s="134"/>
      <c r="OOI30" s="134"/>
      <c r="OOL30" s="134"/>
      <c r="OOO30" s="134"/>
      <c r="OOR30" s="134"/>
      <c r="OOU30" s="134"/>
      <c r="OOX30" s="134"/>
      <c r="OPA30" s="134"/>
      <c r="OPD30" s="134"/>
      <c r="OPG30" s="134"/>
      <c r="OPJ30" s="134"/>
      <c r="OPM30" s="134"/>
      <c r="OPP30" s="134"/>
      <c r="OPS30" s="134"/>
      <c r="OPV30" s="134"/>
      <c r="OPY30" s="134"/>
      <c r="OQB30" s="134"/>
      <c r="OQE30" s="134"/>
      <c r="OQH30" s="134"/>
      <c r="OQK30" s="134"/>
      <c r="OQN30" s="134"/>
      <c r="OQQ30" s="134"/>
      <c r="OQT30" s="134"/>
      <c r="OQW30" s="134"/>
      <c r="OQZ30" s="134"/>
      <c r="ORC30" s="134"/>
      <c r="ORF30" s="134"/>
      <c r="ORI30" s="134"/>
      <c r="ORL30" s="134"/>
      <c r="ORO30" s="134"/>
      <c r="ORR30" s="134"/>
      <c r="ORU30" s="134"/>
      <c r="ORX30" s="134"/>
      <c r="OSA30" s="134"/>
      <c r="OSD30" s="134"/>
      <c r="OSG30" s="134"/>
      <c r="OSJ30" s="134"/>
      <c r="OSM30" s="134"/>
      <c r="OSP30" s="134"/>
      <c r="OSS30" s="134"/>
      <c r="OSV30" s="134"/>
      <c r="OSY30" s="134"/>
      <c r="OTB30" s="134"/>
      <c r="OTE30" s="134"/>
      <c r="OTH30" s="134"/>
      <c r="OTK30" s="134"/>
      <c r="OTN30" s="134"/>
      <c r="OTQ30" s="134"/>
      <c r="OTT30" s="134"/>
      <c r="OTW30" s="134"/>
      <c r="OTZ30" s="134"/>
      <c r="OUC30" s="134"/>
      <c r="OUF30" s="134"/>
      <c r="OUI30" s="134"/>
      <c r="OUL30" s="134"/>
      <c r="OUO30" s="134"/>
      <c r="OUR30" s="134"/>
      <c r="OUU30" s="134"/>
      <c r="OUX30" s="134"/>
      <c r="OVA30" s="134"/>
      <c r="OVD30" s="134"/>
      <c r="OVG30" s="134"/>
      <c r="OVJ30" s="134"/>
      <c r="OVM30" s="134"/>
      <c r="OVP30" s="134"/>
      <c r="OVS30" s="134"/>
      <c r="OVV30" s="134"/>
      <c r="OVY30" s="134"/>
      <c r="OWB30" s="134"/>
      <c r="OWE30" s="134"/>
      <c r="OWH30" s="134"/>
      <c r="OWK30" s="134"/>
      <c r="OWN30" s="134"/>
      <c r="OWQ30" s="134"/>
      <c r="OWT30" s="134"/>
      <c r="OWW30" s="134"/>
      <c r="OWZ30" s="134"/>
      <c r="OXC30" s="134"/>
      <c r="OXF30" s="134"/>
      <c r="OXI30" s="134"/>
      <c r="OXL30" s="134"/>
      <c r="OXO30" s="134"/>
      <c r="OXR30" s="134"/>
      <c r="OXU30" s="134"/>
      <c r="OXX30" s="134"/>
      <c r="OYA30" s="134"/>
      <c r="OYD30" s="134"/>
      <c r="OYG30" s="134"/>
      <c r="OYJ30" s="134"/>
      <c r="OYM30" s="134"/>
      <c r="OYP30" s="134"/>
      <c r="OYS30" s="134"/>
      <c r="OYV30" s="134"/>
      <c r="OYY30" s="134"/>
      <c r="OZB30" s="134"/>
      <c r="OZE30" s="134"/>
      <c r="OZH30" s="134"/>
      <c r="OZK30" s="134"/>
      <c r="OZN30" s="134"/>
      <c r="OZQ30" s="134"/>
      <c r="OZT30" s="134"/>
      <c r="OZW30" s="134"/>
      <c r="OZZ30" s="134"/>
      <c r="PAC30" s="134"/>
      <c r="PAF30" s="134"/>
      <c r="PAI30" s="134"/>
      <c r="PAL30" s="134"/>
      <c r="PAO30" s="134"/>
      <c r="PAR30" s="134"/>
      <c r="PAU30" s="134"/>
      <c r="PAX30" s="134"/>
      <c r="PBA30" s="134"/>
      <c r="PBD30" s="134"/>
      <c r="PBG30" s="134"/>
      <c r="PBJ30" s="134"/>
      <c r="PBM30" s="134"/>
      <c r="PBP30" s="134"/>
      <c r="PBS30" s="134"/>
      <c r="PBV30" s="134"/>
      <c r="PBY30" s="134"/>
      <c r="PCB30" s="134"/>
      <c r="PCE30" s="134"/>
      <c r="PCH30" s="134"/>
      <c r="PCK30" s="134"/>
      <c r="PCN30" s="134"/>
      <c r="PCQ30" s="134"/>
      <c r="PCT30" s="134"/>
      <c r="PCW30" s="134"/>
      <c r="PCZ30" s="134"/>
      <c r="PDC30" s="134"/>
      <c r="PDF30" s="134"/>
      <c r="PDI30" s="134"/>
      <c r="PDL30" s="134"/>
      <c r="PDO30" s="134"/>
      <c r="PDR30" s="134"/>
      <c r="PDU30" s="134"/>
      <c r="PDX30" s="134"/>
      <c r="PEA30" s="134"/>
      <c r="PED30" s="134"/>
      <c r="PEG30" s="134"/>
      <c r="PEJ30" s="134"/>
      <c r="PEM30" s="134"/>
      <c r="PEP30" s="134"/>
      <c r="PES30" s="134"/>
      <c r="PEV30" s="134"/>
      <c r="PEY30" s="134"/>
      <c r="PFB30" s="134"/>
      <c r="PFE30" s="134"/>
      <c r="PFH30" s="134"/>
      <c r="PFK30" s="134"/>
      <c r="PFN30" s="134"/>
      <c r="PFQ30" s="134"/>
      <c r="PFT30" s="134"/>
      <c r="PFW30" s="134"/>
      <c r="PFZ30" s="134"/>
      <c r="PGC30" s="134"/>
      <c r="PGF30" s="134"/>
      <c r="PGI30" s="134"/>
      <c r="PGL30" s="134"/>
      <c r="PGO30" s="134"/>
      <c r="PGR30" s="134"/>
      <c r="PGU30" s="134"/>
      <c r="PGX30" s="134"/>
      <c r="PHA30" s="134"/>
      <c r="PHD30" s="134"/>
      <c r="PHG30" s="134"/>
      <c r="PHJ30" s="134"/>
      <c r="PHM30" s="134"/>
      <c r="PHP30" s="134"/>
      <c r="PHS30" s="134"/>
      <c r="PHV30" s="134"/>
      <c r="PHY30" s="134"/>
      <c r="PIB30" s="134"/>
      <c r="PIE30" s="134"/>
      <c r="PIH30" s="134"/>
      <c r="PIK30" s="134"/>
      <c r="PIN30" s="134"/>
      <c r="PIQ30" s="134"/>
      <c r="PIT30" s="134"/>
      <c r="PIW30" s="134"/>
      <c r="PIZ30" s="134"/>
      <c r="PJC30" s="134"/>
      <c r="PJF30" s="134"/>
      <c r="PJI30" s="134"/>
      <c r="PJL30" s="134"/>
      <c r="PJO30" s="134"/>
      <c r="PJR30" s="134"/>
      <c r="PJU30" s="134"/>
      <c r="PJX30" s="134"/>
      <c r="PKA30" s="134"/>
      <c r="PKD30" s="134"/>
      <c r="PKG30" s="134"/>
      <c r="PKJ30" s="134"/>
      <c r="PKM30" s="134"/>
      <c r="PKP30" s="134"/>
      <c r="PKS30" s="134"/>
      <c r="PKV30" s="134"/>
      <c r="PKY30" s="134"/>
      <c r="PLB30" s="134"/>
      <c r="PLE30" s="134"/>
      <c r="PLH30" s="134"/>
      <c r="PLK30" s="134"/>
      <c r="PLN30" s="134"/>
      <c r="PLQ30" s="134"/>
      <c r="PLT30" s="134"/>
      <c r="PLW30" s="134"/>
      <c r="PLZ30" s="134"/>
      <c r="PMC30" s="134"/>
      <c r="PMF30" s="134"/>
      <c r="PMI30" s="134"/>
      <c r="PML30" s="134"/>
      <c r="PMO30" s="134"/>
      <c r="PMR30" s="134"/>
      <c r="PMU30" s="134"/>
      <c r="PMX30" s="134"/>
      <c r="PNA30" s="134"/>
      <c r="PND30" s="134"/>
      <c r="PNG30" s="134"/>
      <c r="PNJ30" s="134"/>
      <c r="PNM30" s="134"/>
      <c r="PNP30" s="134"/>
      <c r="PNS30" s="134"/>
      <c r="PNV30" s="134"/>
      <c r="PNY30" s="134"/>
      <c r="POB30" s="134"/>
      <c r="POE30" s="134"/>
      <c r="POH30" s="134"/>
      <c r="POK30" s="134"/>
      <c r="PON30" s="134"/>
      <c r="POQ30" s="134"/>
      <c r="POT30" s="134"/>
      <c r="POW30" s="134"/>
      <c r="POZ30" s="134"/>
      <c r="PPC30" s="134"/>
      <c r="PPF30" s="134"/>
      <c r="PPI30" s="134"/>
      <c r="PPL30" s="134"/>
      <c r="PPO30" s="134"/>
      <c r="PPR30" s="134"/>
      <c r="PPU30" s="134"/>
      <c r="PPX30" s="134"/>
      <c r="PQA30" s="134"/>
      <c r="PQD30" s="134"/>
      <c r="PQG30" s="134"/>
      <c r="PQJ30" s="134"/>
      <c r="PQM30" s="134"/>
      <c r="PQP30" s="134"/>
      <c r="PQS30" s="134"/>
      <c r="PQV30" s="134"/>
      <c r="PQY30" s="134"/>
      <c r="PRB30" s="134"/>
      <c r="PRE30" s="134"/>
      <c r="PRH30" s="134"/>
      <c r="PRK30" s="134"/>
      <c r="PRN30" s="134"/>
      <c r="PRQ30" s="134"/>
      <c r="PRT30" s="134"/>
      <c r="PRW30" s="134"/>
      <c r="PRZ30" s="134"/>
      <c r="PSC30" s="134"/>
      <c r="PSF30" s="134"/>
      <c r="PSI30" s="134"/>
      <c r="PSL30" s="134"/>
      <c r="PSO30" s="134"/>
      <c r="PSR30" s="134"/>
      <c r="PSU30" s="134"/>
      <c r="PSX30" s="134"/>
      <c r="PTA30" s="134"/>
      <c r="PTD30" s="134"/>
      <c r="PTG30" s="134"/>
      <c r="PTJ30" s="134"/>
      <c r="PTM30" s="134"/>
      <c r="PTP30" s="134"/>
      <c r="PTS30" s="134"/>
      <c r="PTV30" s="134"/>
      <c r="PTY30" s="134"/>
      <c r="PUB30" s="134"/>
      <c r="PUE30" s="134"/>
      <c r="PUH30" s="134"/>
      <c r="PUK30" s="134"/>
      <c r="PUN30" s="134"/>
      <c r="PUQ30" s="134"/>
      <c r="PUT30" s="134"/>
      <c r="PUW30" s="134"/>
      <c r="PUZ30" s="134"/>
      <c r="PVC30" s="134"/>
      <c r="PVF30" s="134"/>
      <c r="PVI30" s="134"/>
      <c r="PVL30" s="134"/>
      <c r="PVO30" s="134"/>
      <c r="PVR30" s="134"/>
      <c r="PVU30" s="134"/>
      <c r="PVX30" s="134"/>
      <c r="PWA30" s="134"/>
      <c r="PWD30" s="134"/>
      <c r="PWG30" s="134"/>
      <c r="PWJ30" s="134"/>
      <c r="PWM30" s="134"/>
      <c r="PWP30" s="134"/>
      <c r="PWS30" s="134"/>
      <c r="PWV30" s="134"/>
      <c r="PWY30" s="134"/>
      <c r="PXB30" s="134"/>
      <c r="PXE30" s="134"/>
      <c r="PXH30" s="134"/>
      <c r="PXK30" s="134"/>
      <c r="PXN30" s="134"/>
      <c r="PXQ30" s="134"/>
      <c r="PXT30" s="134"/>
      <c r="PXW30" s="134"/>
      <c r="PXZ30" s="134"/>
      <c r="PYC30" s="134"/>
      <c r="PYF30" s="134"/>
      <c r="PYI30" s="134"/>
      <c r="PYL30" s="134"/>
      <c r="PYO30" s="134"/>
      <c r="PYR30" s="134"/>
      <c r="PYU30" s="134"/>
      <c r="PYX30" s="134"/>
      <c r="PZA30" s="134"/>
      <c r="PZD30" s="134"/>
      <c r="PZG30" s="134"/>
      <c r="PZJ30" s="134"/>
      <c r="PZM30" s="134"/>
      <c r="PZP30" s="134"/>
      <c r="PZS30" s="134"/>
      <c r="PZV30" s="134"/>
      <c r="PZY30" s="134"/>
      <c r="QAB30" s="134"/>
      <c r="QAE30" s="134"/>
      <c r="QAH30" s="134"/>
      <c r="QAK30" s="134"/>
      <c r="QAN30" s="134"/>
      <c r="QAQ30" s="134"/>
      <c r="QAT30" s="134"/>
      <c r="QAW30" s="134"/>
      <c r="QAZ30" s="134"/>
      <c r="QBC30" s="134"/>
      <c r="QBF30" s="134"/>
      <c r="QBI30" s="134"/>
      <c r="QBL30" s="134"/>
      <c r="QBO30" s="134"/>
      <c r="QBR30" s="134"/>
      <c r="QBU30" s="134"/>
      <c r="QBX30" s="134"/>
      <c r="QCA30" s="134"/>
      <c r="QCD30" s="134"/>
      <c r="QCG30" s="134"/>
      <c r="QCJ30" s="134"/>
      <c r="QCM30" s="134"/>
      <c r="QCP30" s="134"/>
      <c r="QCS30" s="134"/>
      <c r="QCV30" s="134"/>
      <c r="QCY30" s="134"/>
      <c r="QDB30" s="134"/>
      <c r="QDE30" s="134"/>
      <c r="QDH30" s="134"/>
      <c r="QDK30" s="134"/>
      <c r="QDN30" s="134"/>
      <c r="QDQ30" s="134"/>
      <c r="QDT30" s="134"/>
      <c r="QDW30" s="134"/>
      <c r="QDZ30" s="134"/>
      <c r="QEC30" s="134"/>
      <c r="QEF30" s="134"/>
      <c r="QEI30" s="134"/>
      <c r="QEL30" s="134"/>
      <c r="QEO30" s="134"/>
      <c r="QER30" s="134"/>
      <c r="QEU30" s="134"/>
      <c r="QEX30" s="134"/>
      <c r="QFA30" s="134"/>
      <c r="QFD30" s="134"/>
      <c r="QFG30" s="134"/>
      <c r="QFJ30" s="134"/>
      <c r="QFM30" s="134"/>
      <c r="QFP30" s="134"/>
      <c r="QFS30" s="134"/>
      <c r="QFV30" s="134"/>
      <c r="QFY30" s="134"/>
      <c r="QGB30" s="134"/>
      <c r="QGE30" s="134"/>
      <c r="QGH30" s="134"/>
      <c r="QGK30" s="134"/>
      <c r="QGN30" s="134"/>
      <c r="QGQ30" s="134"/>
      <c r="QGT30" s="134"/>
      <c r="QGW30" s="134"/>
      <c r="QGZ30" s="134"/>
      <c r="QHC30" s="134"/>
      <c r="QHF30" s="134"/>
      <c r="QHI30" s="134"/>
      <c r="QHL30" s="134"/>
      <c r="QHO30" s="134"/>
      <c r="QHR30" s="134"/>
      <c r="QHU30" s="134"/>
      <c r="QHX30" s="134"/>
      <c r="QIA30" s="134"/>
      <c r="QID30" s="134"/>
      <c r="QIG30" s="134"/>
      <c r="QIJ30" s="134"/>
      <c r="QIM30" s="134"/>
      <c r="QIP30" s="134"/>
      <c r="QIS30" s="134"/>
      <c r="QIV30" s="134"/>
      <c r="QIY30" s="134"/>
      <c r="QJB30" s="134"/>
      <c r="QJE30" s="134"/>
      <c r="QJH30" s="134"/>
      <c r="QJK30" s="134"/>
      <c r="QJN30" s="134"/>
      <c r="QJQ30" s="134"/>
      <c r="QJT30" s="134"/>
      <c r="QJW30" s="134"/>
      <c r="QJZ30" s="134"/>
      <c r="QKC30" s="134"/>
      <c r="QKF30" s="134"/>
      <c r="QKI30" s="134"/>
      <c r="QKL30" s="134"/>
      <c r="QKO30" s="134"/>
      <c r="QKR30" s="134"/>
      <c r="QKU30" s="134"/>
      <c r="QKX30" s="134"/>
      <c r="QLA30" s="134"/>
      <c r="QLD30" s="134"/>
      <c r="QLG30" s="134"/>
      <c r="QLJ30" s="134"/>
      <c r="QLM30" s="134"/>
      <c r="QLP30" s="134"/>
      <c r="QLS30" s="134"/>
      <c r="QLV30" s="134"/>
      <c r="QLY30" s="134"/>
      <c r="QMB30" s="134"/>
      <c r="QME30" s="134"/>
      <c r="QMH30" s="134"/>
      <c r="QMK30" s="134"/>
      <c r="QMN30" s="134"/>
      <c r="QMQ30" s="134"/>
      <c r="QMT30" s="134"/>
      <c r="QMW30" s="134"/>
      <c r="QMZ30" s="134"/>
      <c r="QNC30" s="134"/>
      <c r="QNF30" s="134"/>
      <c r="QNI30" s="134"/>
      <c r="QNL30" s="134"/>
      <c r="QNO30" s="134"/>
      <c r="QNR30" s="134"/>
      <c r="QNU30" s="134"/>
      <c r="QNX30" s="134"/>
      <c r="QOA30" s="134"/>
      <c r="QOD30" s="134"/>
      <c r="QOG30" s="134"/>
      <c r="QOJ30" s="134"/>
      <c r="QOM30" s="134"/>
      <c r="QOP30" s="134"/>
      <c r="QOS30" s="134"/>
      <c r="QOV30" s="134"/>
      <c r="QOY30" s="134"/>
      <c r="QPB30" s="134"/>
      <c r="QPE30" s="134"/>
      <c r="QPH30" s="134"/>
      <c r="QPK30" s="134"/>
      <c r="QPN30" s="134"/>
      <c r="QPQ30" s="134"/>
      <c r="QPT30" s="134"/>
      <c r="QPW30" s="134"/>
      <c r="QPZ30" s="134"/>
      <c r="QQC30" s="134"/>
      <c r="QQF30" s="134"/>
      <c r="QQI30" s="134"/>
      <c r="QQL30" s="134"/>
      <c r="QQO30" s="134"/>
      <c r="QQR30" s="134"/>
      <c r="QQU30" s="134"/>
      <c r="QQX30" s="134"/>
      <c r="QRA30" s="134"/>
      <c r="QRD30" s="134"/>
      <c r="QRG30" s="134"/>
      <c r="QRJ30" s="134"/>
      <c r="QRM30" s="134"/>
      <c r="QRP30" s="134"/>
      <c r="QRS30" s="134"/>
      <c r="QRV30" s="134"/>
      <c r="QRY30" s="134"/>
      <c r="QSB30" s="134"/>
      <c r="QSE30" s="134"/>
      <c r="QSH30" s="134"/>
      <c r="QSK30" s="134"/>
      <c r="QSN30" s="134"/>
      <c r="QSQ30" s="134"/>
      <c r="QST30" s="134"/>
      <c r="QSW30" s="134"/>
      <c r="QSZ30" s="134"/>
      <c r="QTC30" s="134"/>
      <c r="QTF30" s="134"/>
      <c r="QTI30" s="134"/>
      <c r="QTL30" s="134"/>
      <c r="QTO30" s="134"/>
      <c r="QTR30" s="134"/>
      <c r="QTU30" s="134"/>
      <c r="QTX30" s="134"/>
      <c r="QUA30" s="134"/>
      <c r="QUD30" s="134"/>
      <c r="QUG30" s="134"/>
      <c r="QUJ30" s="134"/>
      <c r="QUM30" s="134"/>
      <c r="QUP30" s="134"/>
      <c r="QUS30" s="134"/>
      <c r="QUV30" s="134"/>
      <c r="QUY30" s="134"/>
      <c r="QVB30" s="134"/>
      <c r="QVE30" s="134"/>
      <c r="QVH30" s="134"/>
      <c r="QVK30" s="134"/>
      <c r="QVN30" s="134"/>
      <c r="QVQ30" s="134"/>
      <c r="QVT30" s="134"/>
      <c r="QVW30" s="134"/>
      <c r="QVZ30" s="134"/>
      <c r="QWC30" s="134"/>
      <c r="QWF30" s="134"/>
      <c r="QWI30" s="134"/>
      <c r="QWL30" s="134"/>
      <c r="QWO30" s="134"/>
      <c r="QWR30" s="134"/>
      <c r="QWU30" s="134"/>
      <c r="QWX30" s="134"/>
      <c r="QXA30" s="134"/>
      <c r="QXD30" s="134"/>
      <c r="QXG30" s="134"/>
      <c r="QXJ30" s="134"/>
      <c r="QXM30" s="134"/>
      <c r="QXP30" s="134"/>
      <c r="QXS30" s="134"/>
      <c r="QXV30" s="134"/>
      <c r="QXY30" s="134"/>
      <c r="QYB30" s="134"/>
      <c r="QYE30" s="134"/>
      <c r="QYH30" s="134"/>
      <c r="QYK30" s="134"/>
      <c r="QYN30" s="134"/>
      <c r="QYQ30" s="134"/>
      <c r="QYT30" s="134"/>
      <c r="QYW30" s="134"/>
      <c r="QYZ30" s="134"/>
      <c r="QZC30" s="134"/>
      <c r="QZF30" s="134"/>
      <c r="QZI30" s="134"/>
      <c r="QZL30" s="134"/>
      <c r="QZO30" s="134"/>
      <c r="QZR30" s="134"/>
      <c r="QZU30" s="134"/>
      <c r="QZX30" s="134"/>
      <c r="RAA30" s="134"/>
      <c r="RAD30" s="134"/>
      <c r="RAG30" s="134"/>
      <c r="RAJ30" s="134"/>
      <c r="RAM30" s="134"/>
      <c r="RAP30" s="134"/>
      <c r="RAS30" s="134"/>
      <c r="RAV30" s="134"/>
      <c r="RAY30" s="134"/>
      <c r="RBB30" s="134"/>
      <c r="RBE30" s="134"/>
      <c r="RBH30" s="134"/>
      <c r="RBK30" s="134"/>
      <c r="RBN30" s="134"/>
      <c r="RBQ30" s="134"/>
      <c r="RBT30" s="134"/>
      <c r="RBW30" s="134"/>
      <c r="RBZ30" s="134"/>
      <c r="RCC30" s="134"/>
      <c r="RCF30" s="134"/>
      <c r="RCI30" s="134"/>
      <c r="RCL30" s="134"/>
      <c r="RCO30" s="134"/>
      <c r="RCR30" s="134"/>
      <c r="RCU30" s="134"/>
      <c r="RCX30" s="134"/>
      <c r="RDA30" s="134"/>
      <c r="RDD30" s="134"/>
      <c r="RDG30" s="134"/>
      <c r="RDJ30" s="134"/>
      <c r="RDM30" s="134"/>
      <c r="RDP30" s="134"/>
      <c r="RDS30" s="134"/>
      <c r="RDV30" s="134"/>
      <c r="RDY30" s="134"/>
      <c r="REB30" s="134"/>
      <c r="REE30" s="134"/>
      <c r="REH30" s="134"/>
      <c r="REK30" s="134"/>
      <c r="REN30" s="134"/>
      <c r="REQ30" s="134"/>
      <c r="RET30" s="134"/>
      <c r="REW30" s="134"/>
      <c r="REZ30" s="134"/>
      <c r="RFC30" s="134"/>
      <c r="RFF30" s="134"/>
      <c r="RFI30" s="134"/>
      <c r="RFL30" s="134"/>
      <c r="RFO30" s="134"/>
      <c r="RFR30" s="134"/>
      <c r="RFU30" s="134"/>
      <c r="RFX30" s="134"/>
      <c r="RGA30" s="134"/>
      <c r="RGD30" s="134"/>
      <c r="RGG30" s="134"/>
      <c r="RGJ30" s="134"/>
      <c r="RGM30" s="134"/>
      <c r="RGP30" s="134"/>
      <c r="RGS30" s="134"/>
      <c r="RGV30" s="134"/>
      <c r="RGY30" s="134"/>
      <c r="RHB30" s="134"/>
      <c r="RHE30" s="134"/>
      <c r="RHH30" s="134"/>
      <c r="RHK30" s="134"/>
      <c r="RHN30" s="134"/>
      <c r="RHQ30" s="134"/>
      <c r="RHT30" s="134"/>
      <c r="RHW30" s="134"/>
      <c r="RHZ30" s="134"/>
      <c r="RIC30" s="134"/>
      <c r="RIF30" s="134"/>
      <c r="RII30" s="134"/>
      <c r="RIL30" s="134"/>
      <c r="RIO30" s="134"/>
      <c r="RIR30" s="134"/>
      <c r="RIU30" s="134"/>
      <c r="RIX30" s="134"/>
      <c r="RJA30" s="134"/>
      <c r="RJD30" s="134"/>
      <c r="RJG30" s="134"/>
      <c r="RJJ30" s="134"/>
      <c r="RJM30" s="134"/>
      <c r="RJP30" s="134"/>
      <c r="RJS30" s="134"/>
      <c r="RJV30" s="134"/>
      <c r="RJY30" s="134"/>
      <c r="RKB30" s="134"/>
      <c r="RKE30" s="134"/>
      <c r="RKH30" s="134"/>
      <c r="RKK30" s="134"/>
      <c r="RKN30" s="134"/>
      <c r="RKQ30" s="134"/>
      <c r="RKT30" s="134"/>
      <c r="RKW30" s="134"/>
      <c r="RKZ30" s="134"/>
      <c r="RLC30" s="134"/>
      <c r="RLF30" s="134"/>
      <c r="RLI30" s="134"/>
      <c r="RLL30" s="134"/>
      <c r="RLO30" s="134"/>
      <c r="RLR30" s="134"/>
      <c r="RLU30" s="134"/>
      <c r="RLX30" s="134"/>
      <c r="RMA30" s="134"/>
      <c r="RMD30" s="134"/>
      <c r="RMG30" s="134"/>
      <c r="RMJ30" s="134"/>
      <c r="RMM30" s="134"/>
      <c r="RMP30" s="134"/>
      <c r="RMS30" s="134"/>
      <c r="RMV30" s="134"/>
      <c r="RMY30" s="134"/>
      <c r="RNB30" s="134"/>
      <c r="RNE30" s="134"/>
      <c r="RNH30" s="134"/>
      <c r="RNK30" s="134"/>
      <c r="RNN30" s="134"/>
      <c r="RNQ30" s="134"/>
      <c r="RNT30" s="134"/>
      <c r="RNW30" s="134"/>
      <c r="RNZ30" s="134"/>
      <c r="ROC30" s="134"/>
      <c r="ROF30" s="134"/>
      <c r="ROI30" s="134"/>
      <c r="ROL30" s="134"/>
      <c r="ROO30" s="134"/>
      <c r="ROR30" s="134"/>
      <c r="ROU30" s="134"/>
      <c r="ROX30" s="134"/>
      <c r="RPA30" s="134"/>
      <c r="RPD30" s="134"/>
      <c r="RPG30" s="134"/>
      <c r="RPJ30" s="134"/>
      <c r="RPM30" s="134"/>
      <c r="RPP30" s="134"/>
      <c r="RPS30" s="134"/>
      <c r="RPV30" s="134"/>
      <c r="RPY30" s="134"/>
      <c r="RQB30" s="134"/>
      <c r="RQE30" s="134"/>
      <c r="RQH30" s="134"/>
      <c r="RQK30" s="134"/>
      <c r="RQN30" s="134"/>
      <c r="RQQ30" s="134"/>
      <c r="RQT30" s="134"/>
      <c r="RQW30" s="134"/>
      <c r="RQZ30" s="134"/>
      <c r="RRC30" s="134"/>
      <c r="RRF30" s="134"/>
      <c r="RRI30" s="134"/>
      <c r="RRL30" s="134"/>
      <c r="RRO30" s="134"/>
      <c r="RRR30" s="134"/>
      <c r="RRU30" s="134"/>
      <c r="RRX30" s="134"/>
      <c r="RSA30" s="134"/>
      <c r="RSD30" s="134"/>
      <c r="RSG30" s="134"/>
      <c r="RSJ30" s="134"/>
      <c r="RSM30" s="134"/>
      <c r="RSP30" s="134"/>
      <c r="RSS30" s="134"/>
      <c r="RSV30" s="134"/>
      <c r="RSY30" s="134"/>
      <c r="RTB30" s="134"/>
      <c r="RTE30" s="134"/>
      <c r="RTH30" s="134"/>
      <c r="RTK30" s="134"/>
      <c r="RTN30" s="134"/>
      <c r="RTQ30" s="134"/>
      <c r="RTT30" s="134"/>
      <c r="RTW30" s="134"/>
      <c r="RTZ30" s="134"/>
      <c r="RUC30" s="134"/>
      <c r="RUF30" s="134"/>
      <c r="RUI30" s="134"/>
      <c r="RUL30" s="134"/>
      <c r="RUO30" s="134"/>
      <c r="RUR30" s="134"/>
      <c r="RUU30" s="134"/>
      <c r="RUX30" s="134"/>
      <c r="RVA30" s="134"/>
      <c r="RVD30" s="134"/>
      <c r="RVG30" s="134"/>
      <c r="RVJ30" s="134"/>
      <c r="RVM30" s="134"/>
      <c r="RVP30" s="134"/>
      <c r="RVS30" s="134"/>
      <c r="RVV30" s="134"/>
      <c r="RVY30" s="134"/>
      <c r="RWB30" s="134"/>
      <c r="RWE30" s="134"/>
      <c r="RWH30" s="134"/>
      <c r="RWK30" s="134"/>
      <c r="RWN30" s="134"/>
      <c r="RWQ30" s="134"/>
      <c r="RWT30" s="134"/>
      <c r="RWW30" s="134"/>
      <c r="RWZ30" s="134"/>
      <c r="RXC30" s="134"/>
      <c r="RXF30" s="134"/>
      <c r="RXI30" s="134"/>
      <c r="RXL30" s="134"/>
      <c r="RXO30" s="134"/>
      <c r="RXR30" s="134"/>
      <c r="RXU30" s="134"/>
      <c r="RXX30" s="134"/>
      <c r="RYA30" s="134"/>
      <c r="RYD30" s="134"/>
      <c r="RYG30" s="134"/>
      <c r="RYJ30" s="134"/>
      <c r="RYM30" s="134"/>
      <c r="RYP30" s="134"/>
      <c r="RYS30" s="134"/>
      <c r="RYV30" s="134"/>
      <c r="RYY30" s="134"/>
      <c r="RZB30" s="134"/>
      <c r="RZE30" s="134"/>
      <c r="RZH30" s="134"/>
      <c r="RZK30" s="134"/>
      <c r="RZN30" s="134"/>
      <c r="RZQ30" s="134"/>
      <c r="RZT30" s="134"/>
      <c r="RZW30" s="134"/>
      <c r="RZZ30" s="134"/>
      <c r="SAC30" s="134"/>
      <c r="SAF30" s="134"/>
      <c r="SAI30" s="134"/>
      <c r="SAL30" s="134"/>
      <c r="SAO30" s="134"/>
      <c r="SAR30" s="134"/>
      <c r="SAU30" s="134"/>
      <c r="SAX30" s="134"/>
      <c r="SBA30" s="134"/>
      <c r="SBD30" s="134"/>
      <c r="SBG30" s="134"/>
      <c r="SBJ30" s="134"/>
      <c r="SBM30" s="134"/>
      <c r="SBP30" s="134"/>
      <c r="SBS30" s="134"/>
      <c r="SBV30" s="134"/>
      <c r="SBY30" s="134"/>
      <c r="SCB30" s="134"/>
      <c r="SCE30" s="134"/>
      <c r="SCH30" s="134"/>
      <c r="SCK30" s="134"/>
      <c r="SCN30" s="134"/>
      <c r="SCQ30" s="134"/>
      <c r="SCT30" s="134"/>
      <c r="SCW30" s="134"/>
      <c r="SCZ30" s="134"/>
      <c r="SDC30" s="134"/>
      <c r="SDF30" s="134"/>
      <c r="SDI30" s="134"/>
      <c r="SDL30" s="134"/>
      <c r="SDO30" s="134"/>
      <c r="SDR30" s="134"/>
      <c r="SDU30" s="134"/>
      <c r="SDX30" s="134"/>
      <c r="SEA30" s="134"/>
      <c r="SED30" s="134"/>
      <c r="SEG30" s="134"/>
      <c r="SEJ30" s="134"/>
      <c r="SEM30" s="134"/>
      <c r="SEP30" s="134"/>
      <c r="SES30" s="134"/>
      <c r="SEV30" s="134"/>
      <c r="SEY30" s="134"/>
      <c r="SFB30" s="134"/>
      <c r="SFE30" s="134"/>
      <c r="SFH30" s="134"/>
      <c r="SFK30" s="134"/>
      <c r="SFN30" s="134"/>
      <c r="SFQ30" s="134"/>
      <c r="SFT30" s="134"/>
      <c r="SFW30" s="134"/>
      <c r="SFZ30" s="134"/>
      <c r="SGC30" s="134"/>
      <c r="SGF30" s="134"/>
      <c r="SGI30" s="134"/>
      <c r="SGL30" s="134"/>
      <c r="SGO30" s="134"/>
      <c r="SGR30" s="134"/>
      <c r="SGU30" s="134"/>
      <c r="SGX30" s="134"/>
      <c r="SHA30" s="134"/>
      <c r="SHD30" s="134"/>
      <c r="SHG30" s="134"/>
      <c r="SHJ30" s="134"/>
      <c r="SHM30" s="134"/>
      <c r="SHP30" s="134"/>
      <c r="SHS30" s="134"/>
      <c r="SHV30" s="134"/>
      <c r="SHY30" s="134"/>
      <c r="SIB30" s="134"/>
      <c r="SIE30" s="134"/>
      <c r="SIH30" s="134"/>
      <c r="SIK30" s="134"/>
      <c r="SIN30" s="134"/>
      <c r="SIQ30" s="134"/>
      <c r="SIT30" s="134"/>
      <c r="SIW30" s="134"/>
      <c r="SIZ30" s="134"/>
      <c r="SJC30" s="134"/>
      <c r="SJF30" s="134"/>
      <c r="SJI30" s="134"/>
      <c r="SJL30" s="134"/>
      <c r="SJO30" s="134"/>
      <c r="SJR30" s="134"/>
      <c r="SJU30" s="134"/>
      <c r="SJX30" s="134"/>
      <c r="SKA30" s="134"/>
      <c r="SKD30" s="134"/>
      <c r="SKG30" s="134"/>
      <c r="SKJ30" s="134"/>
      <c r="SKM30" s="134"/>
      <c r="SKP30" s="134"/>
      <c r="SKS30" s="134"/>
      <c r="SKV30" s="134"/>
      <c r="SKY30" s="134"/>
      <c r="SLB30" s="134"/>
      <c r="SLE30" s="134"/>
      <c r="SLH30" s="134"/>
      <c r="SLK30" s="134"/>
      <c r="SLN30" s="134"/>
      <c r="SLQ30" s="134"/>
      <c r="SLT30" s="134"/>
      <c r="SLW30" s="134"/>
      <c r="SLZ30" s="134"/>
      <c r="SMC30" s="134"/>
      <c r="SMF30" s="134"/>
      <c r="SMI30" s="134"/>
      <c r="SML30" s="134"/>
      <c r="SMO30" s="134"/>
      <c r="SMR30" s="134"/>
      <c r="SMU30" s="134"/>
      <c r="SMX30" s="134"/>
      <c r="SNA30" s="134"/>
      <c r="SND30" s="134"/>
      <c r="SNG30" s="134"/>
      <c r="SNJ30" s="134"/>
      <c r="SNM30" s="134"/>
      <c r="SNP30" s="134"/>
      <c r="SNS30" s="134"/>
      <c r="SNV30" s="134"/>
      <c r="SNY30" s="134"/>
      <c r="SOB30" s="134"/>
      <c r="SOE30" s="134"/>
      <c r="SOH30" s="134"/>
      <c r="SOK30" s="134"/>
      <c r="SON30" s="134"/>
      <c r="SOQ30" s="134"/>
      <c r="SOT30" s="134"/>
      <c r="SOW30" s="134"/>
      <c r="SOZ30" s="134"/>
      <c r="SPC30" s="134"/>
      <c r="SPF30" s="134"/>
      <c r="SPI30" s="134"/>
      <c r="SPL30" s="134"/>
      <c r="SPO30" s="134"/>
      <c r="SPR30" s="134"/>
      <c r="SPU30" s="134"/>
      <c r="SPX30" s="134"/>
      <c r="SQA30" s="134"/>
      <c r="SQD30" s="134"/>
      <c r="SQG30" s="134"/>
      <c r="SQJ30" s="134"/>
      <c r="SQM30" s="134"/>
      <c r="SQP30" s="134"/>
      <c r="SQS30" s="134"/>
      <c r="SQV30" s="134"/>
      <c r="SQY30" s="134"/>
      <c r="SRB30" s="134"/>
      <c r="SRE30" s="134"/>
      <c r="SRH30" s="134"/>
      <c r="SRK30" s="134"/>
      <c r="SRN30" s="134"/>
      <c r="SRQ30" s="134"/>
      <c r="SRT30" s="134"/>
      <c r="SRW30" s="134"/>
      <c r="SRZ30" s="134"/>
      <c r="SSC30" s="134"/>
      <c r="SSF30" s="134"/>
      <c r="SSI30" s="134"/>
      <c r="SSL30" s="134"/>
      <c r="SSO30" s="134"/>
      <c r="SSR30" s="134"/>
      <c r="SSU30" s="134"/>
      <c r="SSX30" s="134"/>
      <c r="STA30" s="134"/>
      <c r="STD30" s="134"/>
      <c r="STG30" s="134"/>
      <c r="STJ30" s="134"/>
      <c r="STM30" s="134"/>
      <c r="STP30" s="134"/>
      <c r="STS30" s="134"/>
      <c r="STV30" s="134"/>
      <c r="STY30" s="134"/>
      <c r="SUB30" s="134"/>
      <c r="SUE30" s="134"/>
      <c r="SUH30" s="134"/>
      <c r="SUK30" s="134"/>
      <c r="SUN30" s="134"/>
      <c r="SUQ30" s="134"/>
      <c r="SUT30" s="134"/>
      <c r="SUW30" s="134"/>
      <c r="SUZ30" s="134"/>
      <c r="SVC30" s="134"/>
      <c r="SVF30" s="134"/>
      <c r="SVI30" s="134"/>
      <c r="SVL30" s="134"/>
      <c r="SVO30" s="134"/>
      <c r="SVR30" s="134"/>
      <c r="SVU30" s="134"/>
      <c r="SVX30" s="134"/>
      <c r="SWA30" s="134"/>
      <c r="SWD30" s="134"/>
      <c r="SWG30" s="134"/>
      <c r="SWJ30" s="134"/>
      <c r="SWM30" s="134"/>
      <c r="SWP30" s="134"/>
      <c r="SWS30" s="134"/>
      <c r="SWV30" s="134"/>
      <c r="SWY30" s="134"/>
      <c r="SXB30" s="134"/>
      <c r="SXE30" s="134"/>
      <c r="SXH30" s="134"/>
      <c r="SXK30" s="134"/>
      <c r="SXN30" s="134"/>
      <c r="SXQ30" s="134"/>
      <c r="SXT30" s="134"/>
      <c r="SXW30" s="134"/>
      <c r="SXZ30" s="134"/>
      <c r="SYC30" s="134"/>
      <c r="SYF30" s="134"/>
      <c r="SYI30" s="134"/>
      <c r="SYL30" s="134"/>
      <c r="SYO30" s="134"/>
      <c r="SYR30" s="134"/>
      <c r="SYU30" s="134"/>
      <c r="SYX30" s="134"/>
      <c r="SZA30" s="134"/>
      <c r="SZD30" s="134"/>
      <c r="SZG30" s="134"/>
      <c r="SZJ30" s="134"/>
      <c r="SZM30" s="134"/>
      <c r="SZP30" s="134"/>
      <c r="SZS30" s="134"/>
      <c r="SZV30" s="134"/>
      <c r="SZY30" s="134"/>
      <c r="TAB30" s="134"/>
      <c r="TAE30" s="134"/>
      <c r="TAH30" s="134"/>
      <c r="TAK30" s="134"/>
      <c r="TAN30" s="134"/>
      <c r="TAQ30" s="134"/>
      <c r="TAT30" s="134"/>
      <c r="TAW30" s="134"/>
      <c r="TAZ30" s="134"/>
      <c r="TBC30" s="134"/>
      <c r="TBF30" s="134"/>
      <c r="TBI30" s="134"/>
      <c r="TBL30" s="134"/>
      <c r="TBO30" s="134"/>
      <c r="TBR30" s="134"/>
      <c r="TBU30" s="134"/>
      <c r="TBX30" s="134"/>
      <c r="TCA30" s="134"/>
      <c r="TCD30" s="134"/>
      <c r="TCG30" s="134"/>
      <c r="TCJ30" s="134"/>
      <c r="TCM30" s="134"/>
      <c r="TCP30" s="134"/>
      <c r="TCS30" s="134"/>
      <c r="TCV30" s="134"/>
      <c r="TCY30" s="134"/>
      <c r="TDB30" s="134"/>
      <c r="TDE30" s="134"/>
      <c r="TDH30" s="134"/>
      <c r="TDK30" s="134"/>
      <c r="TDN30" s="134"/>
      <c r="TDQ30" s="134"/>
      <c r="TDT30" s="134"/>
      <c r="TDW30" s="134"/>
      <c r="TDZ30" s="134"/>
      <c r="TEC30" s="134"/>
      <c r="TEF30" s="134"/>
      <c r="TEI30" s="134"/>
      <c r="TEL30" s="134"/>
      <c r="TEO30" s="134"/>
      <c r="TER30" s="134"/>
      <c r="TEU30" s="134"/>
      <c r="TEX30" s="134"/>
      <c r="TFA30" s="134"/>
      <c r="TFD30" s="134"/>
      <c r="TFG30" s="134"/>
      <c r="TFJ30" s="134"/>
      <c r="TFM30" s="134"/>
      <c r="TFP30" s="134"/>
      <c r="TFS30" s="134"/>
      <c r="TFV30" s="134"/>
      <c r="TFY30" s="134"/>
      <c r="TGB30" s="134"/>
      <c r="TGE30" s="134"/>
      <c r="TGH30" s="134"/>
      <c r="TGK30" s="134"/>
      <c r="TGN30" s="134"/>
      <c r="TGQ30" s="134"/>
      <c r="TGT30" s="134"/>
      <c r="TGW30" s="134"/>
      <c r="TGZ30" s="134"/>
      <c r="THC30" s="134"/>
      <c r="THF30" s="134"/>
      <c r="THI30" s="134"/>
      <c r="THL30" s="134"/>
      <c r="THO30" s="134"/>
      <c r="THR30" s="134"/>
      <c r="THU30" s="134"/>
      <c r="THX30" s="134"/>
      <c r="TIA30" s="134"/>
      <c r="TID30" s="134"/>
      <c r="TIG30" s="134"/>
      <c r="TIJ30" s="134"/>
      <c r="TIM30" s="134"/>
      <c r="TIP30" s="134"/>
      <c r="TIS30" s="134"/>
      <c r="TIV30" s="134"/>
      <c r="TIY30" s="134"/>
      <c r="TJB30" s="134"/>
      <c r="TJE30" s="134"/>
      <c r="TJH30" s="134"/>
      <c r="TJK30" s="134"/>
      <c r="TJN30" s="134"/>
      <c r="TJQ30" s="134"/>
      <c r="TJT30" s="134"/>
      <c r="TJW30" s="134"/>
      <c r="TJZ30" s="134"/>
      <c r="TKC30" s="134"/>
      <c r="TKF30" s="134"/>
      <c r="TKI30" s="134"/>
      <c r="TKL30" s="134"/>
      <c r="TKO30" s="134"/>
      <c r="TKR30" s="134"/>
      <c r="TKU30" s="134"/>
      <c r="TKX30" s="134"/>
      <c r="TLA30" s="134"/>
      <c r="TLD30" s="134"/>
      <c r="TLG30" s="134"/>
      <c r="TLJ30" s="134"/>
      <c r="TLM30" s="134"/>
      <c r="TLP30" s="134"/>
      <c r="TLS30" s="134"/>
      <c r="TLV30" s="134"/>
      <c r="TLY30" s="134"/>
      <c r="TMB30" s="134"/>
      <c r="TME30" s="134"/>
      <c r="TMH30" s="134"/>
      <c r="TMK30" s="134"/>
      <c r="TMN30" s="134"/>
      <c r="TMQ30" s="134"/>
      <c r="TMT30" s="134"/>
      <c r="TMW30" s="134"/>
      <c r="TMZ30" s="134"/>
      <c r="TNC30" s="134"/>
      <c r="TNF30" s="134"/>
      <c r="TNI30" s="134"/>
      <c r="TNL30" s="134"/>
      <c r="TNO30" s="134"/>
      <c r="TNR30" s="134"/>
      <c r="TNU30" s="134"/>
      <c r="TNX30" s="134"/>
      <c r="TOA30" s="134"/>
      <c r="TOD30" s="134"/>
      <c r="TOG30" s="134"/>
      <c r="TOJ30" s="134"/>
      <c r="TOM30" s="134"/>
      <c r="TOP30" s="134"/>
      <c r="TOS30" s="134"/>
      <c r="TOV30" s="134"/>
      <c r="TOY30" s="134"/>
      <c r="TPB30" s="134"/>
      <c r="TPE30" s="134"/>
      <c r="TPH30" s="134"/>
      <c r="TPK30" s="134"/>
      <c r="TPN30" s="134"/>
      <c r="TPQ30" s="134"/>
      <c r="TPT30" s="134"/>
      <c r="TPW30" s="134"/>
      <c r="TPZ30" s="134"/>
      <c r="TQC30" s="134"/>
      <c r="TQF30" s="134"/>
      <c r="TQI30" s="134"/>
      <c r="TQL30" s="134"/>
      <c r="TQO30" s="134"/>
      <c r="TQR30" s="134"/>
      <c r="TQU30" s="134"/>
      <c r="TQX30" s="134"/>
      <c r="TRA30" s="134"/>
      <c r="TRD30" s="134"/>
      <c r="TRG30" s="134"/>
      <c r="TRJ30" s="134"/>
      <c r="TRM30" s="134"/>
      <c r="TRP30" s="134"/>
      <c r="TRS30" s="134"/>
      <c r="TRV30" s="134"/>
      <c r="TRY30" s="134"/>
      <c r="TSB30" s="134"/>
      <c r="TSE30" s="134"/>
      <c r="TSH30" s="134"/>
      <c r="TSK30" s="134"/>
      <c r="TSN30" s="134"/>
      <c r="TSQ30" s="134"/>
      <c r="TST30" s="134"/>
      <c r="TSW30" s="134"/>
      <c r="TSZ30" s="134"/>
      <c r="TTC30" s="134"/>
      <c r="TTF30" s="134"/>
      <c r="TTI30" s="134"/>
      <c r="TTL30" s="134"/>
      <c r="TTO30" s="134"/>
      <c r="TTR30" s="134"/>
      <c r="TTU30" s="134"/>
      <c r="TTX30" s="134"/>
      <c r="TUA30" s="134"/>
      <c r="TUD30" s="134"/>
      <c r="TUG30" s="134"/>
      <c r="TUJ30" s="134"/>
      <c r="TUM30" s="134"/>
      <c r="TUP30" s="134"/>
      <c r="TUS30" s="134"/>
      <c r="TUV30" s="134"/>
      <c r="TUY30" s="134"/>
      <c r="TVB30" s="134"/>
      <c r="TVE30" s="134"/>
      <c r="TVH30" s="134"/>
      <c r="TVK30" s="134"/>
      <c r="TVN30" s="134"/>
      <c r="TVQ30" s="134"/>
      <c r="TVT30" s="134"/>
      <c r="TVW30" s="134"/>
      <c r="TVZ30" s="134"/>
      <c r="TWC30" s="134"/>
      <c r="TWF30" s="134"/>
      <c r="TWI30" s="134"/>
      <c r="TWL30" s="134"/>
      <c r="TWO30" s="134"/>
      <c r="TWR30" s="134"/>
      <c r="TWU30" s="134"/>
      <c r="TWX30" s="134"/>
      <c r="TXA30" s="134"/>
      <c r="TXD30" s="134"/>
      <c r="TXG30" s="134"/>
      <c r="TXJ30" s="134"/>
      <c r="TXM30" s="134"/>
      <c r="TXP30" s="134"/>
      <c r="TXS30" s="134"/>
      <c r="TXV30" s="134"/>
      <c r="TXY30" s="134"/>
      <c r="TYB30" s="134"/>
      <c r="TYE30" s="134"/>
      <c r="TYH30" s="134"/>
      <c r="TYK30" s="134"/>
      <c r="TYN30" s="134"/>
      <c r="TYQ30" s="134"/>
      <c r="TYT30" s="134"/>
      <c r="TYW30" s="134"/>
      <c r="TYZ30" s="134"/>
      <c r="TZC30" s="134"/>
      <c r="TZF30" s="134"/>
      <c r="TZI30" s="134"/>
      <c r="TZL30" s="134"/>
      <c r="TZO30" s="134"/>
      <c r="TZR30" s="134"/>
      <c r="TZU30" s="134"/>
      <c r="TZX30" s="134"/>
      <c r="UAA30" s="134"/>
      <c r="UAD30" s="134"/>
      <c r="UAG30" s="134"/>
      <c r="UAJ30" s="134"/>
      <c r="UAM30" s="134"/>
      <c r="UAP30" s="134"/>
      <c r="UAS30" s="134"/>
      <c r="UAV30" s="134"/>
      <c r="UAY30" s="134"/>
      <c r="UBB30" s="134"/>
      <c r="UBE30" s="134"/>
      <c r="UBH30" s="134"/>
      <c r="UBK30" s="134"/>
      <c r="UBN30" s="134"/>
      <c r="UBQ30" s="134"/>
      <c r="UBT30" s="134"/>
      <c r="UBW30" s="134"/>
      <c r="UBZ30" s="134"/>
      <c r="UCC30" s="134"/>
      <c r="UCF30" s="134"/>
      <c r="UCI30" s="134"/>
      <c r="UCL30" s="134"/>
      <c r="UCO30" s="134"/>
      <c r="UCR30" s="134"/>
      <c r="UCU30" s="134"/>
      <c r="UCX30" s="134"/>
      <c r="UDA30" s="134"/>
      <c r="UDD30" s="134"/>
      <c r="UDG30" s="134"/>
      <c r="UDJ30" s="134"/>
      <c r="UDM30" s="134"/>
      <c r="UDP30" s="134"/>
      <c r="UDS30" s="134"/>
      <c r="UDV30" s="134"/>
      <c r="UDY30" s="134"/>
      <c r="UEB30" s="134"/>
      <c r="UEE30" s="134"/>
      <c r="UEH30" s="134"/>
      <c r="UEK30" s="134"/>
      <c r="UEN30" s="134"/>
      <c r="UEQ30" s="134"/>
      <c r="UET30" s="134"/>
      <c r="UEW30" s="134"/>
      <c r="UEZ30" s="134"/>
      <c r="UFC30" s="134"/>
      <c r="UFF30" s="134"/>
      <c r="UFI30" s="134"/>
      <c r="UFL30" s="134"/>
      <c r="UFO30" s="134"/>
      <c r="UFR30" s="134"/>
      <c r="UFU30" s="134"/>
      <c r="UFX30" s="134"/>
      <c r="UGA30" s="134"/>
      <c r="UGD30" s="134"/>
      <c r="UGG30" s="134"/>
      <c r="UGJ30" s="134"/>
      <c r="UGM30" s="134"/>
      <c r="UGP30" s="134"/>
      <c r="UGS30" s="134"/>
      <c r="UGV30" s="134"/>
      <c r="UGY30" s="134"/>
      <c r="UHB30" s="134"/>
      <c r="UHE30" s="134"/>
      <c r="UHH30" s="134"/>
      <c r="UHK30" s="134"/>
      <c r="UHN30" s="134"/>
      <c r="UHQ30" s="134"/>
      <c r="UHT30" s="134"/>
      <c r="UHW30" s="134"/>
      <c r="UHZ30" s="134"/>
      <c r="UIC30" s="134"/>
      <c r="UIF30" s="134"/>
      <c r="UII30" s="134"/>
      <c r="UIL30" s="134"/>
      <c r="UIO30" s="134"/>
      <c r="UIR30" s="134"/>
      <c r="UIU30" s="134"/>
      <c r="UIX30" s="134"/>
      <c r="UJA30" s="134"/>
      <c r="UJD30" s="134"/>
      <c r="UJG30" s="134"/>
      <c r="UJJ30" s="134"/>
      <c r="UJM30" s="134"/>
      <c r="UJP30" s="134"/>
      <c r="UJS30" s="134"/>
      <c r="UJV30" s="134"/>
      <c r="UJY30" s="134"/>
      <c r="UKB30" s="134"/>
      <c r="UKE30" s="134"/>
      <c r="UKH30" s="134"/>
      <c r="UKK30" s="134"/>
      <c r="UKN30" s="134"/>
      <c r="UKQ30" s="134"/>
      <c r="UKT30" s="134"/>
      <c r="UKW30" s="134"/>
      <c r="UKZ30" s="134"/>
      <c r="ULC30" s="134"/>
      <c r="ULF30" s="134"/>
      <c r="ULI30" s="134"/>
      <c r="ULL30" s="134"/>
      <c r="ULO30" s="134"/>
      <c r="ULR30" s="134"/>
      <c r="ULU30" s="134"/>
      <c r="ULX30" s="134"/>
      <c r="UMA30" s="134"/>
      <c r="UMD30" s="134"/>
      <c r="UMG30" s="134"/>
      <c r="UMJ30" s="134"/>
      <c r="UMM30" s="134"/>
      <c r="UMP30" s="134"/>
      <c r="UMS30" s="134"/>
      <c r="UMV30" s="134"/>
      <c r="UMY30" s="134"/>
      <c r="UNB30" s="134"/>
      <c r="UNE30" s="134"/>
      <c r="UNH30" s="134"/>
      <c r="UNK30" s="134"/>
      <c r="UNN30" s="134"/>
      <c r="UNQ30" s="134"/>
      <c r="UNT30" s="134"/>
      <c r="UNW30" s="134"/>
      <c r="UNZ30" s="134"/>
      <c r="UOC30" s="134"/>
      <c r="UOF30" s="134"/>
      <c r="UOI30" s="134"/>
      <c r="UOL30" s="134"/>
      <c r="UOO30" s="134"/>
      <c r="UOR30" s="134"/>
      <c r="UOU30" s="134"/>
      <c r="UOX30" s="134"/>
      <c r="UPA30" s="134"/>
      <c r="UPD30" s="134"/>
      <c r="UPG30" s="134"/>
      <c r="UPJ30" s="134"/>
      <c r="UPM30" s="134"/>
      <c r="UPP30" s="134"/>
      <c r="UPS30" s="134"/>
      <c r="UPV30" s="134"/>
      <c r="UPY30" s="134"/>
      <c r="UQB30" s="134"/>
      <c r="UQE30" s="134"/>
      <c r="UQH30" s="134"/>
      <c r="UQK30" s="134"/>
      <c r="UQN30" s="134"/>
      <c r="UQQ30" s="134"/>
      <c r="UQT30" s="134"/>
      <c r="UQW30" s="134"/>
      <c r="UQZ30" s="134"/>
      <c r="URC30" s="134"/>
      <c r="URF30" s="134"/>
      <c r="URI30" s="134"/>
      <c r="URL30" s="134"/>
      <c r="URO30" s="134"/>
      <c r="URR30" s="134"/>
      <c r="URU30" s="134"/>
      <c r="URX30" s="134"/>
      <c r="USA30" s="134"/>
      <c r="USD30" s="134"/>
      <c r="USG30" s="134"/>
      <c r="USJ30" s="134"/>
      <c r="USM30" s="134"/>
      <c r="USP30" s="134"/>
      <c r="USS30" s="134"/>
      <c r="USV30" s="134"/>
      <c r="USY30" s="134"/>
      <c r="UTB30" s="134"/>
      <c r="UTE30" s="134"/>
      <c r="UTH30" s="134"/>
      <c r="UTK30" s="134"/>
      <c r="UTN30" s="134"/>
      <c r="UTQ30" s="134"/>
      <c r="UTT30" s="134"/>
      <c r="UTW30" s="134"/>
      <c r="UTZ30" s="134"/>
      <c r="UUC30" s="134"/>
      <c r="UUF30" s="134"/>
      <c r="UUI30" s="134"/>
      <c r="UUL30" s="134"/>
      <c r="UUO30" s="134"/>
      <c r="UUR30" s="134"/>
      <c r="UUU30" s="134"/>
      <c r="UUX30" s="134"/>
      <c r="UVA30" s="134"/>
      <c r="UVD30" s="134"/>
      <c r="UVG30" s="134"/>
      <c r="UVJ30" s="134"/>
      <c r="UVM30" s="134"/>
      <c r="UVP30" s="134"/>
      <c r="UVS30" s="134"/>
      <c r="UVV30" s="134"/>
      <c r="UVY30" s="134"/>
      <c r="UWB30" s="134"/>
      <c r="UWE30" s="134"/>
      <c r="UWH30" s="134"/>
      <c r="UWK30" s="134"/>
      <c r="UWN30" s="134"/>
      <c r="UWQ30" s="134"/>
      <c r="UWT30" s="134"/>
      <c r="UWW30" s="134"/>
      <c r="UWZ30" s="134"/>
      <c r="UXC30" s="134"/>
      <c r="UXF30" s="134"/>
      <c r="UXI30" s="134"/>
      <c r="UXL30" s="134"/>
      <c r="UXO30" s="134"/>
      <c r="UXR30" s="134"/>
      <c r="UXU30" s="134"/>
      <c r="UXX30" s="134"/>
      <c r="UYA30" s="134"/>
      <c r="UYD30" s="134"/>
      <c r="UYG30" s="134"/>
      <c r="UYJ30" s="134"/>
      <c r="UYM30" s="134"/>
      <c r="UYP30" s="134"/>
      <c r="UYS30" s="134"/>
      <c r="UYV30" s="134"/>
      <c r="UYY30" s="134"/>
      <c r="UZB30" s="134"/>
      <c r="UZE30" s="134"/>
      <c r="UZH30" s="134"/>
      <c r="UZK30" s="134"/>
      <c r="UZN30" s="134"/>
      <c r="UZQ30" s="134"/>
      <c r="UZT30" s="134"/>
      <c r="UZW30" s="134"/>
      <c r="UZZ30" s="134"/>
      <c r="VAC30" s="134"/>
      <c r="VAF30" s="134"/>
      <c r="VAI30" s="134"/>
      <c r="VAL30" s="134"/>
      <c r="VAO30" s="134"/>
      <c r="VAR30" s="134"/>
      <c r="VAU30" s="134"/>
      <c r="VAX30" s="134"/>
      <c r="VBA30" s="134"/>
      <c r="VBD30" s="134"/>
      <c r="VBG30" s="134"/>
      <c r="VBJ30" s="134"/>
      <c r="VBM30" s="134"/>
      <c r="VBP30" s="134"/>
      <c r="VBS30" s="134"/>
      <c r="VBV30" s="134"/>
      <c r="VBY30" s="134"/>
      <c r="VCB30" s="134"/>
      <c r="VCE30" s="134"/>
      <c r="VCH30" s="134"/>
      <c r="VCK30" s="134"/>
      <c r="VCN30" s="134"/>
      <c r="VCQ30" s="134"/>
      <c r="VCT30" s="134"/>
      <c r="VCW30" s="134"/>
      <c r="VCZ30" s="134"/>
      <c r="VDC30" s="134"/>
      <c r="VDF30" s="134"/>
      <c r="VDI30" s="134"/>
      <c r="VDL30" s="134"/>
      <c r="VDO30" s="134"/>
      <c r="VDR30" s="134"/>
      <c r="VDU30" s="134"/>
      <c r="VDX30" s="134"/>
      <c r="VEA30" s="134"/>
      <c r="VED30" s="134"/>
      <c r="VEG30" s="134"/>
      <c r="VEJ30" s="134"/>
      <c r="VEM30" s="134"/>
      <c r="VEP30" s="134"/>
      <c r="VES30" s="134"/>
      <c r="VEV30" s="134"/>
      <c r="VEY30" s="134"/>
      <c r="VFB30" s="134"/>
      <c r="VFE30" s="134"/>
      <c r="VFH30" s="134"/>
      <c r="VFK30" s="134"/>
      <c r="VFN30" s="134"/>
      <c r="VFQ30" s="134"/>
      <c r="VFT30" s="134"/>
      <c r="VFW30" s="134"/>
      <c r="VFZ30" s="134"/>
      <c r="VGC30" s="134"/>
      <c r="VGF30" s="134"/>
      <c r="VGI30" s="134"/>
      <c r="VGL30" s="134"/>
      <c r="VGO30" s="134"/>
      <c r="VGR30" s="134"/>
      <c r="VGU30" s="134"/>
      <c r="VGX30" s="134"/>
      <c r="VHA30" s="134"/>
      <c r="VHD30" s="134"/>
      <c r="VHG30" s="134"/>
      <c r="VHJ30" s="134"/>
      <c r="VHM30" s="134"/>
      <c r="VHP30" s="134"/>
      <c r="VHS30" s="134"/>
      <c r="VHV30" s="134"/>
      <c r="VHY30" s="134"/>
      <c r="VIB30" s="134"/>
      <c r="VIE30" s="134"/>
      <c r="VIH30" s="134"/>
      <c r="VIK30" s="134"/>
      <c r="VIN30" s="134"/>
      <c r="VIQ30" s="134"/>
      <c r="VIT30" s="134"/>
      <c r="VIW30" s="134"/>
      <c r="VIZ30" s="134"/>
      <c r="VJC30" s="134"/>
      <c r="VJF30" s="134"/>
      <c r="VJI30" s="134"/>
      <c r="VJL30" s="134"/>
      <c r="VJO30" s="134"/>
      <c r="VJR30" s="134"/>
      <c r="VJU30" s="134"/>
      <c r="VJX30" s="134"/>
      <c r="VKA30" s="134"/>
      <c r="VKD30" s="134"/>
      <c r="VKG30" s="134"/>
      <c r="VKJ30" s="134"/>
      <c r="VKM30" s="134"/>
      <c r="VKP30" s="134"/>
      <c r="VKS30" s="134"/>
      <c r="VKV30" s="134"/>
      <c r="VKY30" s="134"/>
      <c r="VLB30" s="134"/>
      <c r="VLE30" s="134"/>
      <c r="VLH30" s="134"/>
      <c r="VLK30" s="134"/>
      <c r="VLN30" s="134"/>
      <c r="VLQ30" s="134"/>
      <c r="VLT30" s="134"/>
      <c r="VLW30" s="134"/>
      <c r="VLZ30" s="134"/>
      <c r="VMC30" s="134"/>
      <c r="VMF30" s="134"/>
      <c r="VMI30" s="134"/>
      <c r="VML30" s="134"/>
      <c r="VMO30" s="134"/>
      <c r="VMR30" s="134"/>
      <c r="VMU30" s="134"/>
      <c r="VMX30" s="134"/>
      <c r="VNA30" s="134"/>
      <c r="VND30" s="134"/>
      <c r="VNG30" s="134"/>
      <c r="VNJ30" s="134"/>
      <c r="VNM30" s="134"/>
      <c r="VNP30" s="134"/>
      <c r="VNS30" s="134"/>
      <c r="VNV30" s="134"/>
      <c r="VNY30" s="134"/>
      <c r="VOB30" s="134"/>
      <c r="VOE30" s="134"/>
      <c r="VOH30" s="134"/>
      <c r="VOK30" s="134"/>
      <c r="VON30" s="134"/>
      <c r="VOQ30" s="134"/>
      <c r="VOT30" s="134"/>
      <c r="VOW30" s="134"/>
      <c r="VOZ30" s="134"/>
      <c r="VPC30" s="134"/>
      <c r="VPF30" s="134"/>
      <c r="VPI30" s="134"/>
      <c r="VPL30" s="134"/>
      <c r="VPO30" s="134"/>
      <c r="VPR30" s="134"/>
      <c r="VPU30" s="134"/>
      <c r="VPX30" s="134"/>
      <c r="VQA30" s="134"/>
      <c r="VQD30" s="134"/>
      <c r="VQG30" s="134"/>
      <c r="VQJ30" s="134"/>
      <c r="VQM30" s="134"/>
      <c r="VQP30" s="134"/>
      <c r="VQS30" s="134"/>
      <c r="VQV30" s="134"/>
      <c r="VQY30" s="134"/>
      <c r="VRB30" s="134"/>
      <c r="VRE30" s="134"/>
      <c r="VRH30" s="134"/>
      <c r="VRK30" s="134"/>
      <c r="VRN30" s="134"/>
      <c r="VRQ30" s="134"/>
      <c r="VRT30" s="134"/>
      <c r="VRW30" s="134"/>
      <c r="VRZ30" s="134"/>
      <c r="VSC30" s="134"/>
      <c r="VSF30" s="134"/>
      <c r="VSI30" s="134"/>
      <c r="VSL30" s="134"/>
      <c r="VSO30" s="134"/>
      <c r="VSR30" s="134"/>
      <c r="VSU30" s="134"/>
      <c r="VSX30" s="134"/>
      <c r="VTA30" s="134"/>
      <c r="VTD30" s="134"/>
      <c r="VTG30" s="134"/>
      <c r="VTJ30" s="134"/>
      <c r="VTM30" s="134"/>
      <c r="VTP30" s="134"/>
      <c r="VTS30" s="134"/>
      <c r="VTV30" s="134"/>
      <c r="VTY30" s="134"/>
      <c r="VUB30" s="134"/>
      <c r="VUE30" s="134"/>
      <c r="VUH30" s="134"/>
      <c r="VUK30" s="134"/>
      <c r="VUN30" s="134"/>
      <c r="VUQ30" s="134"/>
      <c r="VUT30" s="134"/>
      <c r="VUW30" s="134"/>
      <c r="VUZ30" s="134"/>
      <c r="VVC30" s="134"/>
      <c r="VVF30" s="134"/>
      <c r="VVI30" s="134"/>
      <c r="VVL30" s="134"/>
      <c r="VVO30" s="134"/>
      <c r="VVR30" s="134"/>
      <c r="VVU30" s="134"/>
      <c r="VVX30" s="134"/>
      <c r="VWA30" s="134"/>
      <c r="VWD30" s="134"/>
      <c r="VWG30" s="134"/>
      <c r="VWJ30" s="134"/>
      <c r="VWM30" s="134"/>
      <c r="VWP30" s="134"/>
      <c r="VWS30" s="134"/>
      <c r="VWV30" s="134"/>
      <c r="VWY30" s="134"/>
      <c r="VXB30" s="134"/>
      <c r="VXE30" s="134"/>
      <c r="VXH30" s="134"/>
      <c r="VXK30" s="134"/>
      <c r="VXN30" s="134"/>
      <c r="VXQ30" s="134"/>
      <c r="VXT30" s="134"/>
      <c r="VXW30" s="134"/>
      <c r="VXZ30" s="134"/>
      <c r="VYC30" s="134"/>
      <c r="VYF30" s="134"/>
      <c r="VYI30" s="134"/>
      <c r="VYL30" s="134"/>
      <c r="VYO30" s="134"/>
      <c r="VYR30" s="134"/>
      <c r="VYU30" s="134"/>
      <c r="VYX30" s="134"/>
      <c r="VZA30" s="134"/>
      <c r="VZD30" s="134"/>
      <c r="VZG30" s="134"/>
      <c r="VZJ30" s="134"/>
      <c r="VZM30" s="134"/>
      <c r="VZP30" s="134"/>
      <c r="VZS30" s="134"/>
      <c r="VZV30" s="134"/>
      <c r="VZY30" s="134"/>
      <c r="WAB30" s="134"/>
      <c r="WAE30" s="134"/>
      <c r="WAH30" s="134"/>
      <c r="WAK30" s="134"/>
      <c r="WAN30" s="134"/>
      <c r="WAQ30" s="134"/>
      <c r="WAT30" s="134"/>
      <c r="WAW30" s="134"/>
      <c r="WAZ30" s="134"/>
      <c r="WBC30" s="134"/>
      <c r="WBF30" s="134"/>
      <c r="WBI30" s="134"/>
      <c r="WBL30" s="134"/>
      <c r="WBO30" s="134"/>
      <c r="WBR30" s="134"/>
      <c r="WBU30" s="134"/>
      <c r="WBX30" s="134"/>
      <c r="WCA30" s="134"/>
      <c r="WCD30" s="134"/>
      <c r="WCG30" s="134"/>
      <c r="WCJ30" s="134"/>
      <c r="WCM30" s="134"/>
      <c r="WCP30" s="134"/>
      <c r="WCS30" s="134"/>
      <c r="WCV30" s="134"/>
      <c r="WCY30" s="134"/>
      <c r="WDB30" s="134"/>
      <c r="WDE30" s="134"/>
      <c r="WDH30" s="134"/>
      <c r="WDK30" s="134"/>
      <c r="WDN30" s="134"/>
      <c r="WDQ30" s="134"/>
      <c r="WDT30" s="134"/>
      <c r="WDW30" s="134"/>
      <c r="WDZ30" s="134"/>
      <c r="WEC30" s="134"/>
      <c r="WEF30" s="134"/>
      <c r="WEI30" s="134"/>
      <c r="WEL30" s="134"/>
      <c r="WEO30" s="134"/>
      <c r="WER30" s="134"/>
      <c r="WEU30" s="134"/>
      <c r="WEX30" s="134"/>
      <c r="WFA30" s="134"/>
      <c r="WFD30" s="134"/>
      <c r="WFG30" s="134"/>
      <c r="WFJ30" s="134"/>
      <c r="WFM30" s="134"/>
      <c r="WFP30" s="134"/>
      <c r="WFS30" s="134"/>
      <c r="WFV30" s="134"/>
      <c r="WFY30" s="134"/>
      <c r="WGB30" s="134"/>
      <c r="WGE30" s="134"/>
      <c r="WGH30" s="134"/>
      <c r="WGK30" s="134"/>
      <c r="WGN30" s="134"/>
      <c r="WGQ30" s="134"/>
      <c r="WGT30" s="134"/>
      <c r="WGW30" s="134"/>
      <c r="WGZ30" s="134"/>
      <c r="WHC30" s="134"/>
      <c r="WHF30" s="134"/>
      <c r="WHI30" s="134"/>
      <c r="WHL30" s="134"/>
      <c r="WHO30" s="134"/>
      <c r="WHR30" s="134"/>
      <c r="WHU30" s="134"/>
      <c r="WHX30" s="134"/>
      <c r="WIA30" s="134"/>
      <c r="WID30" s="134"/>
      <c r="WIG30" s="134"/>
      <c r="WIJ30" s="134"/>
      <c r="WIM30" s="134"/>
      <c r="WIP30" s="134"/>
      <c r="WIS30" s="134"/>
      <c r="WIV30" s="134"/>
      <c r="WIY30" s="134"/>
      <c r="WJB30" s="134"/>
      <c r="WJE30" s="134"/>
      <c r="WJH30" s="134"/>
      <c r="WJK30" s="134"/>
      <c r="WJN30" s="134"/>
      <c r="WJQ30" s="134"/>
      <c r="WJT30" s="134"/>
      <c r="WJW30" s="134"/>
      <c r="WJZ30" s="134"/>
      <c r="WKC30" s="134"/>
      <c r="WKF30" s="134"/>
      <c r="WKI30" s="134"/>
      <c r="WKL30" s="134"/>
      <c r="WKO30" s="134"/>
      <c r="WKR30" s="134"/>
      <c r="WKU30" s="134"/>
      <c r="WKX30" s="134"/>
      <c r="WLA30" s="134"/>
      <c r="WLD30" s="134"/>
      <c r="WLG30" s="134"/>
      <c r="WLJ30" s="134"/>
      <c r="WLM30" s="134"/>
      <c r="WLP30" s="134"/>
      <c r="WLS30" s="134"/>
      <c r="WLV30" s="134"/>
      <c r="WLY30" s="134"/>
      <c r="WMB30" s="134"/>
      <c r="WME30" s="134"/>
      <c r="WMH30" s="134"/>
      <c r="WMK30" s="134"/>
      <c r="WMN30" s="134"/>
      <c r="WMQ30" s="134"/>
      <c r="WMT30" s="134"/>
      <c r="WMW30" s="134"/>
      <c r="WMZ30" s="134"/>
      <c r="WNC30" s="134"/>
      <c r="WNF30" s="134"/>
      <c r="WNI30" s="134"/>
      <c r="WNL30" s="134"/>
      <c r="WNO30" s="134"/>
      <c r="WNR30" s="134"/>
      <c r="WNU30" s="134"/>
      <c r="WNX30" s="134"/>
      <c r="WOA30" s="134"/>
      <c r="WOD30" s="134"/>
      <c r="WOG30" s="134"/>
      <c r="WOJ30" s="134"/>
      <c r="WOM30" s="134"/>
      <c r="WOP30" s="134"/>
      <c r="WOS30" s="134"/>
      <c r="WOV30" s="134"/>
      <c r="WOY30" s="134"/>
      <c r="WPB30" s="134"/>
      <c r="WPE30" s="134"/>
      <c r="WPH30" s="134"/>
      <c r="WPK30" s="134"/>
      <c r="WPN30" s="134"/>
      <c r="WPQ30" s="134"/>
      <c r="WPT30" s="134"/>
      <c r="WPW30" s="134"/>
      <c r="WPZ30" s="134"/>
      <c r="WQC30" s="134"/>
      <c r="WQF30" s="134"/>
      <c r="WQI30" s="134"/>
      <c r="WQL30" s="134"/>
      <c r="WQO30" s="134"/>
      <c r="WQR30" s="134"/>
      <c r="WQU30" s="134"/>
      <c r="WQX30" s="134"/>
      <c r="WRA30" s="134"/>
      <c r="WRD30" s="134"/>
      <c r="WRG30" s="134"/>
      <c r="WRJ30" s="134"/>
      <c r="WRM30" s="134"/>
      <c r="WRP30" s="134"/>
      <c r="WRS30" s="134"/>
      <c r="WRV30" s="134"/>
      <c r="WRY30" s="134"/>
      <c r="WSB30" s="134"/>
      <c r="WSE30" s="134"/>
      <c r="WSH30" s="134"/>
      <c r="WSK30" s="134"/>
      <c r="WSN30" s="134"/>
      <c r="WSQ30" s="134"/>
      <c r="WST30" s="134"/>
      <c r="WSW30" s="134"/>
      <c r="WSZ30" s="134"/>
      <c r="WTC30" s="134"/>
      <c r="WTF30" s="134"/>
      <c r="WTI30" s="134"/>
      <c r="WTL30" s="134"/>
      <c r="WTO30" s="134"/>
      <c r="WTR30" s="134"/>
      <c r="WTU30" s="134"/>
      <c r="WTX30" s="134"/>
      <c r="WUA30" s="134"/>
      <c r="WUD30" s="134"/>
      <c r="WUG30" s="134"/>
      <c r="WUJ30" s="134"/>
      <c r="WUM30" s="134"/>
      <c r="WUP30" s="134"/>
      <c r="WUS30" s="134"/>
      <c r="WUV30" s="134"/>
      <c r="WUY30" s="134"/>
      <c r="WVB30" s="134"/>
      <c r="WVE30" s="134"/>
      <c r="WVH30" s="134"/>
      <c r="WVK30" s="134"/>
      <c r="WVN30" s="134"/>
      <c r="WVQ30" s="134"/>
      <c r="WVT30" s="134"/>
      <c r="WVW30" s="134"/>
      <c r="WVZ30" s="134"/>
      <c r="WWC30" s="134"/>
      <c r="WWF30" s="134"/>
      <c r="WWI30" s="134"/>
      <c r="WWL30" s="134"/>
      <c r="WWO30" s="134"/>
      <c r="WWR30" s="134"/>
      <c r="WWU30" s="134"/>
      <c r="WWX30" s="134"/>
      <c r="WXA30" s="134"/>
      <c r="WXD30" s="134"/>
      <c r="WXG30" s="134"/>
      <c r="WXJ30" s="134"/>
      <c r="WXM30" s="134"/>
      <c r="WXP30" s="134"/>
      <c r="WXS30" s="134"/>
      <c r="WXV30" s="134"/>
      <c r="WXY30" s="134"/>
      <c r="WYB30" s="134"/>
      <c r="WYE30" s="134"/>
      <c r="WYH30" s="134"/>
      <c r="WYK30" s="134"/>
      <c r="WYN30" s="134"/>
      <c r="WYQ30" s="134"/>
      <c r="WYT30" s="134"/>
      <c r="WYW30" s="134"/>
      <c r="WYZ30" s="134"/>
      <c r="WZC30" s="134"/>
      <c r="WZF30" s="134"/>
      <c r="WZI30" s="134"/>
      <c r="WZL30" s="134"/>
      <c r="WZO30" s="134"/>
      <c r="WZR30" s="134"/>
      <c r="WZU30" s="134"/>
      <c r="WZX30" s="134"/>
      <c r="XAA30" s="134"/>
      <c r="XAD30" s="134"/>
      <c r="XAG30" s="134"/>
      <c r="XAJ30" s="134"/>
      <c r="XAM30" s="134"/>
      <c r="XAP30" s="134"/>
      <c r="XAS30" s="134"/>
      <c r="XAV30" s="134"/>
      <c r="XAY30" s="134"/>
      <c r="XBB30" s="134"/>
      <c r="XBE30" s="134"/>
      <c r="XBH30" s="134"/>
      <c r="XBK30" s="134"/>
      <c r="XBN30" s="134"/>
      <c r="XBQ30" s="134"/>
      <c r="XBT30" s="134"/>
      <c r="XBW30" s="134"/>
      <c r="XBZ30" s="134"/>
      <c r="XCC30" s="134"/>
      <c r="XCF30" s="134"/>
      <c r="XCI30" s="134"/>
      <c r="XCL30" s="134"/>
      <c r="XCO30" s="134"/>
      <c r="XCR30" s="134"/>
      <c r="XCU30" s="134"/>
      <c r="XCX30" s="134"/>
      <c r="XDA30" s="134"/>
      <c r="XDD30" s="134"/>
      <c r="XDG30" s="134"/>
      <c r="XDJ30" s="134"/>
      <c r="XDM30" s="134"/>
      <c r="XDP30" s="134"/>
      <c r="XDS30" s="134"/>
      <c r="XDV30" s="134"/>
      <c r="XDY30" s="134"/>
      <c r="XEB30" s="134"/>
      <c r="XEE30" s="134"/>
      <c r="XEH30" s="134"/>
      <c r="XEK30" s="134"/>
      <c r="XEN30" s="134"/>
      <c r="XEQ30" s="134"/>
      <c r="XET30" s="134"/>
      <c r="XEW30" s="134"/>
    </row>
    <row r="31" spans="1:1023 1026:2046 2049:3072 3075:4095 4098:5118 5121:6144 6147:7167 7170:8190 8193:9216 9219:10239 10242:11262 11265:12288 12291:13311 13314:14334 14337:15360 15363:16377" x14ac:dyDescent="0.35">
      <c r="A31" s="129">
        <v>4</v>
      </c>
      <c r="B31" s="130" t="s">
        <v>16</v>
      </c>
      <c r="C31" s="170">
        <v>15000</v>
      </c>
      <c r="F31" s="134"/>
      <c r="I31" s="134"/>
      <c r="L31" s="134"/>
      <c r="O31" s="134"/>
      <c r="R31" s="134"/>
      <c r="U31" s="134"/>
      <c r="X31" s="134"/>
      <c r="AA31" s="134"/>
      <c r="AD31" s="134"/>
      <c r="AG31" s="134"/>
      <c r="AJ31" s="134"/>
      <c r="AM31" s="134"/>
      <c r="AP31" s="134"/>
      <c r="AS31" s="134"/>
      <c r="AV31" s="134"/>
      <c r="AY31" s="134"/>
      <c r="BB31" s="134"/>
      <c r="BE31" s="134"/>
      <c r="BH31" s="134"/>
      <c r="BK31" s="134"/>
      <c r="BN31" s="134"/>
      <c r="BQ31" s="134"/>
      <c r="BT31" s="134"/>
      <c r="BW31" s="134"/>
      <c r="BZ31" s="134"/>
      <c r="CC31" s="134"/>
      <c r="CF31" s="134"/>
      <c r="CI31" s="134"/>
      <c r="CL31" s="134"/>
      <c r="CO31" s="134"/>
      <c r="CR31" s="134"/>
      <c r="CU31" s="134"/>
      <c r="CX31" s="134"/>
      <c r="DA31" s="134"/>
      <c r="DD31" s="134"/>
      <c r="DG31" s="134"/>
      <c r="DJ31" s="134"/>
      <c r="DM31" s="134"/>
      <c r="DP31" s="134"/>
      <c r="DS31" s="134"/>
      <c r="DV31" s="134"/>
      <c r="DY31" s="134"/>
      <c r="EB31" s="134"/>
      <c r="EE31" s="134"/>
      <c r="EH31" s="134"/>
      <c r="EK31" s="134"/>
      <c r="EN31" s="134"/>
      <c r="EQ31" s="134"/>
      <c r="ET31" s="134"/>
      <c r="EW31" s="134"/>
      <c r="EZ31" s="134"/>
      <c r="FC31" s="134"/>
      <c r="FF31" s="134"/>
      <c r="FI31" s="134"/>
      <c r="FL31" s="134"/>
      <c r="FO31" s="134"/>
      <c r="FR31" s="134"/>
      <c r="FU31" s="134"/>
      <c r="FX31" s="134"/>
      <c r="GA31" s="134"/>
      <c r="GD31" s="134"/>
      <c r="GG31" s="134"/>
      <c r="GJ31" s="134"/>
      <c r="GM31" s="134"/>
      <c r="GP31" s="134"/>
      <c r="GS31" s="134"/>
      <c r="GV31" s="134"/>
      <c r="GY31" s="134"/>
      <c r="HB31" s="134"/>
      <c r="HE31" s="134"/>
      <c r="HH31" s="134"/>
      <c r="HK31" s="134"/>
      <c r="HN31" s="134"/>
      <c r="HQ31" s="134"/>
      <c r="HT31" s="134"/>
      <c r="HW31" s="134"/>
      <c r="HZ31" s="134"/>
      <c r="IC31" s="134"/>
      <c r="IF31" s="134"/>
      <c r="II31" s="134"/>
      <c r="IL31" s="134"/>
      <c r="IO31" s="134"/>
      <c r="IR31" s="134"/>
      <c r="IU31" s="134"/>
      <c r="IX31" s="134"/>
      <c r="JA31" s="134"/>
      <c r="JD31" s="134"/>
      <c r="JG31" s="134"/>
      <c r="JJ31" s="134"/>
      <c r="JM31" s="134"/>
      <c r="JP31" s="134"/>
      <c r="JS31" s="134"/>
      <c r="JV31" s="134"/>
      <c r="JY31" s="134"/>
      <c r="KB31" s="134"/>
      <c r="KE31" s="134"/>
      <c r="KH31" s="134"/>
      <c r="KK31" s="134"/>
      <c r="KN31" s="134"/>
      <c r="KQ31" s="134"/>
      <c r="KT31" s="134"/>
      <c r="KW31" s="134"/>
      <c r="KZ31" s="134"/>
      <c r="LC31" s="134"/>
      <c r="LF31" s="134"/>
      <c r="LI31" s="134"/>
      <c r="LL31" s="134"/>
      <c r="LO31" s="134"/>
      <c r="LR31" s="134"/>
      <c r="LU31" s="134"/>
      <c r="LX31" s="134"/>
      <c r="MA31" s="134"/>
      <c r="MD31" s="134"/>
      <c r="MG31" s="134"/>
      <c r="MJ31" s="134"/>
      <c r="MM31" s="134"/>
      <c r="MP31" s="134"/>
      <c r="MS31" s="134"/>
      <c r="MV31" s="134"/>
      <c r="MY31" s="134"/>
      <c r="NB31" s="134"/>
      <c r="NE31" s="134"/>
      <c r="NH31" s="134"/>
      <c r="NK31" s="134"/>
      <c r="NN31" s="134"/>
      <c r="NQ31" s="134"/>
      <c r="NT31" s="134"/>
      <c r="NW31" s="134"/>
      <c r="NZ31" s="134"/>
      <c r="OC31" s="134"/>
      <c r="OF31" s="134"/>
      <c r="OI31" s="134"/>
      <c r="OL31" s="134"/>
      <c r="OO31" s="134"/>
      <c r="OR31" s="134"/>
      <c r="OU31" s="134"/>
      <c r="OX31" s="134"/>
      <c r="PA31" s="134"/>
      <c r="PD31" s="134"/>
      <c r="PG31" s="134"/>
      <c r="PJ31" s="134"/>
      <c r="PM31" s="134"/>
      <c r="PP31" s="134"/>
      <c r="PS31" s="134"/>
      <c r="PV31" s="134"/>
      <c r="PY31" s="134"/>
      <c r="QB31" s="134"/>
      <c r="QE31" s="134"/>
      <c r="QH31" s="134"/>
      <c r="QK31" s="134"/>
      <c r="QN31" s="134"/>
      <c r="QQ31" s="134"/>
      <c r="QT31" s="134"/>
      <c r="QW31" s="134"/>
      <c r="QZ31" s="134"/>
      <c r="RC31" s="134"/>
      <c r="RF31" s="134"/>
      <c r="RI31" s="134"/>
      <c r="RL31" s="134"/>
      <c r="RO31" s="134"/>
      <c r="RR31" s="134"/>
      <c r="RU31" s="134"/>
      <c r="RX31" s="134"/>
      <c r="SA31" s="134"/>
      <c r="SD31" s="134"/>
      <c r="SG31" s="134"/>
      <c r="SJ31" s="134"/>
      <c r="SM31" s="134"/>
      <c r="SP31" s="134"/>
      <c r="SS31" s="134"/>
      <c r="SV31" s="134"/>
      <c r="SY31" s="134"/>
      <c r="TB31" s="134"/>
      <c r="TE31" s="134"/>
      <c r="TH31" s="134"/>
      <c r="TK31" s="134"/>
      <c r="TN31" s="134"/>
      <c r="TQ31" s="134"/>
      <c r="TT31" s="134"/>
      <c r="TW31" s="134"/>
      <c r="TZ31" s="134"/>
      <c r="UC31" s="134"/>
      <c r="UF31" s="134"/>
      <c r="UI31" s="134"/>
      <c r="UL31" s="134"/>
      <c r="UO31" s="134"/>
      <c r="UR31" s="134"/>
      <c r="UU31" s="134"/>
      <c r="UX31" s="134"/>
      <c r="VA31" s="134"/>
      <c r="VD31" s="134"/>
      <c r="VG31" s="134"/>
      <c r="VJ31" s="134"/>
      <c r="VM31" s="134"/>
      <c r="VP31" s="134"/>
      <c r="VS31" s="134"/>
      <c r="VV31" s="134"/>
      <c r="VY31" s="134"/>
      <c r="WB31" s="134"/>
      <c r="WE31" s="134"/>
      <c r="WH31" s="134"/>
      <c r="WK31" s="134"/>
      <c r="WN31" s="134"/>
      <c r="WQ31" s="134"/>
      <c r="WT31" s="134"/>
      <c r="WW31" s="134"/>
      <c r="WZ31" s="134"/>
      <c r="XC31" s="134"/>
      <c r="XF31" s="134"/>
      <c r="XI31" s="134"/>
      <c r="XL31" s="134"/>
      <c r="XO31" s="134"/>
      <c r="XR31" s="134"/>
      <c r="XU31" s="134"/>
      <c r="XX31" s="134"/>
      <c r="YA31" s="134"/>
      <c r="YD31" s="134"/>
      <c r="YG31" s="134"/>
      <c r="YJ31" s="134"/>
      <c r="YM31" s="134"/>
      <c r="YP31" s="134"/>
      <c r="YS31" s="134"/>
      <c r="YV31" s="134"/>
      <c r="YY31" s="134"/>
      <c r="ZB31" s="134"/>
      <c r="ZE31" s="134"/>
      <c r="ZH31" s="134"/>
      <c r="ZK31" s="134"/>
      <c r="ZN31" s="134"/>
      <c r="ZQ31" s="134"/>
      <c r="ZT31" s="134"/>
      <c r="ZW31" s="134"/>
      <c r="ZZ31" s="134"/>
      <c r="AAC31" s="134"/>
      <c r="AAF31" s="134"/>
      <c r="AAI31" s="134"/>
      <c r="AAL31" s="134"/>
      <c r="AAO31" s="134"/>
      <c r="AAR31" s="134"/>
      <c r="AAU31" s="134"/>
      <c r="AAX31" s="134"/>
      <c r="ABA31" s="134"/>
      <c r="ABD31" s="134"/>
      <c r="ABG31" s="134"/>
      <c r="ABJ31" s="134"/>
      <c r="ABM31" s="134"/>
      <c r="ABP31" s="134"/>
      <c r="ABS31" s="134"/>
      <c r="ABV31" s="134"/>
      <c r="ABY31" s="134"/>
      <c r="ACB31" s="134"/>
      <c r="ACE31" s="134"/>
      <c r="ACH31" s="134"/>
      <c r="ACK31" s="134"/>
      <c r="ACN31" s="134"/>
      <c r="ACQ31" s="134"/>
      <c r="ACT31" s="134"/>
      <c r="ACW31" s="134"/>
      <c r="ACZ31" s="134"/>
      <c r="ADC31" s="134"/>
      <c r="ADF31" s="134"/>
      <c r="ADI31" s="134"/>
      <c r="ADL31" s="134"/>
      <c r="ADO31" s="134"/>
      <c r="ADR31" s="134"/>
      <c r="ADU31" s="134"/>
      <c r="ADX31" s="134"/>
      <c r="AEA31" s="134"/>
      <c r="AED31" s="134"/>
      <c r="AEG31" s="134"/>
      <c r="AEJ31" s="134"/>
      <c r="AEM31" s="134"/>
      <c r="AEP31" s="134"/>
      <c r="AES31" s="134"/>
      <c r="AEV31" s="134"/>
      <c r="AEY31" s="134"/>
      <c r="AFB31" s="134"/>
      <c r="AFE31" s="134"/>
      <c r="AFH31" s="134"/>
      <c r="AFK31" s="134"/>
      <c r="AFN31" s="134"/>
      <c r="AFQ31" s="134"/>
      <c r="AFT31" s="134"/>
      <c r="AFW31" s="134"/>
      <c r="AFZ31" s="134"/>
      <c r="AGC31" s="134"/>
      <c r="AGF31" s="134"/>
      <c r="AGI31" s="134"/>
      <c r="AGL31" s="134"/>
      <c r="AGO31" s="134"/>
      <c r="AGR31" s="134"/>
      <c r="AGU31" s="134"/>
      <c r="AGX31" s="134"/>
      <c r="AHA31" s="134"/>
      <c r="AHD31" s="134"/>
      <c r="AHG31" s="134"/>
      <c r="AHJ31" s="134"/>
      <c r="AHM31" s="134"/>
      <c r="AHP31" s="134"/>
      <c r="AHS31" s="134"/>
      <c r="AHV31" s="134"/>
      <c r="AHY31" s="134"/>
      <c r="AIB31" s="134"/>
      <c r="AIE31" s="134"/>
      <c r="AIH31" s="134"/>
      <c r="AIK31" s="134"/>
      <c r="AIN31" s="134"/>
      <c r="AIQ31" s="134"/>
      <c r="AIT31" s="134"/>
      <c r="AIW31" s="134"/>
      <c r="AIZ31" s="134"/>
      <c r="AJC31" s="134"/>
      <c r="AJF31" s="134"/>
      <c r="AJI31" s="134"/>
      <c r="AJL31" s="134"/>
      <c r="AJO31" s="134"/>
      <c r="AJR31" s="134"/>
      <c r="AJU31" s="134"/>
      <c r="AJX31" s="134"/>
      <c r="AKA31" s="134"/>
      <c r="AKD31" s="134"/>
      <c r="AKG31" s="134"/>
      <c r="AKJ31" s="134"/>
      <c r="AKM31" s="134"/>
      <c r="AKP31" s="134"/>
      <c r="AKS31" s="134"/>
      <c r="AKV31" s="134"/>
      <c r="AKY31" s="134"/>
      <c r="ALB31" s="134"/>
      <c r="ALE31" s="134"/>
      <c r="ALH31" s="134"/>
      <c r="ALK31" s="134"/>
      <c r="ALN31" s="134"/>
      <c r="ALQ31" s="134"/>
      <c r="ALT31" s="134"/>
      <c r="ALW31" s="134"/>
      <c r="ALZ31" s="134"/>
      <c r="AMC31" s="134"/>
      <c r="AMF31" s="134"/>
      <c r="AMI31" s="134"/>
      <c r="AML31" s="134"/>
      <c r="AMO31" s="134"/>
      <c r="AMR31" s="134"/>
      <c r="AMU31" s="134"/>
      <c r="AMX31" s="134"/>
      <c r="ANA31" s="134"/>
      <c r="AND31" s="134"/>
      <c r="ANG31" s="134"/>
      <c r="ANJ31" s="134"/>
      <c r="ANM31" s="134"/>
      <c r="ANP31" s="134"/>
      <c r="ANS31" s="134"/>
      <c r="ANV31" s="134"/>
      <c r="ANY31" s="134"/>
      <c r="AOB31" s="134"/>
      <c r="AOE31" s="134"/>
      <c r="AOH31" s="134"/>
      <c r="AOK31" s="134"/>
      <c r="AON31" s="134"/>
      <c r="AOQ31" s="134"/>
      <c r="AOT31" s="134"/>
      <c r="AOW31" s="134"/>
      <c r="AOZ31" s="134"/>
      <c r="APC31" s="134"/>
      <c r="APF31" s="134"/>
      <c r="API31" s="134"/>
      <c r="APL31" s="134"/>
      <c r="APO31" s="134"/>
      <c r="APR31" s="134"/>
      <c r="APU31" s="134"/>
      <c r="APX31" s="134"/>
      <c r="AQA31" s="134"/>
      <c r="AQD31" s="134"/>
      <c r="AQG31" s="134"/>
      <c r="AQJ31" s="134"/>
      <c r="AQM31" s="134"/>
      <c r="AQP31" s="134"/>
      <c r="AQS31" s="134"/>
      <c r="AQV31" s="134"/>
      <c r="AQY31" s="134"/>
      <c r="ARB31" s="134"/>
      <c r="ARE31" s="134"/>
      <c r="ARH31" s="134"/>
      <c r="ARK31" s="134"/>
      <c r="ARN31" s="134"/>
      <c r="ARQ31" s="134"/>
      <c r="ART31" s="134"/>
      <c r="ARW31" s="134"/>
      <c r="ARZ31" s="134"/>
      <c r="ASC31" s="134"/>
      <c r="ASF31" s="134"/>
      <c r="ASI31" s="134"/>
      <c r="ASL31" s="134"/>
      <c r="ASO31" s="134"/>
      <c r="ASR31" s="134"/>
      <c r="ASU31" s="134"/>
      <c r="ASX31" s="134"/>
      <c r="ATA31" s="134"/>
      <c r="ATD31" s="134"/>
      <c r="ATG31" s="134"/>
      <c r="ATJ31" s="134"/>
      <c r="ATM31" s="134"/>
      <c r="ATP31" s="134"/>
      <c r="ATS31" s="134"/>
      <c r="ATV31" s="134"/>
      <c r="ATY31" s="134"/>
      <c r="AUB31" s="134"/>
      <c r="AUE31" s="134"/>
      <c r="AUH31" s="134"/>
      <c r="AUK31" s="134"/>
      <c r="AUN31" s="134"/>
      <c r="AUQ31" s="134"/>
      <c r="AUT31" s="134"/>
      <c r="AUW31" s="134"/>
      <c r="AUZ31" s="134"/>
      <c r="AVC31" s="134"/>
      <c r="AVF31" s="134"/>
      <c r="AVI31" s="134"/>
      <c r="AVL31" s="134"/>
      <c r="AVO31" s="134"/>
      <c r="AVR31" s="134"/>
      <c r="AVU31" s="134"/>
      <c r="AVX31" s="134"/>
      <c r="AWA31" s="134"/>
      <c r="AWD31" s="134"/>
      <c r="AWG31" s="134"/>
      <c r="AWJ31" s="134"/>
      <c r="AWM31" s="134"/>
      <c r="AWP31" s="134"/>
      <c r="AWS31" s="134"/>
      <c r="AWV31" s="134"/>
      <c r="AWY31" s="134"/>
      <c r="AXB31" s="134"/>
      <c r="AXE31" s="134"/>
      <c r="AXH31" s="134"/>
      <c r="AXK31" s="134"/>
      <c r="AXN31" s="134"/>
      <c r="AXQ31" s="134"/>
      <c r="AXT31" s="134"/>
      <c r="AXW31" s="134"/>
      <c r="AXZ31" s="134"/>
      <c r="AYC31" s="134"/>
      <c r="AYF31" s="134"/>
      <c r="AYI31" s="134"/>
      <c r="AYL31" s="134"/>
      <c r="AYO31" s="134"/>
      <c r="AYR31" s="134"/>
      <c r="AYU31" s="134"/>
      <c r="AYX31" s="134"/>
      <c r="AZA31" s="134"/>
      <c r="AZD31" s="134"/>
      <c r="AZG31" s="134"/>
      <c r="AZJ31" s="134"/>
      <c r="AZM31" s="134"/>
      <c r="AZP31" s="134"/>
      <c r="AZS31" s="134"/>
      <c r="AZV31" s="134"/>
      <c r="AZY31" s="134"/>
      <c r="BAB31" s="134"/>
      <c r="BAE31" s="134"/>
      <c r="BAH31" s="134"/>
      <c r="BAK31" s="134"/>
      <c r="BAN31" s="134"/>
      <c r="BAQ31" s="134"/>
      <c r="BAT31" s="134"/>
      <c r="BAW31" s="134"/>
      <c r="BAZ31" s="134"/>
      <c r="BBC31" s="134"/>
      <c r="BBF31" s="134"/>
      <c r="BBI31" s="134"/>
      <c r="BBL31" s="134"/>
      <c r="BBO31" s="134"/>
      <c r="BBR31" s="134"/>
      <c r="BBU31" s="134"/>
      <c r="BBX31" s="134"/>
      <c r="BCA31" s="134"/>
      <c r="BCD31" s="134"/>
      <c r="BCG31" s="134"/>
      <c r="BCJ31" s="134"/>
      <c r="BCM31" s="134"/>
      <c r="BCP31" s="134"/>
      <c r="BCS31" s="134"/>
      <c r="BCV31" s="134"/>
      <c r="BCY31" s="134"/>
      <c r="BDB31" s="134"/>
      <c r="BDE31" s="134"/>
      <c r="BDH31" s="134"/>
      <c r="BDK31" s="134"/>
      <c r="BDN31" s="134"/>
      <c r="BDQ31" s="134"/>
      <c r="BDT31" s="134"/>
      <c r="BDW31" s="134"/>
      <c r="BDZ31" s="134"/>
      <c r="BEC31" s="134"/>
      <c r="BEF31" s="134"/>
      <c r="BEI31" s="134"/>
      <c r="BEL31" s="134"/>
      <c r="BEO31" s="134"/>
      <c r="BER31" s="134"/>
      <c r="BEU31" s="134"/>
      <c r="BEX31" s="134"/>
      <c r="BFA31" s="134"/>
      <c r="BFD31" s="134"/>
      <c r="BFG31" s="134"/>
      <c r="BFJ31" s="134"/>
      <c r="BFM31" s="134"/>
      <c r="BFP31" s="134"/>
      <c r="BFS31" s="134"/>
      <c r="BFV31" s="134"/>
      <c r="BFY31" s="134"/>
      <c r="BGB31" s="134"/>
      <c r="BGE31" s="134"/>
      <c r="BGH31" s="134"/>
      <c r="BGK31" s="134"/>
      <c r="BGN31" s="134"/>
      <c r="BGQ31" s="134"/>
      <c r="BGT31" s="134"/>
      <c r="BGW31" s="134"/>
      <c r="BGZ31" s="134"/>
      <c r="BHC31" s="134"/>
      <c r="BHF31" s="134"/>
      <c r="BHI31" s="134"/>
      <c r="BHL31" s="134"/>
      <c r="BHO31" s="134"/>
      <c r="BHR31" s="134"/>
      <c r="BHU31" s="134"/>
      <c r="BHX31" s="134"/>
      <c r="BIA31" s="134"/>
      <c r="BID31" s="134"/>
      <c r="BIG31" s="134"/>
      <c r="BIJ31" s="134"/>
      <c r="BIM31" s="134"/>
      <c r="BIP31" s="134"/>
      <c r="BIS31" s="134"/>
      <c r="BIV31" s="134"/>
      <c r="BIY31" s="134"/>
      <c r="BJB31" s="134"/>
      <c r="BJE31" s="134"/>
      <c r="BJH31" s="134"/>
      <c r="BJK31" s="134"/>
      <c r="BJN31" s="134"/>
      <c r="BJQ31" s="134"/>
      <c r="BJT31" s="134"/>
      <c r="BJW31" s="134"/>
      <c r="BJZ31" s="134"/>
      <c r="BKC31" s="134"/>
      <c r="BKF31" s="134"/>
      <c r="BKI31" s="134"/>
      <c r="BKL31" s="134"/>
      <c r="BKO31" s="134"/>
      <c r="BKR31" s="134"/>
      <c r="BKU31" s="134"/>
      <c r="BKX31" s="134"/>
      <c r="BLA31" s="134"/>
      <c r="BLD31" s="134"/>
      <c r="BLG31" s="134"/>
      <c r="BLJ31" s="134"/>
      <c r="BLM31" s="134"/>
      <c r="BLP31" s="134"/>
      <c r="BLS31" s="134"/>
      <c r="BLV31" s="134"/>
      <c r="BLY31" s="134"/>
      <c r="BMB31" s="134"/>
      <c r="BME31" s="134"/>
      <c r="BMH31" s="134"/>
      <c r="BMK31" s="134"/>
      <c r="BMN31" s="134"/>
      <c r="BMQ31" s="134"/>
      <c r="BMT31" s="134"/>
      <c r="BMW31" s="134"/>
      <c r="BMZ31" s="134"/>
      <c r="BNC31" s="134"/>
      <c r="BNF31" s="134"/>
      <c r="BNI31" s="134"/>
      <c r="BNL31" s="134"/>
      <c r="BNO31" s="134"/>
      <c r="BNR31" s="134"/>
      <c r="BNU31" s="134"/>
      <c r="BNX31" s="134"/>
      <c r="BOA31" s="134"/>
      <c r="BOD31" s="134"/>
      <c r="BOG31" s="134"/>
      <c r="BOJ31" s="134"/>
      <c r="BOM31" s="134"/>
      <c r="BOP31" s="134"/>
      <c r="BOS31" s="134"/>
      <c r="BOV31" s="134"/>
      <c r="BOY31" s="134"/>
      <c r="BPB31" s="134"/>
      <c r="BPE31" s="134"/>
      <c r="BPH31" s="134"/>
      <c r="BPK31" s="134"/>
      <c r="BPN31" s="134"/>
      <c r="BPQ31" s="134"/>
      <c r="BPT31" s="134"/>
      <c r="BPW31" s="134"/>
      <c r="BPZ31" s="134"/>
      <c r="BQC31" s="134"/>
      <c r="BQF31" s="134"/>
      <c r="BQI31" s="134"/>
      <c r="BQL31" s="134"/>
      <c r="BQO31" s="134"/>
      <c r="BQR31" s="134"/>
      <c r="BQU31" s="134"/>
      <c r="BQX31" s="134"/>
      <c r="BRA31" s="134"/>
      <c r="BRD31" s="134"/>
      <c r="BRG31" s="134"/>
      <c r="BRJ31" s="134"/>
      <c r="BRM31" s="134"/>
      <c r="BRP31" s="134"/>
      <c r="BRS31" s="134"/>
      <c r="BRV31" s="134"/>
      <c r="BRY31" s="134"/>
      <c r="BSB31" s="134"/>
      <c r="BSE31" s="134"/>
      <c r="BSH31" s="134"/>
      <c r="BSK31" s="134"/>
      <c r="BSN31" s="134"/>
      <c r="BSQ31" s="134"/>
      <c r="BST31" s="134"/>
      <c r="BSW31" s="134"/>
      <c r="BSZ31" s="134"/>
      <c r="BTC31" s="134"/>
      <c r="BTF31" s="134"/>
      <c r="BTI31" s="134"/>
      <c r="BTL31" s="134"/>
      <c r="BTO31" s="134"/>
      <c r="BTR31" s="134"/>
      <c r="BTU31" s="134"/>
      <c r="BTX31" s="134"/>
      <c r="BUA31" s="134"/>
      <c r="BUD31" s="134"/>
      <c r="BUG31" s="134"/>
      <c r="BUJ31" s="134"/>
      <c r="BUM31" s="134"/>
      <c r="BUP31" s="134"/>
      <c r="BUS31" s="134"/>
      <c r="BUV31" s="134"/>
      <c r="BUY31" s="134"/>
      <c r="BVB31" s="134"/>
      <c r="BVE31" s="134"/>
      <c r="BVH31" s="134"/>
      <c r="BVK31" s="134"/>
      <c r="BVN31" s="134"/>
      <c r="BVQ31" s="134"/>
      <c r="BVT31" s="134"/>
      <c r="BVW31" s="134"/>
      <c r="BVZ31" s="134"/>
      <c r="BWC31" s="134"/>
      <c r="BWF31" s="134"/>
      <c r="BWI31" s="134"/>
      <c r="BWL31" s="134"/>
      <c r="BWO31" s="134"/>
      <c r="BWR31" s="134"/>
      <c r="BWU31" s="134"/>
      <c r="BWX31" s="134"/>
      <c r="BXA31" s="134"/>
      <c r="BXD31" s="134"/>
      <c r="BXG31" s="134"/>
      <c r="BXJ31" s="134"/>
      <c r="BXM31" s="134"/>
      <c r="BXP31" s="134"/>
      <c r="BXS31" s="134"/>
      <c r="BXV31" s="134"/>
      <c r="BXY31" s="134"/>
      <c r="BYB31" s="134"/>
      <c r="BYE31" s="134"/>
      <c r="BYH31" s="134"/>
      <c r="BYK31" s="134"/>
      <c r="BYN31" s="134"/>
      <c r="BYQ31" s="134"/>
      <c r="BYT31" s="134"/>
      <c r="BYW31" s="134"/>
      <c r="BYZ31" s="134"/>
      <c r="BZC31" s="134"/>
      <c r="BZF31" s="134"/>
      <c r="BZI31" s="134"/>
      <c r="BZL31" s="134"/>
      <c r="BZO31" s="134"/>
      <c r="BZR31" s="134"/>
      <c r="BZU31" s="134"/>
      <c r="BZX31" s="134"/>
      <c r="CAA31" s="134"/>
      <c r="CAD31" s="134"/>
      <c r="CAG31" s="134"/>
      <c r="CAJ31" s="134"/>
      <c r="CAM31" s="134"/>
      <c r="CAP31" s="134"/>
      <c r="CAS31" s="134"/>
      <c r="CAV31" s="134"/>
      <c r="CAY31" s="134"/>
      <c r="CBB31" s="134"/>
      <c r="CBE31" s="134"/>
      <c r="CBH31" s="134"/>
      <c r="CBK31" s="134"/>
      <c r="CBN31" s="134"/>
      <c r="CBQ31" s="134"/>
      <c r="CBT31" s="134"/>
      <c r="CBW31" s="134"/>
      <c r="CBZ31" s="134"/>
      <c r="CCC31" s="134"/>
      <c r="CCF31" s="134"/>
      <c r="CCI31" s="134"/>
      <c r="CCL31" s="134"/>
      <c r="CCO31" s="134"/>
      <c r="CCR31" s="134"/>
      <c r="CCU31" s="134"/>
      <c r="CCX31" s="134"/>
      <c r="CDA31" s="134"/>
      <c r="CDD31" s="134"/>
      <c r="CDG31" s="134"/>
      <c r="CDJ31" s="134"/>
      <c r="CDM31" s="134"/>
      <c r="CDP31" s="134"/>
      <c r="CDS31" s="134"/>
      <c r="CDV31" s="134"/>
      <c r="CDY31" s="134"/>
      <c r="CEB31" s="134"/>
      <c r="CEE31" s="134"/>
      <c r="CEH31" s="134"/>
      <c r="CEK31" s="134"/>
      <c r="CEN31" s="134"/>
      <c r="CEQ31" s="134"/>
      <c r="CET31" s="134"/>
      <c r="CEW31" s="134"/>
      <c r="CEZ31" s="134"/>
      <c r="CFC31" s="134"/>
      <c r="CFF31" s="134"/>
      <c r="CFI31" s="134"/>
      <c r="CFL31" s="134"/>
      <c r="CFO31" s="134"/>
      <c r="CFR31" s="134"/>
      <c r="CFU31" s="134"/>
      <c r="CFX31" s="134"/>
      <c r="CGA31" s="134"/>
      <c r="CGD31" s="134"/>
      <c r="CGG31" s="134"/>
      <c r="CGJ31" s="134"/>
      <c r="CGM31" s="134"/>
      <c r="CGP31" s="134"/>
      <c r="CGS31" s="134"/>
      <c r="CGV31" s="134"/>
      <c r="CGY31" s="134"/>
      <c r="CHB31" s="134"/>
      <c r="CHE31" s="134"/>
      <c r="CHH31" s="134"/>
      <c r="CHK31" s="134"/>
      <c r="CHN31" s="134"/>
      <c r="CHQ31" s="134"/>
      <c r="CHT31" s="134"/>
      <c r="CHW31" s="134"/>
      <c r="CHZ31" s="134"/>
      <c r="CIC31" s="134"/>
      <c r="CIF31" s="134"/>
      <c r="CII31" s="134"/>
      <c r="CIL31" s="134"/>
      <c r="CIO31" s="134"/>
      <c r="CIR31" s="134"/>
      <c r="CIU31" s="134"/>
      <c r="CIX31" s="134"/>
      <c r="CJA31" s="134"/>
      <c r="CJD31" s="134"/>
      <c r="CJG31" s="134"/>
      <c r="CJJ31" s="134"/>
      <c r="CJM31" s="134"/>
      <c r="CJP31" s="134"/>
      <c r="CJS31" s="134"/>
      <c r="CJV31" s="134"/>
      <c r="CJY31" s="134"/>
      <c r="CKB31" s="134"/>
      <c r="CKE31" s="134"/>
      <c r="CKH31" s="134"/>
      <c r="CKK31" s="134"/>
      <c r="CKN31" s="134"/>
      <c r="CKQ31" s="134"/>
      <c r="CKT31" s="134"/>
      <c r="CKW31" s="134"/>
      <c r="CKZ31" s="134"/>
      <c r="CLC31" s="134"/>
      <c r="CLF31" s="134"/>
      <c r="CLI31" s="134"/>
      <c r="CLL31" s="134"/>
      <c r="CLO31" s="134"/>
      <c r="CLR31" s="134"/>
      <c r="CLU31" s="134"/>
      <c r="CLX31" s="134"/>
      <c r="CMA31" s="134"/>
      <c r="CMD31" s="134"/>
      <c r="CMG31" s="134"/>
      <c r="CMJ31" s="134"/>
      <c r="CMM31" s="134"/>
      <c r="CMP31" s="134"/>
      <c r="CMS31" s="134"/>
      <c r="CMV31" s="134"/>
      <c r="CMY31" s="134"/>
      <c r="CNB31" s="134"/>
      <c r="CNE31" s="134"/>
      <c r="CNH31" s="134"/>
      <c r="CNK31" s="134"/>
      <c r="CNN31" s="134"/>
      <c r="CNQ31" s="134"/>
      <c r="CNT31" s="134"/>
      <c r="CNW31" s="134"/>
      <c r="CNZ31" s="134"/>
      <c r="COC31" s="134"/>
      <c r="COF31" s="134"/>
      <c r="COI31" s="134"/>
      <c r="COL31" s="134"/>
      <c r="COO31" s="134"/>
      <c r="COR31" s="134"/>
      <c r="COU31" s="134"/>
      <c r="COX31" s="134"/>
      <c r="CPA31" s="134"/>
      <c r="CPD31" s="134"/>
      <c r="CPG31" s="134"/>
      <c r="CPJ31" s="134"/>
      <c r="CPM31" s="134"/>
      <c r="CPP31" s="134"/>
      <c r="CPS31" s="134"/>
      <c r="CPV31" s="134"/>
      <c r="CPY31" s="134"/>
      <c r="CQB31" s="134"/>
      <c r="CQE31" s="134"/>
      <c r="CQH31" s="134"/>
      <c r="CQK31" s="134"/>
      <c r="CQN31" s="134"/>
      <c r="CQQ31" s="134"/>
      <c r="CQT31" s="134"/>
      <c r="CQW31" s="134"/>
      <c r="CQZ31" s="134"/>
      <c r="CRC31" s="134"/>
      <c r="CRF31" s="134"/>
      <c r="CRI31" s="134"/>
      <c r="CRL31" s="134"/>
      <c r="CRO31" s="134"/>
      <c r="CRR31" s="134"/>
      <c r="CRU31" s="134"/>
      <c r="CRX31" s="134"/>
      <c r="CSA31" s="134"/>
      <c r="CSD31" s="134"/>
      <c r="CSG31" s="134"/>
      <c r="CSJ31" s="134"/>
      <c r="CSM31" s="134"/>
      <c r="CSP31" s="134"/>
      <c r="CSS31" s="134"/>
      <c r="CSV31" s="134"/>
      <c r="CSY31" s="134"/>
      <c r="CTB31" s="134"/>
      <c r="CTE31" s="134"/>
      <c r="CTH31" s="134"/>
      <c r="CTK31" s="134"/>
      <c r="CTN31" s="134"/>
      <c r="CTQ31" s="134"/>
      <c r="CTT31" s="134"/>
      <c r="CTW31" s="134"/>
      <c r="CTZ31" s="134"/>
      <c r="CUC31" s="134"/>
      <c r="CUF31" s="134"/>
      <c r="CUI31" s="134"/>
      <c r="CUL31" s="134"/>
      <c r="CUO31" s="134"/>
      <c r="CUR31" s="134"/>
      <c r="CUU31" s="134"/>
      <c r="CUX31" s="134"/>
      <c r="CVA31" s="134"/>
      <c r="CVD31" s="134"/>
      <c r="CVG31" s="134"/>
      <c r="CVJ31" s="134"/>
      <c r="CVM31" s="134"/>
      <c r="CVP31" s="134"/>
      <c r="CVS31" s="134"/>
      <c r="CVV31" s="134"/>
      <c r="CVY31" s="134"/>
      <c r="CWB31" s="134"/>
      <c r="CWE31" s="134"/>
      <c r="CWH31" s="134"/>
      <c r="CWK31" s="134"/>
      <c r="CWN31" s="134"/>
      <c r="CWQ31" s="134"/>
      <c r="CWT31" s="134"/>
      <c r="CWW31" s="134"/>
      <c r="CWZ31" s="134"/>
      <c r="CXC31" s="134"/>
      <c r="CXF31" s="134"/>
      <c r="CXI31" s="134"/>
      <c r="CXL31" s="134"/>
      <c r="CXO31" s="134"/>
      <c r="CXR31" s="134"/>
      <c r="CXU31" s="134"/>
      <c r="CXX31" s="134"/>
      <c r="CYA31" s="134"/>
      <c r="CYD31" s="134"/>
      <c r="CYG31" s="134"/>
      <c r="CYJ31" s="134"/>
      <c r="CYM31" s="134"/>
      <c r="CYP31" s="134"/>
      <c r="CYS31" s="134"/>
      <c r="CYV31" s="134"/>
      <c r="CYY31" s="134"/>
      <c r="CZB31" s="134"/>
      <c r="CZE31" s="134"/>
      <c r="CZH31" s="134"/>
      <c r="CZK31" s="134"/>
      <c r="CZN31" s="134"/>
      <c r="CZQ31" s="134"/>
      <c r="CZT31" s="134"/>
      <c r="CZW31" s="134"/>
      <c r="CZZ31" s="134"/>
      <c r="DAC31" s="134"/>
      <c r="DAF31" s="134"/>
      <c r="DAI31" s="134"/>
      <c r="DAL31" s="134"/>
      <c r="DAO31" s="134"/>
      <c r="DAR31" s="134"/>
      <c r="DAU31" s="134"/>
      <c r="DAX31" s="134"/>
      <c r="DBA31" s="134"/>
      <c r="DBD31" s="134"/>
      <c r="DBG31" s="134"/>
      <c r="DBJ31" s="134"/>
      <c r="DBM31" s="134"/>
      <c r="DBP31" s="134"/>
      <c r="DBS31" s="134"/>
      <c r="DBV31" s="134"/>
      <c r="DBY31" s="134"/>
      <c r="DCB31" s="134"/>
      <c r="DCE31" s="134"/>
      <c r="DCH31" s="134"/>
      <c r="DCK31" s="134"/>
      <c r="DCN31" s="134"/>
      <c r="DCQ31" s="134"/>
      <c r="DCT31" s="134"/>
      <c r="DCW31" s="134"/>
      <c r="DCZ31" s="134"/>
      <c r="DDC31" s="134"/>
      <c r="DDF31" s="134"/>
      <c r="DDI31" s="134"/>
      <c r="DDL31" s="134"/>
      <c r="DDO31" s="134"/>
      <c r="DDR31" s="134"/>
      <c r="DDU31" s="134"/>
      <c r="DDX31" s="134"/>
      <c r="DEA31" s="134"/>
      <c r="DED31" s="134"/>
      <c r="DEG31" s="134"/>
      <c r="DEJ31" s="134"/>
      <c r="DEM31" s="134"/>
      <c r="DEP31" s="134"/>
      <c r="DES31" s="134"/>
      <c r="DEV31" s="134"/>
      <c r="DEY31" s="134"/>
      <c r="DFB31" s="134"/>
      <c r="DFE31" s="134"/>
      <c r="DFH31" s="134"/>
      <c r="DFK31" s="134"/>
      <c r="DFN31" s="134"/>
      <c r="DFQ31" s="134"/>
      <c r="DFT31" s="134"/>
      <c r="DFW31" s="134"/>
      <c r="DFZ31" s="134"/>
      <c r="DGC31" s="134"/>
      <c r="DGF31" s="134"/>
      <c r="DGI31" s="134"/>
      <c r="DGL31" s="134"/>
      <c r="DGO31" s="134"/>
      <c r="DGR31" s="134"/>
      <c r="DGU31" s="134"/>
      <c r="DGX31" s="134"/>
      <c r="DHA31" s="134"/>
      <c r="DHD31" s="134"/>
      <c r="DHG31" s="134"/>
      <c r="DHJ31" s="134"/>
      <c r="DHM31" s="134"/>
      <c r="DHP31" s="134"/>
      <c r="DHS31" s="134"/>
      <c r="DHV31" s="134"/>
      <c r="DHY31" s="134"/>
      <c r="DIB31" s="134"/>
      <c r="DIE31" s="134"/>
      <c r="DIH31" s="134"/>
      <c r="DIK31" s="134"/>
      <c r="DIN31" s="134"/>
      <c r="DIQ31" s="134"/>
      <c r="DIT31" s="134"/>
      <c r="DIW31" s="134"/>
      <c r="DIZ31" s="134"/>
      <c r="DJC31" s="134"/>
      <c r="DJF31" s="134"/>
      <c r="DJI31" s="134"/>
      <c r="DJL31" s="134"/>
      <c r="DJO31" s="134"/>
      <c r="DJR31" s="134"/>
      <c r="DJU31" s="134"/>
      <c r="DJX31" s="134"/>
      <c r="DKA31" s="134"/>
      <c r="DKD31" s="134"/>
      <c r="DKG31" s="134"/>
      <c r="DKJ31" s="134"/>
      <c r="DKM31" s="134"/>
      <c r="DKP31" s="134"/>
      <c r="DKS31" s="134"/>
      <c r="DKV31" s="134"/>
      <c r="DKY31" s="134"/>
      <c r="DLB31" s="134"/>
      <c r="DLE31" s="134"/>
      <c r="DLH31" s="134"/>
      <c r="DLK31" s="134"/>
      <c r="DLN31" s="134"/>
      <c r="DLQ31" s="134"/>
      <c r="DLT31" s="134"/>
      <c r="DLW31" s="134"/>
      <c r="DLZ31" s="134"/>
      <c r="DMC31" s="134"/>
      <c r="DMF31" s="134"/>
      <c r="DMI31" s="134"/>
      <c r="DML31" s="134"/>
      <c r="DMO31" s="134"/>
      <c r="DMR31" s="134"/>
      <c r="DMU31" s="134"/>
      <c r="DMX31" s="134"/>
      <c r="DNA31" s="134"/>
      <c r="DND31" s="134"/>
      <c r="DNG31" s="134"/>
      <c r="DNJ31" s="134"/>
      <c r="DNM31" s="134"/>
      <c r="DNP31" s="134"/>
      <c r="DNS31" s="134"/>
      <c r="DNV31" s="134"/>
      <c r="DNY31" s="134"/>
      <c r="DOB31" s="134"/>
      <c r="DOE31" s="134"/>
      <c r="DOH31" s="134"/>
      <c r="DOK31" s="134"/>
      <c r="DON31" s="134"/>
      <c r="DOQ31" s="134"/>
      <c r="DOT31" s="134"/>
      <c r="DOW31" s="134"/>
      <c r="DOZ31" s="134"/>
      <c r="DPC31" s="134"/>
      <c r="DPF31" s="134"/>
      <c r="DPI31" s="134"/>
      <c r="DPL31" s="134"/>
      <c r="DPO31" s="134"/>
      <c r="DPR31" s="134"/>
      <c r="DPU31" s="134"/>
      <c r="DPX31" s="134"/>
      <c r="DQA31" s="134"/>
      <c r="DQD31" s="134"/>
      <c r="DQG31" s="134"/>
      <c r="DQJ31" s="134"/>
      <c r="DQM31" s="134"/>
      <c r="DQP31" s="134"/>
      <c r="DQS31" s="134"/>
      <c r="DQV31" s="134"/>
      <c r="DQY31" s="134"/>
      <c r="DRB31" s="134"/>
      <c r="DRE31" s="134"/>
      <c r="DRH31" s="134"/>
      <c r="DRK31" s="134"/>
      <c r="DRN31" s="134"/>
      <c r="DRQ31" s="134"/>
      <c r="DRT31" s="134"/>
      <c r="DRW31" s="134"/>
      <c r="DRZ31" s="134"/>
      <c r="DSC31" s="134"/>
      <c r="DSF31" s="134"/>
      <c r="DSI31" s="134"/>
      <c r="DSL31" s="134"/>
      <c r="DSO31" s="134"/>
      <c r="DSR31" s="134"/>
      <c r="DSU31" s="134"/>
      <c r="DSX31" s="134"/>
      <c r="DTA31" s="134"/>
      <c r="DTD31" s="134"/>
      <c r="DTG31" s="134"/>
      <c r="DTJ31" s="134"/>
      <c r="DTM31" s="134"/>
      <c r="DTP31" s="134"/>
      <c r="DTS31" s="134"/>
      <c r="DTV31" s="134"/>
      <c r="DTY31" s="134"/>
      <c r="DUB31" s="134"/>
      <c r="DUE31" s="134"/>
      <c r="DUH31" s="134"/>
      <c r="DUK31" s="134"/>
      <c r="DUN31" s="134"/>
      <c r="DUQ31" s="134"/>
      <c r="DUT31" s="134"/>
      <c r="DUW31" s="134"/>
      <c r="DUZ31" s="134"/>
      <c r="DVC31" s="134"/>
      <c r="DVF31" s="134"/>
      <c r="DVI31" s="134"/>
      <c r="DVL31" s="134"/>
      <c r="DVO31" s="134"/>
      <c r="DVR31" s="134"/>
      <c r="DVU31" s="134"/>
      <c r="DVX31" s="134"/>
      <c r="DWA31" s="134"/>
      <c r="DWD31" s="134"/>
      <c r="DWG31" s="134"/>
      <c r="DWJ31" s="134"/>
      <c r="DWM31" s="134"/>
      <c r="DWP31" s="134"/>
      <c r="DWS31" s="134"/>
      <c r="DWV31" s="134"/>
      <c r="DWY31" s="134"/>
      <c r="DXB31" s="134"/>
      <c r="DXE31" s="134"/>
      <c r="DXH31" s="134"/>
      <c r="DXK31" s="134"/>
      <c r="DXN31" s="134"/>
      <c r="DXQ31" s="134"/>
      <c r="DXT31" s="134"/>
      <c r="DXW31" s="134"/>
      <c r="DXZ31" s="134"/>
      <c r="DYC31" s="134"/>
      <c r="DYF31" s="134"/>
      <c r="DYI31" s="134"/>
      <c r="DYL31" s="134"/>
      <c r="DYO31" s="134"/>
      <c r="DYR31" s="134"/>
      <c r="DYU31" s="134"/>
      <c r="DYX31" s="134"/>
      <c r="DZA31" s="134"/>
      <c r="DZD31" s="134"/>
      <c r="DZG31" s="134"/>
      <c r="DZJ31" s="134"/>
      <c r="DZM31" s="134"/>
      <c r="DZP31" s="134"/>
      <c r="DZS31" s="134"/>
      <c r="DZV31" s="134"/>
      <c r="DZY31" s="134"/>
      <c r="EAB31" s="134"/>
      <c r="EAE31" s="134"/>
      <c r="EAH31" s="134"/>
      <c r="EAK31" s="134"/>
      <c r="EAN31" s="134"/>
      <c r="EAQ31" s="134"/>
      <c r="EAT31" s="134"/>
      <c r="EAW31" s="134"/>
      <c r="EAZ31" s="134"/>
      <c r="EBC31" s="134"/>
      <c r="EBF31" s="134"/>
      <c r="EBI31" s="134"/>
      <c r="EBL31" s="134"/>
      <c r="EBO31" s="134"/>
      <c r="EBR31" s="134"/>
      <c r="EBU31" s="134"/>
      <c r="EBX31" s="134"/>
      <c r="ECA31" s="134"/>
      <c r="ECD31" s="134"/>
      <c r="ECG31" s="134"/>
      <c r="ECJ31" s="134"/>
      <c r="ECM31" s="134"/>
      <c r="ECP31" s="134"/>
      <c r="ECS31" s="134"/>
      <c r="ECV31" s="134"/>
      <c r="ECY31" s="134"/>
      <c r="EDB31" s="134"/>
      <c r="EDE31" s="134"/>
      <c r="EDH31" s="134"/>
      <c r="EDK31" s="134"/>
      <c r="EDN31" s="134"/>
      <c r="EDQ31" s="134"/>
      <c r="EDT31" s="134"/>
      <c r="EDW31" s="134"/>
      <c r="EDZ31" s="134"/>
      <c r="EEC31" s="134"/>
      <c r="EEF31" s="134"/>
      <c r="EEI31" s="134"/>
      <c r="EEL31" s="134"/>
      <c r="EEO31" s="134"/>
      <c r="EER31" s="134"/>
      <c r="EEU31" s="134"/>
      <c r="EEX31" s="134"/>
      <c r="EFA31" s="134"/>
      <c r="EFD31" s="134"/>
      <c r="EFG31" s="134"/>
      <c r="EFJ31" s="134"/>
      <c r="EFM31" s="134"/>
      <c r="EFP31" s="134"/>
      <c r="EFS31" s="134"/>
      <c r="EFV31" s="134"/>
      <c r="EFY31" s="134"/>
      <c r="EGB31" s="134"/>
      <c r="EGE31" s="134"/>
      <c r="EGH31" s="134"/>
      <c r="EGK31" s="134"/>
      <c r="EGN31" s="134"/>
      <c r="EGQ31" s="134"/>
      <c r="EGT31" s="134"/>
      <c r="EGW31" s="134"/>
      <c r="EGZ31" s="134"/>
      <c r="EHC31" s="134"/>
      <c r="EHF31" s="134"/>
      <c r="EHI31" s="134"/>
      <c r="EHL31" s="134"/>
      <c r="EHO31" s="134"/>
      <c r="EHR31" s="134"/>
      <c r="EHU31" s="134"/>
      <c r="EHX31" s="134"/>
      <c r="EIA31" s="134"/>
      <c r="EID31" s="134"/>
      <c r="EIG31" s="134"/>
      <c r="EIJ31" s="134"/>
      <c r="EIM31" s="134"/>
      <c r="EIP31" s="134"/>
      <c r="EIS31" s="134"/>
      <c r="EIV31" s="134"/>
      <c r="EIY31" s="134"/>
      <c r="EJB31" s="134"/>
      <c r="EJE31" s="134"/>
      <c r="EJH31" s="134"/>
      <c r="EJK31" s="134"/>
      <c r="EJN31" s="134"/>
      <c r="EJQ31" s="134"/>
      <c r="EJT31" s="134"/>
      <c r="EJW31" s="134"/>
      <c r="EJZ31" s="134"/>
      <c r="EKC31" s="134"/>
      <c r="EKF31" s="134"/>
      <c r="EKI31" s="134"/>
      <c r="EKL31" s="134"/>
      <c r="EKO31" s="134"/>
      <c r="EKR31" s="134"/>
      <c r="EKU31" s="134"/>
      <c r="EKX31" s="134"/>
      <c r="ELA31" s="134"/>
      <c r="ELD31" s="134"/>
      <c r="ELG31" s="134"/>
      <c r="ELJ31" s="134"/>
      <c r="ELM31" s="134"/>
      <c r="ELP31" s="134"/>
      <c r="ELS31" s="134"/>
      <c r="ELV31" s="134"/>
      <c r="ELY31" s="134"/>
      <c r="EMB31" s="134"/>
      <c r="EME31" s="134"/>
      <c r="EMH31" s="134"/>
      <c r="EMK31" s="134"/>
      <c r="EMN31" s="134"/>
      <c r="EMQ31" s="134"/>
      <c r="EMT31" s="134"/>
      <c r="EMW31" s="134"/>
      <c r="EMZ31" s="134"/>
      <c r="ENC31" s="134"/>
      <c r="ENF31" s="134"/>
      <c r="ENI31" s="134"/>
      <c r="ENL31" s="134"/>
      <c r="ENO31" s="134"/>
      <c r="ENR31" s="134"/>
      <c r="ENU31" s="134"/>
      <c r="ENX31" s="134"/>
      <c r="EOA31" s="134"/>
      <c r="EOD31" s="134"/>
      <c r="EOG31" s="134"/>
      <c r="EOJ31" s="134"/>
      <c r="EOM31" s="134"/>
      <c r="EOP31" s="134"/>
      <c r="EOS31" s="134"/>
      <c r="EOV31" s="134"/>
      <c r="EOY31" s="134"/>
      <c r="EPB31" s="134"/>
      <c r="EPE31" s="134"/>
      <c r="EPH31" s="134"/>
      <c r="EPK31" s="134"/>
      <c r="EPN31" s="134"/>
      <c r="EPQ31" s="134"/>
      <c r="EPT31" s="134"/>
      <c r="EPW31" s="134"/>
      <c r="EPZ31" s="134"/>
      <c r="EQC31" s="134"/>
      <c r="EQF31" s="134"/>
      <c r="EQI31" s="134"/>
      <c r="EQL31" s="134"/>
      <c r="EQO31" s="134"/>
      <c r="EQR31" s="134"/>
      <c r="EQU31" s="134"/>
      <c r="EQX31" s="134"/>
      <c r="ERA31" s="134"/>
      <c r="ERD31" s="134"/>
      <c r="ERG31" s="134"/>
      <c r="ERJ31" s="134"/>
      <c r="ERM31" s="134"/>
      <c r="ERP31" s="134"/>
      <c r="ERS31" s="134"/>
      <c r="ERV31" s="134"/>
      <c r="ERY31" s="134"/>
      <c r="ESB31" s="134"/>
      <c r="ESE31" s="134"/>
      <c r="ESH31" s="134"/>
      <c r="ESK31" s="134"/>
      <c r="ESN31" s="134"/>
      <c r="ESQ31" s="134"/>
      <c r="EST31" s="134"/>
      <c r="ESW31" s="134"/>
      <c r="ESZ31" s="134"/>
      <c r="ETC31" s="134"/>
      <c r="ETF31" s="134"/>
      <c r="ETI31" s="134"/>
      <c r="ETL31" s="134"/>
      <c r="ETO31" s="134"/>
      <c r="ETR31" s="134"/>
      <c r="ETU31" s="134"/>
      <c r="ETX31" s="134"/>
      <c r="EUA31" s="134"/>
      <c r="EUD31" s="134"/>
      <c r="EUG31" s="134"/>
      <c r="EUJ31" s="134"/>
      <c r="EUM31" s="134"/>
      <c r="EUP31" s="134"/>
      <c r="EUS31" s="134"/>
      <c r="EUV31" s="134"/>
      <c r="EUY31" s="134"/>
      <c r="EVB31" s="134"/>
      <c r="EVE31" s="134"/>
      <c r="EVH31" s="134"/>
      <c r="EVK31" s="134"/>
      <c r="EVN31" s="134"/>
      <c r="EVQ31" s="134"/>
      <c r="EVT31" s="134"/>
      <c r="EVW31" s="134"/>
      <c r="EVZ31" s="134"/>
      <c r="EWC31" s="134"/>
      <c r="EWF31" s="134"/>
      <c r="EWI31" s="134"/>
      <c r="EWL31" s="134"/>
      <c r="EWO31" s="134"/>
      <c r="EWR31" s="134"/>
      <c r="EWU31" s="134"/>
      <c r="EWX31" s="134"/>
      <c r="EXA31" s="134"/>
      <c r="EXD31" s="134"/>
      <c r="EXG31" s="134"/>
      <c r="EXJ31" s="134"/>
      <c r="EXM31" s="134"/>
      <c r="EXP31" s="134"/>
      <c r="EXS31" s="134"/>
      <c r="EXV31" s="134"/>
      <c r="EXY31" s="134"/>
      <c r="EYB31" s="134"/>
      <c r="EYE31" s="134"/>
      <c r="EYH31" s="134"/>
      <c r="EYK31" s="134"/>
      <c r="EYN31" s="134"/>
      <c r="EYQ31" s="134"/>
      <c r="EYT31" s="134"/>
      <c r="EYW31" s="134"/>
      <c r="EYZ31" s="134"/>
      <c r="EZC31" s="134"/>
      <c r="EZF31" s="134"/>
      <c r="EZI31" s="134"/>
      <c r="EZL31" s="134"/>
      <c r="EZO31" s="134"/>
      <c r="EZR31" s="134"/>
      <c r="EZU31" s="134"/>
      <c r="EZX31" s="134"/>
      <c r="FAA31" s="134"/>
      <c r="FAD31" s="134"/>
      <c r="FAG31" s="134"/>
      <c r="FAJ31" s="134"/>
      <c r="FAM31" s="134"/>
      <c r="FAP31" s="134"/>
      <c r="FAS31" s="134"/>
      <c r="FAV31" s="134"/>
      <c r="FAY31" s="134"/>
      <c r="FBB31" s="134"/>
      <c r="FBE31" s="134"/>
      <c r="FBH31" s="134"/>
      <c r="FBK31" s="134"/>
      <c r="FBN31" s="134"/>
      <c r="FBQ31" s="134"/>
      <c r="FBT31" s="134"/>
      <c r="FBW31" s="134"/>
      <c r="FBZ31" s="134"/>
      <c r="FCC31" s="134"/>
      <c r="FCF31" s="134"/>
      <c r="FCI31" s="134"/>
      <c r="FCL31" s="134"/>
      <c r="FCO31" s="134"/>
      <c r="FCR31" s="134"/>
      <c r="FCU31" s="134"/>
      <c r="FCX31" s="134"/>
      <c r="FDA31" s="134"/>
      <c r="FDD31" s="134"/>
      <c r="FDG31" s="134"/>
      <c r="FDJ31" s="134"/>
      <c r="FDM31" s="134"/>
      <c r="FDP31" s="134"/>
      <c r="FDS31" s="134"/>
      <c r="FDV31" s="134"/>
      <c r="FDY31" s="134"/>
      <c r="FEB31" s="134"/>
      <c r="FEE31" s="134"/>
      <c r="FEH31" s="134"/>
      <c r="FEK31" s="134"/>
      <c r="FEN31" s="134"/>
      <c r="FEQ31" s="134"/>
      <c r="FET31" s="134"/>
      <c r="FEW31" s="134"/>
      <c r="FEZ31" s="134"/>
      <c r="FFC31" s="134"/>
      <c r="FFF31" s="134"/>
      <c r="FFI31" s="134"/>
      <c r="FFL31" s="134"/>
      <c r="FFO31" s="134"/>
      <c r="FFR31" s="134"/>
      <c r="FFU31" s="134"/>
      <c r="FFX31" s="134"/>
      <c r="FGA31" s="134"/>
      <c r="FGD31" s="134"/>
      <c r="FGG31" s="134"/>
      <c r="FGJ31" s="134"/>
      <c r="FGM31" s="134"/>
      <c r="FGP31" s="134"/>
      <c r="FGS31" s="134"/>
      <c r="FGV31" s="134"/>
      <c r="FGY31" s="134"/>
      <c r="FHB31" s="134"/>
      <c r="FHE31" s="134"/>
      <c r="FHH31" s="134"/>
      <c r="FHK31" s="134"/>
      <c r="FHN31" s="134"/>
      <c r="FHQ31" s="134"/>
      <c r="FHT31" s="134"/>
      <c r="FHW31" s="134"/>
      <c r="FHZ31" s="134"/>
      <c r="FIC31" s="134"/>
      <c r="FIF31" s="134"/>
      <c r="FII31" s="134"/>
      <c r="FIL31" s="134"/>
      <c r="FIO31" s="134"/>
      <c r="FIR31" s="134"/>
      <c r="FIU31" s="134"/>
      <c r="FIX31" s="134"/>
      <c r="FJA31" s="134"/>
      <c r="FJD31" s="134"/>
      <c r="FJG31" s="134"/>
      <c r="FJJ31" s="134"/>
      <c r="FJM31" s="134"/>
      <c r="FJP31" s="134"/>
      <c r="FJS31" s="134"/>
      <c r="FJV31" s="134"/>
      <c r="FJY31" s="134"/>
      <c r="FKB31" s="134"/>
      <c r="FKE31" s="134"/>
      <c r="FKH31" s="134"/>
      <c r="FKK31" s="134"/>
      <c r="FKN31" s="134"/>
      <c r="FKQ31" s="134"/>
      <c r="FKT31" s="134"/>
      <c r="FKW31" s="134"/>
      <c r="FKZ31" s="134"/>
      <c r="FLC31" s="134"/>
      <c r="FLF31" s="134"/>
      <c r="FLI31" s="134"/>
      <c r="FLL31" s="134"/>
      <c r="FLO31" s="134"/>
      <c r="FLR31" s="134"/>
      <c r="FLU31" s="134"/>
      <c r="FLX31" s="134"/>
      <c r="FMA31" s="134"/>
      <c r="FMD31" s="134"/>
      <c r="FMG31" s="134"/>
      <c r="FMJ31" s="134"/>
      <c r="FMM31" s="134"/>
      <c r="FMP31" s="134"/>
      <c r="FMS31" s="134"/>
      <c r="FMV31" s="134"/>
      <c r="FMY31" s="134"/>
      <c r="FNB31" s="134"/>
      <c r="FNE31" s="134"/>
      <c r="FNH31" s="134"/>
      <c r="FNK31" s="134"/>
      <c r="FNN31" s="134"/>
      <c r="FNQ31" s="134"/>
      <c r="FNT31" s="134"/>
      <c r="FNW31" s="134"/>
      <c r="FNZ31" s="134"/>
      <c r="FOC31" s="134"/>
      <c r="FOF31" s="134"/>
      <c r="FOI31" s="134"/>
      <c r="FOL31" s="134"/>
      <c r="FOO31" s="134"/>
      <c r="FOR31" s="134"/>
      <c r="FOU31" s="134"/>
      <c r="FOX31" s="134"/>
      <c r="FPA31" s="134"/>
      <c r="FPD31" s="134"/>
      <c r="FPG31" s="134"/>
      <c r="FPJ31" s="134"/>
      <c r="FPM31" s="134"/>
      <c r="FPP31" s="134"/>
      <c r="FPS31" s="134"/>
      <c r="FPV31" s="134"/>
      <c r="FPY31" s="134"/>
      <c r="FQB31" s="134"/>
      <c r="FQE31" s="134"/>
      <c r="FQH31" s="134"/>
      <c r="FQK31" s="134"/>
      <c r="FQN31" s="134"/>
      <c r="FQQ31" s="134"/>
      <c r="FQT31" s="134"/>
      <c r="FQW31" s="134"/>
      <c r="FQZ31" s="134"/>
      <c r="FRC31" s="134"/>
      <c r="FRF31" s="134"/>
      <c r="FRI31" s="134"/>
      <c r="FRL31" s="134"/>
      <c r="FRO31" s="134"/>
      <c r="FRR31" s="134"/>
      <c r="FRU31" s="134"/>
      <c r="FRX31" s="134"/>
      <c r="FSA31" s="134"/>
      <c r="FSD31" s="134"/>
      <c r="FSG31" s="134"/>
      <c r="FSJ31" s="134"/>
      <c r="FSM31" s="134"/>
      <c r="FSP31" s="134"/>
      <c r="FSS31" s="134"/>
      <c r="FSV31" s="134"/>
      <c r="FSY31" s="134"/>
      <c r="FTB31" s="134"/>
      <c r="FTE31" s="134"/>
      <c r="FTH31" s="134"/>
      <c r="FTK31" s="134"/>
      <c r="FTN31" s="134"/>
      <c r="FTQ31" s="134"/>
      <c r="FTT31" s="134"/>
      <c r="FTW31" s="134"/>
      <c r="FTZ31" s="134"/>
      <c r="FUC31" s="134"/>
      <c r="FUF31" s="134"/>
      <c r="FUI31" s="134"/>
      <c r="FUL31" s="134"/>
      <c r="FUO31" s="134"/>
      <c r="FUR31" s="134"/>
      <c r="FUU31" s="134"/>
      <c r="FUX31" s="134"/>
      <c r="FVA31" s="134"/>
      <c r="FVD31" s="134"/>
      <c r="FVG31" s="134"/>
      <c r="FVJ31" s="134"/>
      <c r="FVM31" s="134"/>
      <c r="FVP31" s="134"/>
      <c r="FVS31" s="134"/>
      <c r="FVV31" s="134"/>
      <c r="FVY31" s="134"/>
      <c r="FWB31" s="134"/>
      <c r="FWE31" s="134"/>
      <c r="FWH31" s="134"/>
      <c r="FWK31" s="134"/>
      <c r="FWN31" s="134"/>
      <c r="FWQ31" s="134"/>
      <c r="FWT31" s="134"/>
      <c r="FWW31" s="134"/>
      <c r="FWZ31" s="134"/>
      <c r="FXC31" s="134"/>
      <c r="FXF31" s="134"/>
      <c r="FXI31" s="134"/>
      <c r="FXL31" s="134"/>
      <c r="FXO31" s="134"/>
      <c r="FXR31" s="134"/>
      <c r="FXU31" s="134"/>
      <c r="FXX31" s="134"/>
      <c r="FYA31" s="134"/>
      <c r="FYD31" s="134"/>
      <c r="FYG31" s="134"/>
      <c r="FYJ31" s="134"/>
      <c r="FYM31" s="134"/>
      <c r="FYP31" s="134"/>
      <c r="FYS31" s="134"/>
      <c r="FYV31" s="134"/>
      <c r="FYY31" s="134"/>
      <c r="FZB31" s="134"/>
      <c r="FZE31" s="134"/>
      <c r="FZH31" s="134"/>
      <c r="FZK31" s="134"/>
      <c r="FZN31" s="134"/>
      <c r="FZQ31" s="134"/>
      <c r="FZT31" s="134"/>
      <c r="FZW31" s="134"/>
      <c r="FZZ31" s="134"/>
      <c r="GAC31" s="134"/>
      <c r="GAF31" s="134"/>
      <c r="GAI31" s="134"/>
      <c r="GAL31" s="134"/>
      <c r="GAO31" s="134"/>
      <c r="GAR31" s="134"/>
      <c r="GAU31" s="134"/>
      <c r="GAX31" s="134"/>
      <c r="GBA31" s="134"/>
      <c r="GBD31" s="134"/>
      <c r="GBG31" s="134"/>
      <c r="GBJ31" s="134"/>
      <c r="GBM31" s="134"/>
      <c r="GBP31" s="134"/>
      <c r="GBS31" s="134"/>
      <c r="GBV31" s="134"/>
      <c r="GBY31" s="134"/>
      <c r="GCB31" s="134"/>
      <c r="GCE31" s="134"/>
      <c r="GCH31" s="134"/>
      <c r="GCK31" s="134"/>
      <c r="GCN31" s="134"/>
      <c r="GCQ31" s="134"/>
      <c r="GCT31" s="134"/>
      <c r="GCW31" s="134"/>
      <c r="GCZ31" s="134"/>
      <c r="GDC31" s="134"/>
      <c r="GDF31" s="134"/>
      <c r="GDI31" s="134"/>
      <c r="GDL31" s="134"/>
      <c r="GDO31" s="134"/>
      <c r="GDR31" s="134"/>
      <c r="GDU31" s="134"/>
      <c r="GDX31" s="134"/>
      <c r="GEA31" s="134"/>
      <c r="GED31" s="134"/>
      <c r="GEG31" s="134"/>
      <c r="GEJ31" s="134"/>
      <c r="GEM31" s="134"/>
      <c r="GEP31" s="134"/>
      <c r="GES31" s="134"/>
      <c r="GEV31" s="134"/>
      <c r="GEY31" s="134"/>
      <c r="GFB31" s="134"/>
      <c r="GFE31" s="134"/>
      <c r="GFH31" s="134"/>
      <c r="GFK31" s="134"/>
      <c r="GFN31" s="134"/>
      <c r="GFQ31" s="134"/>
      <c r="GFT31" s="134"/>
      <c r="GFW31" s="134"/>
      <c r="GFZ31" s="134"/>
      <c r="GGC31" s="134"/>
      <c r="GGF31" s="134"/>
      <c r="GGI31" s="134"/>
      <c r="GGL31" s="134"/>
      <c r="GGO31" s="134"/>
      <c r="GGR31" s="134"/>
      <c r="GGU31" s="134"/>
      <c r="GGX31" s="134"/>
      <c r="GHA31" s="134"/>
      <c r="GHD31" s="134"/>
      <c r="GHG31" s="134"/>
      <c r="GHJ31" s="134"/>
      <c r="GHM31" s="134"/>
      <c r="GHP31" s="134"/>
      <c r="GHS31" s="134"/>
      <c r="GHV31" s="134"/>
      <c r="GHY31" s="134"/>
      <c r="GIB31" s="134"/>
      <c r="GIE31" s="134"/>
      <c r="GIH31" s="134"/>
      <c r="GIK31" s="134"/>
      <c r="GIN31" s="134"/>
      <c r="GIQ31" s="134"/>
      <c r="GIT31" s="134"/>
      <c r="GIW31" s="134"/>
      <c r="GIZ31" s="134"/>
      <c r="GJC31" s="134"/>
      <c r="GJF31" s="134"/>
      <c r="GJI31" s="134"/>
      <c r="GJL31" s="134"/>
      <c r="GJO31" s="134"/>
      <c r="GJR31" s="134"/>
      <c r="GJU31" s="134"/>
      <c r="GJX31" s="134"/>
      <c r="GKA31" s="134"/>
      <c r="GKD31" s="134"/>
      <c r="GKG31" s="134"/>
      <c r="GKJ31" s="134"/>
      <c r="GKM31" s="134"/>
      <c r="GKP31" s="134"/>
      <c r="GKS31" s="134"/>
      <c r="GKV31" s="134"/>
      <c r="GKY31" s="134"/>
      <c r="GLB31" s="134"/>
      <c r="GLE31" s="134"/>
      <c r="GLH31" s="134"/>
      <c r="GLK31" s="134"/>
      <c r="GLN31" s="134"/>
      <c r="GLQ31" s="134"/>
      <c r="GLT31" s="134"/>
      <c r="GLW31" s="134"/>
      <c r="GLZ31" s="134"/>
      <c r="GMC31" s="134"/>
      <c r="GMF31" s="134"/>
      <c r="GMI31" s="134"/>
      <c r="GML31" s="134"/>
      <c r="GMO31" s="134"/>
      <c r="GMR31" s="134"/>
      <c r="GMU31" s="134"/>
      <c r="GMX31" s="134"/>
      <c r="GNA31" s="134"/>
      <c r="GND31" s="134"/>
      <c r="GNG31" s="134"/>
      <c r="GNJ31" s="134"/>
      <c r="GNM31" s="134"/>
      <c r="GNP31" s="134"/>
      <c r="GNS31" s="134"/>
      <c r="GNV31" s="134"/>
      <c r="GNY31" s="134"/>
      <c r="GOB31" s="134"/>
      <c r="GOE31" s="134"/>
      <c r="GOH31" s="134"/>
      <c r="GOK31" s="134"/>
      <c r="GON31" s="134"/>
      <c r="GOQ31" s="134"/>
      <c r="GOT31" s="134"/>
      <c r="GOW31" s="134"/>
      <c r="GOZ31" s="134"/>
      <c r="GPC31" s="134"/>
      <c r="GPF31" s="134"/>
      <c r="GPI31" s="134"/>
      <c r="GPL31" s="134"/>
      <c r="GPO31" s="134"/>
      <c r="GPR31" s="134"/>
      <c r="GPU31" s="134"/>
      <c r="GPX31" s="134"/>
      <c r="GQA31" s="134"/>
      <c r="GQD31" s="134"/>
      <c r="GQG31" s="134"/>
      <c r="GQJ31" s="134"/>
      <c r="GQM31" s="134"/>
      <c r="GQP31" s="134"/>
      <c r="GQS31" s="134"/>
      <c r="GQV31" s="134"/>
      <c r="GQY31" s="134"/>
      <c r="GRB31" s="134"/>
      <c r="GRE31" s="134"/>
      <c r="GRH31" s="134"/>
      <c r="GRK31" s="134"/>
      <c r="GRN31" s="134"/>
      <c r="GRQ31" s="134"/>
      <c r="GRT31" s="134"/>
      <c r="GRW31" s="134"/>
      <c r="GRZ31" s="134"/>
      <c r="GSC31" s="134"/>
      <c r="GSF31" s="134"/>
      <c r="GSI31" s="134"/>
      <c r="GSL31" s="134"/>
      <c r="GSO31" s="134"/>
      <c r="GSR31" s="134"/>
      <c r="GSU31" s="134"/>
      <c r="GSX31" s="134"/>
      <c r="GTA31" s="134"/>
      <c r="GTD31" s="134"/>
      <c r="GTG31" s="134"/>
      <c r="GTJ31" s="134"/>
      <c r="GTM31" s="134"/>
      <c r="GTP31" s="134"/>
      <c r="GTS31" s="134"/>
      <c r="GTV31" s="134"/>
      <c r="GTY31" s="134"/>
      <c r="GUB31" s="134"/>
      <c r="GUE31" s="134"/>
      <c r="GUH31" s="134"/>
      <c r="GUK31" s="134"/>
      <c r="GUN31" s="134"/>
      <c r="GUQ31" s="134"/>
      <c r="GUT31" s="134"/>
      <c r="GUW31" s="134"/>
      <c r="GUZ31" s="134"/>
      <c r="GVC31" s="134"/>
      <c r="GVF31" s="134"/>
      <c r="GVI31" s="134"/>
      <c r="GVL31" s="134"/>
      <c r="GVO31" s="134"/>
      <c r="GVR31" s="134"/>
      <c r="GVU31" s="134"/>
      <c r="GVX31" s="134"/>
      <c r="GWA31" s="134"/>
      <c r="GWD31" s="134"/>
      <c r="GWG31" s="134"/>
      <c r="GWJ31" s="134"/>
      <c r="GWM31" s="134"/>
      <c r="GWP31" s="134"/>
      <c r="GWS31" s="134"/>
      <c r="GWV31" s="134"/>
      <c r="GWY31" s="134"/>
      <c r="GXB31" s="134"/>
      <c r="GXE31" s="134"/>
      <c r="GXH31" s="134"/>
      <c r="GXK31" s="134"/>
      <c r="GXN31" s="134"/>
      <c r="GXQ31" s="134"/>
      <c r="GXT31" s="134"/>
      <c r="GXW31" s="134"/>
      <c r="GXZ31" s="134"/>
      <c r="GYC31" s="134"/>
      <c r="GYF31" s="134"/>
      <c r="GYI31" s="134"/>
      <c r="GYL31" s="134"/>
      <c r="GYO31" s="134"/>
      <c r="GYR31" s="134"/>
      <c r="GYU31" s="134"/>
      <c r="GYX31" s="134"/>
      <c r="GZA31" s="134"/>
      <c r="GZD31" s="134"/>
      <c r="GZG31" s="134"/>
      <c r="GZJ31" s="134"/>
      <c r="GZM31" s="134"/>
      <c r="GZP31" s="134"/>
      <c r="GZS31" s="134"/>
      <c r="GZV31" s="134"/>
      <c r="GZY31" s="134"/>
      <c r="HAB31" s="134"/>
      <c r="HAE31" s="134"/>
      <c r="HAH31" s="134"/>
      <c r="HAK31" s="134"/>
      <c r="HAN31" s="134"/>
      <c r="HAQ31" s="134"/>
      <c r="HAT31" s="134"/>
      <c r="HAW31" s="134"/>
      <c r="HAZ31" s="134"/>
      <c r="HBC31" s="134"/>
      <c r="HBF31" s="134"/>
      <c r="HBI31" s="134"/>
      <c r="HBL31" s="134"/>
      <c r="HBO31" s="134"/>
      <c r="HBR31" s="134"/>
      <c r="HBU31" s="134"/>
      <c r="HBX31" s="134"/>
      <c r="HCA31" s="134"/>
      <c r="HCD31" s="134"/>
      <c r="HCG31" s="134"/>
      <c r="HCJ31" s="134"/>
      <c r="HCM31" s="134"/>
      <c r="HCP31" s="134"/>
      <c r="HCS31" s="134"/>
      <c r="HCV31" s="134"/>
      <c r="HCY31" s="134"/>
      <c r="HDB31" s="134"/>
      <c r="HDE31" s="134"/>
      <c r="HDH31" s="134"/>
      <c r="HDK31" s="134"/>
      <c r="HDN31" s="134"/>
      <c r="HDQ31" s="134"/>
      <c r="HDT31" s="134"/>
      <c r="HDW31" s="134"/>
      <c r="HDZ31" s="134"/>
      <c r="HEC31" s="134"/>
      <c r="HEF31" s="134"/>
      <c r="HEI31" s="134"/>
      <c r="HEL31" s="134"/>
      <c r="HEO31" s="134"/>
      <c r="HER31" s="134"/>
      <c r="HEU31" s="134"/>
      <c r="HEX31" s="134"/>
      <c r="HFA31" s="134"/>
      <c r="HFD31" s="134"/>
      <c r="HFG31" s="134"/>
      <c r="HFJ31" s="134"/>
      <c r="HFM31" s="134"/>
      <c r="HFP31" s="134"/>
      <c r="HFS31" s="134"/>
      <c r="HFV31" s="134"/>
      <c r="HFY31" s="134"/>
      <c r="HGB31" s="134"/>
      <c r="HGE31" s="134"/>
      <c r="HGH31" s="134"/>
      <c r="HGK31" s="134"/>
      <c r="HGN31" s="134"/>
      <c r="HGQ31" s="134"/>
      <c r="HGT31" s="134"/>
      <c r="HGW31" s="134"/>
      <c r="HGZ31" s="134"/>
      <c r="HHC31" s="134"/>
      <c r="HHF31" s="134"/>
      <c r="HHI31" s="134"/>
      <c r="HHL31" s="134"/>
      <c r="HHO31" s="134"/>
      <c r="HHR31" s="134"/>
      <c r="HHU31" s="134"/>
      <c r="HHX31" s="134"/>
      <c r="HIA31" s="134"/>
      <c r="HID31" s="134"/>
      <c r="HIG31" s="134"/>
      <c r="HIJ31" s="134"/>
      <c r="HIM31" s="134"/>
      <c r="HIP31" s="134"/>
      <c r="HIS31" s="134"/>
      <c r="HIV31" s="134"/>
      <c r="HIY31" s="134"/>
      <c r="HJB31" s="134"/>
      <c r="HJE31" s="134"/>
      <c r="HJH31" s="134"/>
      <c r="HJK31" s="134"/>
      <c r="HJN31" s="134"/>
      <c r="HJQ31" s="134"/>
      <c r="HJT31" s="134"/>
      <c r="HJW31" s="134"/>
      <c r="HJZ31" s="134"/>
      <c r="HKC31" s="134"/>
      <c r="HKF31" s="134"/>
      <c r="HKI31" s="134"/>
      <c r="HKL31" s="134"/>
      <c r="HKO31" s="134"/>
      <c r="HKR31" s="134"/>
      <c r="HKU31" s="134"/>
      <c r="HKX31" s="134"/>
      <c r="HLA31" s="134"/>
      <c r="HLD31" s="134"/>
      <c r="HLG31" s="134"/>
      <c r="HLJ31" s="134"/>
      <c r="HLM31" s="134"/>
      <c r="HLP31" s="134"/>
      <c r="HLS31" s="134"/>
      <c r="HLV31" s="134"/>
      <c r="HLY31" s="134"/>
      <c r="HMB31" s="134"/>
      <c r="HME31" s="134"/>
      <c r="HMH31" s="134"/>
      <c r="HMK31" s="134"/>
      <c r="HMN31" s="134"/>
      <c r="HMQ31" s="134"/>
      <c r="HMT31" s="134"/>
      <c r="HMW31" s="134"/>
      <c r="HMZ31" s="134"/>
      <c r="HNC31" s="134"/>
      <c r="HNF31" s="134"/>
      <c r="HNI31" s="134"/>
      <c r="HNL31" s="134"/>
      <c r="HNO31" s="134"/>
      <c r="HNR31" s="134"/>
      <c r="HNU31" s="134"/>
      <c r="HNX31" s="134"/>
      <c r="HOA31" s="134"/>
      <c r="HOD31" s="134"/>
      <c r="HOG31" s="134"/>
      <c r="HOJ31" s="134"/>
      <c r="HOM31" s="134"/>
      <c r="HOP31" s="134"/>
      <c r="HOS31" s="134"/>
      <c r="HOV31" s="134"/>
      <c r="HOY31" s="134"/>
      <c r="HPB31" s="134"/>
      <c r="HPE31" s="134"/>
      <c r="HPH31" s="134"/>
      <c r="HPK31" s="134"/>
      <c r="HPN31" s="134"/>
      <c r="HPQ31" s="134"/>
      <c r="HPT31" s="134"/>
      <c r="HPW31" s="134"/>
      <c r="HPZ31" s="134"/>
      <c r="HQC31" s="134"/>
      <c r="HQF31" s="134"/>
      <c r="HQI31" s="134"/>
      <c r="HQL31" s="134"/>
      <c r="HQO31" s="134"/>
      <c r="HQR31" s="134"/>
      <c r="HQU31" s="134"/>
      <c r="HQX31" s="134"/>
      <c r="HRA31" s="134"/>
      <c r="HRD31" s="134"/>
      <c r="HRG31" s="134"/>
      <c r="HRJ31" s="134"/>
      <c r="HRM31" s="134"/>
      <c r="HRP31" s="134"/>
      <c r="HRS31" s="134"/>
      <c r="HRV31" s="134"/>
      <c r="HRY31" s="134"/>
      <c r="HSB31" s="134"/>
      <c r="HSE31" s="134"/>
      <c r="HSH31" s="134"/>
      <c r="HSK31" s="134"/>
      <c r="HSN31" s="134"/>
      <c r="HSQ31" s="134"/>
      <c r="HST31" s="134"/>
      <c r="HSW31" s="134"/>
      <c r="HSZ31" s="134"/>
      <c r="HTC31" s="134"/>
      <c r="HTF31" s="134"/>
      <c r="HTI31" s="134"/>
      <c r="HTL31" s="134"/>
      <c r="HTO31" s="134"/>
      <c r="HTR31" s="134"/>
      <c r="HTU31" s="134"/>
      <c r="HTX31" s="134"/>
      <c r="HUA31" s="134"/>
      <c r="HUD31" s="134"/>
      <c r="HUG31" s="134"/>
      <c r="HUJ31" s="134"/>
      <c r="HUM31" s="134"/>
      <c r="HUP31" s="134"/>
      <c r="HUS31" s="134"/>
      <c r="HUV31" s="134"/>
      <c r="HUY31" s="134"/>
      <c r="HVB31" s="134"/>
      <c r="HVE31" s="134"/>
      <c r="HVH31" s="134"/>
      <c r="HVK31" s="134"/>
      <c r="HVN31" s="134"/>
      <c r="HVQ31" s="134"/>
      <c r="HVT31" s="134"/>
      <c r="HVW31" s="134"/>
      <c r="HVZ31" s="134"/>
      <c r="HWC31" s="134"/>
      <c r="HWF31" s="134"/>
      <c r="HWI31" s="134"/>
      <c r="HWL31" s="134"/>
      <c r="HWO31" s="134"/>
      <c r="HWR31" s="134"/>
      <c r="HWU31" s="134"/>
      <c r="HWX31" s="134"/>
      <c r="HXA31" s="134"/>
      <c r="HXD31" s="134"/>
      <c r="HXG31" s="134"/>
      <c r="HXJ31" s="134"/>
      <c r="HXM31" s="134"/>
      <c r="HXP31" s="134"/>
      <c r="HXS31" s="134"/>
      <c r="HXV31" s="134"/>
      <c r="HXY31" s="134"/>
      <c r="HYB31" s="134"/>
      <c r="HYE31" s="134"/>
      <c r="HYH31" s="134"/>
      <c r="HYK31" s="134"/>
      <c r="HYN31" s="134"/>
      <c r="HYQ31" s="134"/>
      <c r="HYT31" s="134"/>
      <c r="HYW31" s="134"/>
      <c r="HYZ31" s="134"/>
      <c r="HZC31" s="134"/>
      <c r="HZF31" s="134"/>
      <c r="HZI31" s="134"/>
      <c r="HZL31" s="134"/>
      <c r="HZO31" s="134"/>
      <c r="HZR31" s="134"/>
      <c r="HZU31" s="134"/>
      <c r="HZX31" s="134"/>
      <c r="IAA31" s="134"/>
      <c r="IAD31" s="134"/>
      <c r="IAG31" s="134"/>
      <c r="IAJ31" s="134"/>
      <c r="IAM31" s="134"/>
      <c r="IAP31" s="134"/>
      <c r="IAS31" s="134"/>
      <c r="IAV31" s="134"/>
      <c r="IAY31" s="134"/>
      <c r="IBB31" s="134"/>
      <c r="IBE31" s="134"/>
      <c r="IBH31" s="134"/>
      <c r="IBK31" s="134"/>
      <c r="IBN31" s="134"/>
      <c r="IBQ31" s="134"/>
      <c r="IBT31" s="134"/>
      <c r="IBW31" s="134"/>
      <c r="IBZ31" s="134"/>
      <c r="ICC31" s="134"/>
      <c r="ICF31" s="134"/>
      <c r="ICI31" s="134"/>
      <c r="ICL31" s="134"/>
      <c r="ICO31" s="134"/>
      <c r="ICR31" s="134"/>
      <c r="ICU31" s="134"/>
      <c r="ICX31" s="134"/>
      <c r="IDA31" s="134"/>
      <c r="IDD31" s="134"/>
      <c r="IDG31" s="134"/>
      <c r="IDJ31" s="134"/>
      <c r="IDM31" s="134"/>
      <c r="IDP31" s="134"/>
      <c r="IDS31" s="134"/>
      <c r="IDV31" s="134"/>
      <c r="IDY31" s="134"/>
      <c r="IEB31" s="134"/>
      <c r="IEE31" s="134"/>
      <c r="IEH31" s="134"/>
      <c r="IEK31" s="134"/>
      <c r="IEN31" s="134"/>
      <c r="IEQ31" s="134"/>
      <c r="IET31" s="134"/>
      <c r="IEW31" s="134"/>
      <c r="IEZ31" s="134"/>
      <c r="IFC31" s="134"/>
      <c r="IFF31" s="134"/>
      <c r="IFI31" s="134"/>
      <c r="IFL31" s="134"/>
      <c r="IFO31" s="134"/>
      <c r="IFR31" s="134"/>
      <c r="IFU31" s="134"/>
      <c r="IFX31" s="134"/>
      <c r="IGA31" s="134"/>
      <c r="IGD31" s="134"/>
      <c r="IGG31" s="134"/>
      <c r="IGJ31" s="134"/>
      <c r="IGM31" s="134"/>
      <c r="IGP31" s="134"/>
      <c r="IGS31" s="134"/>
      <c r="IGV31" s="134"/>
      <c r="IGY31" s="134"/>
      <c r="IHB31" s="134"/>
      <c r="IHE31" s="134"/>
      <c r="IHH31" s="134"/>
      <c r="IHK31" s="134"/>
      <c r="IHN31" s="134"/>
      <c r="IHQ31" s="134"/>
      <c r="IHT31" s="134"/>
      <c r="IHW31" s="134"/>
      <c r="IHZ31" s="134"/>
      <c r="IIC31" s="134"/>
      <c r="IIF31" s="134"/>
      <c r="III31" s="134"/>
      <c r="IIL31" s="134"/>
      <c r="IIO31" s="134"/>
      <c r="IIR31" s="134"/>
      <c r="IIU31" s="134"/>
      <c r="IIX31" s="134"/>
      <c r="IJA31" s="134"/>
      <c r="IJD31" s="134"/>
      <c r="IJG31" s="134"/>
      <c r="IJJ31" s="134"/>
      <c r="IJM31" s="134"/>
      <c r="IJP31" s="134"/>
      <c r="IJS31" s="134"/>
      <c r="IJV31" s="134"/>
      <c r="IJY31" s="134"/>
      <c r="IKB31" s="134"/>
      <c r="IKE31" s="134"/>
      <c r="IKH31" s="134"/>
      <c r="IKK31" s="134"/>
      <c r="IKN31" s="134"/>
      <c r="IKQ31" s="134"/>
      <c r="IKT31" s="134"/>
      <c r="IKW31" s="134"/>
      <c r="IKZ31" s="134"/>
      <c r="ILC31" s="134"/>
      <c r="ILF31" s="134"/>
      <c r="ILI31" s="134"/>
      <c r="ILL31" s="134"/>
      <c r="ILO31" s="134"/>
      <c r="ILR31" s="134"/>
      <c r="ILU31" s="134"/>
      <c r="ILX31" s="134"/>
      <c r="IMA31" s="134"/>
      <c r="IMD31" s="134"/>
      <c r="IMG31" s="134"/>
      <c r="IMJ31" s="134"/>
      <c r="IMM31" s="134"/>
      <c r="IMP31" s="134"/>
      <c r="IMS31" s="134"/>
      <c r="IMV31" s="134"/>
      <c r="IMY31" s="134"/>
      <c r="INB31" s="134"/>
      <c r="INE31" s="134"/>
      <c r="INH31" s="134"/>
      <c r="INK31" s="134"/>
      <c r="INN31" s="134"/>
      <c r="INQ31" s="134"/>
      <c r="INT31" s="134"/>
      <c r="INW31" s="134"/>
      <c r="INZ31" s="134"/>
      <c r="IOC31" s="134"/>
      <c r="IOF31" s="134"/>
      <c r="IOI31" s="134"/>
      <c r="IOL31" s="134"/>
      <c r="IOO31" s="134"/>
      <c r="IOR31" s="134"/>
      <c r="IOU31" s="134"/>
      <c r="IOX31" s="134"/>
      <c r="IPA31" s="134"/>
      <c r="IPD31" s="134"/>
      <c r="IPG31" s="134"/>
      <c r="IPJ31" s="134"/>
      <c r="IPM31" s="134"/>
      <c r="IPP31" s="134"/>
      <c r="IPS31" s="134"/>
      <c r="IPV31" s="134"/>
      <c r="IPY31" s="134"/>
      <c r="IQB31" s="134"/>
      <c r="IQE31" s="134"/>
      <c r="IQH31" s="134"/>
      <c r="IQK31" s="134"/>
      <c r="IQN31" s="134"/>
      <c r="IQQ31" s="134"/>
      <c r="IQT31" s="134"/>
      <c r="IQW31" s="134"/>
      <c r="IQZ31" s="134"/>
      <c r="IRC31" s="134"/>
      <c r="IRF31" s="134"/>
      <c r="IRI31" s="134"/>
      <c r="IRL31" s="134"/>
      <c r="IRO31" s="134"/>
      <c r="IRR31" s="134"/>
      <c r="IRU31" s="134"/>
      <c r="IRX31" s="134"/>
      <c r="ISA31" s="134"/>
      <c r="ISD31" s="134"/>
      <c r="ISG31" s="134"/>
      <c r="ISJ31" s="134"/>
      <c r="ISM31" s="134"/>
      <c r="ISP31" s="134"/>
      <c r="ISS31" s="134"/>
      <c r="ISV31" s="134"/>
      <c r="ISY31" s="134"/>
      <c r="ITB31" s="134"/>
      <c r="ITE31" s="134"/>
      <c r="ITH31" s="134"/>
      <c r="ITK31" s="134"/>
      <c r="ITN31" s="134"/>
      <c r="ITQ31" s="134"/>
      <c r="ITT31" s="134"/>
      <c r="ITW31" s="134"/>
      <c r="ITZ31" s="134"/>
      <c r="IUC31" s="134"/>
      <c r="IUF31" s="134"/>
      <c r="IUI31" s="134"/>
      <c r="IUL31" s="134"/>
      <c r="IUO31" s="134"/>
      <c r="IUR31" s="134"/>
      <c r="IUU31" s="134"/>
      <c r="IUX31" s="134"/>
      <c r="IVA31" s="134"/>
      <c r="IVD31" s="134"/>
      <c r="IVG31" s="134"/>
      <c r="IVJ31" s="134"/>
      <c r="IVM31" s="134"/>
      <c r="IVP31" s="134"/>
      <c r="IVS31" s="134"/>
      <c r="IVV31" s="134"/>
      <c r="IVY31" s="134"/>
      <c r="IWB31" s="134"/>
      <c r="IWE31" s="134"/>
      <c r="IWH31" s="134"/>
      <c r="IWK31" s="134"/>
      <c r="IWN31" s="134"/>
      <c r="IWQ31" s="134"/>
      <c r="IWT31" s="134"/>
      <c r="IWW31" s="134"/>
      <c r="IWZ31" s="134"/>
      <c r="IXC31" s="134"/>
      <c r="IXF31" s="134"/>
      <c r="IXI31" s="134"/>
      <c r="IXL31" s="134"/>
      <c r="IXO31" s="134"/>
      <c r="IXR31" s="134"/>
      <c r="IXU31" s="134"/>
      <c r="IXX31" s="134"/>
      <c r="IYA31" s="134"/>
      <c r="IYD31" s="134"/>
      <c r="IYG31" s="134"/>
      <c r="IYJ31" s="134"/>
      <c r="IYM31" s="134"/>
      <c r="IYP31" s="134"/>
      <c r="IYS31" s="134"/>
      <c r="IYV31" s="134"/>
      <c r="IYY31" s="134"/>
      <c r="IZB31" s="134"/>
      <c r="IZE31" s="134"/>
      <c r="IZH31" s="134"/>
      <c r="IZK31" s="134"/>
      <c r="IZN31" s="134"/>
      <c r="IZQ31" s="134"/>
      <c r="IZT31" s="134"/>
      <c r="IZW31" s="134"/>
      <c r="IZZ31" s="134"/>
      <c r="JAC31" s="134"/>
      <c r="JAF31" s="134"/>
      <c r="JAI31" s="134"/>
      <c r="JAL31" s="134"/>
      <c r="JAO31" s="134"/>
      <c r="JAR31" s="134"/>
      <c r="JAU31" s="134"/>
      <c r="JAX31" s="134"/>
      <c r="JBA31" s="134"/>
      <c r="JBD31" s="134"/>
      <c r="JBG31" s="134"/>
      <c r="JBJ31" s="134"/>
      <c r="JBM31" s="134"/>
      <c r="JBP31" s="134"/>
      <c r="JBS31" s="134"/>
      <c r="JBV31" s="134"/>
      <c r="JBY31" s="134"/>
      <c r="JCB31" s="134"/>
      <c r="JCE31" s="134"/>
      <c r="JCH31" s="134"/>
      <c r="JCK31" s="134"/>
      <c r="JCN31" s="134"/>
      <c r="JCQ31" s="134"/>
      <c r="JCT31" s="134"/>
      <c r="JCW31" s="134"/>
      <c r="JCZ31" s="134"/>
      <c r="JDC31" s="134"/>
      <c r="JDF31" s="134"/>
      <c r="JDI31" s="134"/>
      <c r="JDL31" s="134"/>
      <c r="JDO31" s="134"/>
      <c r="JDR31" s="134"/>
      <c r="JDU31" s="134"/>
      <c r="JDX31" s="134"/>
      <c r="JEA31" s="134"/>
      <c r="JED31" s="134"/>
      <c r="JEG31" s="134"/>
      <c r="JEJ31" s="134"/>
      <c r="JEM31" s="134"/>
      <c r="JEP31" s="134"/>
      <c r="JES31" s="134"/>
      <c r="JEV31" s="134"/>
      <c r="JEY31" s="134"/>
      <c r="JFB31" s="134"/>
      <c r="JFE31" s="134"/>
      <c r="JFH31" s="134"/>
      <c r="JFK31" s="134"/>
      <c r="JFN31" s="134"/>
      <c r="JFQ31" s="134"/>
      <c r="JFT31" s="134"/>
      <c r="JFW31" s="134"/>
      <c r="JFZ31" s="134"/>
      <c r="JGC31" s="134"/>
      <c r="JGF31" s="134"/>
      <c r="JGI31" s="134"/>
      <c r="JGL31" s="134"/>
      <c r="JGO31" s="134"/>
      <c r="JGR31" s="134"/>
      <c r="JGU31" s="134"/>
      <c r="JGX31" s="134"/>
      <c r="JHA31" s="134"/>
      <c r="JHD31" s="134"/>
      <c r="JHG31" s="134"/>
      <c r="JHJ31" s="134"/>
      <c r="JHM31" s="134"/>
      <c r="JHP31" s="134"/>
      <c r="JHS31" s="134"/>
      <c r="JHV31" s="134"/>
      <c r="JHY31" s="134"/>
      <c r="JIB31" s="134"/>
      <c r="JIE31" s="134"/>
      <c r="JIH31" s="134"/>
      <c r="JIK31" s="134"/>
      <c r="JIN31" s="134"/>
      <c r="JIQ31" s="134"/>
      <c r="JIT31" s="134"/>
      <c r="JIW31" s="134"/>
      <c r="JIZ31" s="134"/>
      <c r="JJC31" s="134"/>
      <c r="JJF31" s="134"/>
      <c r="JJI31" s="134"/>
      <c r="JJL31" s="134"/>
      <c r="JJO31" s="134"/>
      <c r="JJR31" s="134"/>
      <c r="JJU31" s="134"/>
      <c r="JJX31" s="134"/>
      <c r="JKA31" s="134"/>
      <c r="JKD31" s="134"/>
      <c r="JKG31" s="134"/>
      <c r="JKJ31" s="134"/>
      <c r="JKM31" s="134"/>
      <c r="JKP31" s="134"/>
      <c r="JKS31" s="134"/>
      <c r="JKV31" s="134"/>
      <c r="JKY31" s="134"/>
      <c r="JLB31" s="134"/>
      <c r="JLE31" s="134"/>
      <c r="JLH31" s="134"/>
      <c r="JLK31" s="134"/>
      <c r="JLN31" s="134"/>
      <c r="JLQ31" s="134"/>
      <c r="JLT31" s="134"/>
      <c r="JLW31" s="134"/>
      <c r="JLZ31" s="134"/>
      <c r="JMC31" s="134"/>
      <c r="JMF31" s="134"/>
      <c r="JMI31" s="134"/>
      <c r="JML31" s="134"/>
      <c r="JMO31" s="134"/>
      <c r="JMR31" s="134"/>
      <c r="JMU31" s="134"/>
      <c r="JMX31" s="134"/>
      <c r="JNA31" s="134"/>
      <c r="JND31" s="134"/>
      <c r="JNG31" s="134"/>
      <c r="JNJ31" s="134"/>
      <c r="JNM31" s="134"/>
      <c r="JNP31" s="134"/>
      <c r="JNS31" s="134"/>
      <c r="JNV31" s="134"/>
      <c r="JNY31" s="134"/>
      <c r="JOB31" s="134"/>
      <c r="JOE31" s="134"/>
      <c r="JOH31" s="134"/>
      <c r="JOK31" s="134"/>
      <c r="JON31" s="134"/>
      <c r="JOQ31" s="134"/>
      <c r="JOT31" s="134"/>
      <c r="JOW31" s="134"/>
      <c r="JOZ31" s="134"/>
      <c r="JPC31" s="134"/>
      <c r="JPF31" s="134"/>
      <c r="JPI31" s="134"/>
      <c r="JPL31" s="134"/>
      <c r="JPO31" s="134"/>
      <c r="JPR31" s="134"/>
      <c r="JPU31" s="134"/>
      <c r="JPX31" s="134"/>
      <c r="JQA31" s="134"/>
      <c r="JQD31" s="134"/>
      <c r="JQG31" s="134"/>
      <c r="JQJ31" s="134"/>
      <c r="JQM31" s="134"/>
      <c r="JQP31" s="134"/>
      <c r="JQS31" s="134"/>
      <c r="JQV31" s="134"/>
      <c r="JQY31" s="134"/>
      <c r="JRB31" s="134"/>
      <c r="JRE31" s="134"/>
      <c r="JRH31" s="134"/>
      <c r="JRK31" s="134"/>
      <c r="JRN31" s="134"/>
      <c r="JRQ31" s="134"/>
      <c r="JRT31" s="134"/>
      <c r="JRW31" s="134"/>
      <c r="JRZ31" s="134"/>
      <c r="JSC31" s="134"/>
      <c r="JSF31" s="134"/>
      <c r="JSI31" s="134"/>
      <c r="JSL31" s="134"/>
      <c r="JSO31" s="134"/>
      <c r="JSR31" s="134"/>
      <c r="JSU31" s="134"/>
      <c r="JSX31" s="134"/>
      <c r="JTA31" s="134"/>
      <c r="JTD31" s="134"/>
      <c r="JTG31" s="134"/>
      <c r="JTJ31" s="134"/>
      <c r="JTM31" s="134"/>
      <c r="JTP31" s="134"/>
      <c r="JTS31" s="134"/>
      <c r="JTV31" s="134"/>
      <c r="JTY31" s="134"/>
      <c r="JUB31" s="134"/>
      <c r="JUE31" s="134"/>
      <c r="JUH31" s="134"/>
      <c r="JUK31" s="134"/>
      <c r="JUN31" s="134"/>
      <c r="JUQ31" s="134"/>
      <c r="JUT31" s="134"/>
      <c r="JUW31" s="134"/>
      <c r="JUZ31" s="134"/>
      <c r="JVC31" s="134"/>
      <c r="JVF31" s="134"/>
      <c r="JVI31" s="134"/>
      <c r="JVL31" s="134"/>
      <c r="JVO31" s="134"/>
      <c r="JVR31" s="134"/>
      <c r="JVU31" s="134"/>
      <c r="JVX31" s="134"/>
      <c r="JWA31" s="134"/>
      <c r="JWD31" s="134"/>
      <c r="JWG31" s="134"/>
      <c r="JWJ31" s="134"/>
      <c r="JWM31" s="134"/>
      <c r="JWP31" s="134"/>
      <c r="JWS31" s="134"/>
      <c r="JWV31" s="134"/>
      <c r="JWY31" s="134"/>
      <c r="JXB31" s="134"/>
      <c r="JXE31" s="134"/>
      <c r="JXH31" s="134"/>
      <c r="JXK31" s="134"/>
      <c r="JXN31" s="134"/>
      <c r="JXQ31" s="134"/>
      <c r="JXT31" s="134"/>
      <c r="JXW31" s="134"/>
      <c r="JXZ31" s="134"/>
      <c r="JYC31" s="134"/>
      <c r="JYF31" s="134"/>
      <c r="JYI31" s="134"/>
      <c r="JYL31" s="134"/>
      <c r="JYO31" s="134"/>
      <c r="JYR31" s="134"/>
      <c r="JYU31" s="134"/>
      <c r="JYX31" s="134"/>
      <c r="JZA31" s="134"/>
      <c r="JZD31" s="134"/>
      <c r="JZG31" s="134"/>
      <c r="JZJ31" s="134"/>
      <c r="JZM31" s="134"/>
      <c r="JZP31" s="134"/>
      <c r="JZS31" s="134"/>
      <c r="JZV31" s="134"/>
      <c r="JZY31" s="134"/>
      <c r="KAB31" s="134"/>
      <c r="KAE31" s="134"/>
      <c r="KAH31" s="134"/>
      <c r="KAK31" s="134"/>
      <c r="KAN31" s="134"/>
      <c r="KAQ31" s="134"/>
      <c r="KAT31" s="134"/>
      <c r="KAW31" s="134"/>
      <c r="KAZ31" s="134"/>
      <c r="KBC31" s="134"/>
      <c r="KBF31" s="134"/>
      <c r="KBI31" s="134"/>
      <c r="KBL31" s="134"/>
      <c r="KBO31" s="134"/>
      <c r="KBR31" s="134"/>
      <c r="KBU31" s="134"/>
      <c r="KBX31" s="134"/>
      <c r="KCA31" s="134"/>
      <c r="KCD31" s="134"/>
      <c r="KCG31" s="134"/>
      <c r="KCJ31" s="134"/>
      <c r="KCM31" s="134"/>
      <c r="KCP31" s="134"/>
      <c r="KCS31" s="134"/>
      <c r="KCV31" s="134"/>
      <c r="KCY31" s="134"/>
      <c r="KDB31" s="134"/>
      <c r="KDE31" s="134"/>
      <c r="KDH31" s="134"/>
      <c r="KDK31" s="134"/>
      <c r="KDN31" s="134"/>
      <c r="KDQ31" s="134"/>
      <c r="KDT31" s="134"/>
      <c r="KDW31" s="134"/>
      <c r="KDZ31" s="134"/>
      <c r="KEC31" s="134"/>
      <c r="KEF31" s="134"/>
      <c r="KEI31" s="134"/>
      <c r="KEL31" s="134"/>
      <c r="KEO31" s="134"/>
      <c r="KER31" s="134"/>
      <c r="KEU31" s="134"/>
      <c r="KEX31" s="134"/>
      <c r="KFA31" s="134"/>
      <c r="KFD31" s="134"/>
      <c r="KFG31" s="134"/>
      <c r="KFJ31" s="134"/>
      <c r="KFM31" s="134"/>
      <c r="KFP31" s="134"/>
      <c r="KFS31" s="134"/>
      <c r="KFV31" s="134"/>
      <c r="KFY31" s="134"/>
      <c r="KGB31" s="134"/>
      <c r="KGE31" s="134"/>
      <c r="KGH31" s="134"/>
      <c r="KGK31" s="134"/>
      <c r="KGN31" s="134"/>
      <c r="KGQ31" s="134"/>
      <c r="KGT31" s="134"/>
      <c r="KGW31" s="134"/>
      <c r="KGZ31" s="134"/>
      <c r="KHC31" s="134"/>
      <c r="KHF31" s="134"/>
      <c r="KHI31" s="134"/>
      <c r="KHL31" s="134"/>
      <c r="KHO31" s="134"/>
      <c r="KHR31" s="134"/>
      <c r="KHU31" s="134"/>
      <c r="KHX31" s="134"/>
      <c r="KIA31" s="134"/>
      <c r="KID31" s="134"/>
      <c r="KIG31" s="134"/>
      <c r="KIJ31" s="134"/>
      <c r="KIM31" s="134"/>
      <c r="KIP31" s="134"/>
      <c r="KIS31" s="134"/>
      <c r="KIV31" s="134"/>
      <c r="KIY31" s="134"/>
      <c r="KJB31" s="134"/>
      <c r="KJE31" s="134"/>
      <c r="KJH31" s="134"/>
      <c r="KJK31" s="134"/>
      <c r="KJN31" s="134"/>
      <c r="KJQ31" s="134"/>
      <c r="KJT31" s="134"/>
      <c r="KJW31" s="134"/>
      <c r="KJZ31" s="134"/>
      <c r="KKC31" s="134"/>
      <c r="KKF31" s="134"/>
      <c r="KKI31" s="134"/>
      <c r="KKL31" s="134"/>
      <c r="KKO31" s="134"/>
      <c r="KKR31" s="134"/>
      <c r="KKU31" s="134"/>
      <c r="KKX31" s="134"/>
      <c r="KLA31" s="134"/>
      <c r="KLD31" s="134"/>
      <c r="KLG31" s="134"/>
      <c r="KLJ31" s="134"/>
      <c r="KLM31" s="134"/>
      <c r="KLP31" s="134"/>
      <c r="KLS31" s="134"/>
      <c r="KLV31" s="134"/>
      <c r="KLY31" s="134"/>
      <c r="KMB31" s="134"/>
      <c r="KME31" s="134"/>
      <c r="KMH31" s="134"/>
      <c r="KMK31" s="134"/>
      <c r="KMN31" s="134"/>
      <c r="KMQ31" s="134"/>
      <c r="KMT31" s="134"/>
      <c r="KMW31" s="134"/>
      <c r="KMZ31" s="134"/>
      <c r="KNC31" s="134"/>
      <c r="KNF31" s="134"/>
      <c r="KNI31" s="134"/>
      <c r="KNL31" s="134"/>
      <c r="KNO31" s="134"/>
      <c r="KNR31" s="134"/>
      <c r="KNU31" s="134"/>
      <c r="KNX31" s="134"/>
      <c r="KOA31" s="134"/>
      <c r="KOD31" s="134"/>
      <c r="KOG31" s="134"/>
      <c r="KOJ31" s="134"/>
      <c r="KOM31" s="134"/>
      <c r="KOP31" s="134"/>
      <c r="KOS31" s="134"/>
      <c r="KOV31" s="134"/>
      <c r="KOY31" s="134"/>
      <c r="KPB31" s="134"/>
      <c r="KPE31" s="134"/>
      <c r="KPH31" s="134"/>
      <c r="KPK31" s="134"/>
      <c r="KPN31" s="134"/>
      <c r="KPQ31" s="134"/>
      <c r="KPT31" s="134"/>
      <c r="KPW31" s="134"/>
      <c r="KPZ31" s="134"/>
      <c r="KQC31" s="134"/>
      <c r="KQF31" s="134"/>
      <c r="KQI31" s="134"/>
      <c r="KQL31" s="134"/>
      <c r="KQO31" s="134"/>
      <c r="KQR31" s="134"/>
      <c r="KQU31" s="134"/>
      <c r="KQX31" s="134"/>
      <c r="KRA31" s="134"/>
      <c r="KRD31" s="134"/>
      <c r="KRG31" s="134"/>
      <c r="KRJ31" s="134"/>
      <c r="KRM31" s="134"/>
      <c r="KRP31" s="134"/>
      <c r="KRS31" s="134"/>
      <c r="KRV31" s="134"/>
      <c r="KRY31" s="134"/>
      <c r="KSB31" s="134"/>
      <c r="KSE31" s="134"/>
      <c r="KSH31" s="134"/>
      <c r="KSK31" s="134"/>
      <c r="KSN31" s="134"/>
      <c r="KSQ31" s="134"/>
      <c r="KST31" s="134"/>
      <c r="KSW31" s="134"/>
      <c r="KSZ31" s="134"/>
      <c r="KTC31" s="134"/>
      <c r="KTF31" s="134"/>
      <c r="KTI31" s="134"/>
      <c r="KTL31" s="134"/>
      <c r="KTO31" s="134"/>
      <c r="KTR31" s="134"/>
      <c r="KTU31" s="134"/>
      <c r="KTX31" s="134"/>
      <c r="KUA31" s="134"/>
      <c r="KUD31" s="134"/>
      <c r="KUG31" s="134"/>
      <c r="KUJ31" s="134"/>
      <c r="KUM31" s="134"/>
      <c r="KUP31" s="134"/>
      <c r="KUS31" s="134"/>
      <c r="KUV31" s="134"/>
      <c r="KUY31" s="134"/>
      <c r="KVB31" s="134"/>
      <c r="KVE31" s="134"/>
      <c r="KVH31" s="134"/>
      <c r="KVK31" s="134"/>
      <c r="KVN31" s="134"/>
      <c r="KVQ31" s="134"/>
      <c r="KVT31" s="134"/>
      <c r="KVW31" s="134"/>
      <c r="KVZ31" s="134"/>
      <c r="KWC31" s="134"/>
      <c r="KWF31" s="134"/>
      <c r="KWI31" s="134"/>
      <c r="KWL31" s="134"/>
      <c r="KWO31" s="134"/>
      <c r="KWR31" s="134"/>
      <c r="KWU31" s="134"/>
      <c r="KWX31" s="134"/>
      <c r="KXA31" s="134"/>
      <c r="KXD31" s="134"/>
      <c r="KXG31" s="134"/>
      <c r="KXJ31" s="134"/>
      <c r="KXM31" s="134"/>
      <c r="KXP31" s="134"/>
      <c r="KXS31" s="134"/>
      <c r="KXV31" s="134"/>
      <c r="KXY31" s="134"/>
      <c r="KYB31" s="134"/>
      <c r="KYE31" s="134"/>
      <c r="KYH31" s="134"/>
      <c r="KYK31" s="134"/>
      <c r="KYN31" s="134"/>
      <c r="KYQ31" s="134"/>
      <c r="KYT31" s="134"/>
      <c r="KYW31" s="134"/>
      <c r="KYZ31" s="134"/>
      <c r="KZC31" s="134"/>
      <c r="KZF31" s="134"/>
      <c r="KZI31" s="134"/>
      <c r="KZL31" s="134"/>
      <c r="KZO31" s="134"/>
      <c r="KZR31" s="134"/>
      <c r="KZU31" s="134"/>
      <c r="KZX31" s="134"/>
      <c r="LAA31" s="134"/>
      <c r="LAD31" s="134"/>
      <c r="LAG31" s="134"/>
      <c r="LAJ31" s="134"/>
      <c r="LAM31" s="134"/>
      <c r="LAP31" s="134"/>
      <c r="LAS31" s="134"/>
      <c r="LAV31" s="134"/>
      <c r="LAY31" s="134"/>
      <c r="LBB31" s="134"/>
      <c r="LBE31" s="134"/>
      <c r="LBH31" s="134"/>
      <c r="LBK31" s="134"/>
      <c r="LBN31" s="134"/>
      <c r="LBQ31" s="134"/>
      <c r="LBT31" s="134"/>
      <c r="LBW31" s="134"/>
      <c r="LBZ31" s="134"/>
      <c r="LCC31" s="134"/>
      <c r="LCF31" s="134"/>
      <c r="LCI31" s="134"/>
      <c r="LCL31" s="134"/>
      <c r="LCO31" s="134"/>
      <c r="LCR31" s="134"/>
      <c r="LCU31" s="134"/>
      <c r="LCX31" s="134"/>
      <c r="LDA31" s="134"/>
      <c r="LDD31" s="134"/>
      <c r="LDG31" s="134"/>
      <c r="LDJ31" s="134"/>
      <c r="LDM31" s="134"/>
      <c r="LDP31" s="134"/>
      <c r="LDS31" s="134"/>
      <c r="LDV31" s="134"/>
      <c r="LDY31" s="134"/>
      <c r="LEB31" s="134"/>
      <c r="LEE31" s="134"/>
      <c r="LEH31" s="134"/>
      <c r="LEK31" s="134"/>
      <c r="LEN31" s="134"/>
      <c r="LEQ31" s="134"/>
      <c r="LET31" s="134"/>
      <c r="LEW31" s="134"/>
      <c r="LEZ31" s="134"/>
      <c r="LFC31" s="134"/>
      <c r="LFF31" s="134"/>
      <c r="LFI31" s="134"/>
      <c r="LFL31" s="134"/>
      <c r="LFO31" s="134"/>
      <c r="LFR31" s="134"/>
      <c r="LFU31" s="134"/>
      <c r="LFX31" s="134"/>
      <c r="LGA31" s="134"/>
      <c r="LGD31" s="134"/>
      <c r="LGG31" s="134"/>
      <c r="LGJ31" s="134"/>
      <c r="LGM31" s="134"/>
      <c r="LGP31" s="134"/>
      <c r="LGS31" s="134"/>
      <c r="LGV31" s="134"/>
      <c r="LGY31" s="134"/>
      <c r="LHB31" s="134"/>
      <c r="LHE31" s="134"/>
      <c r="LHH31" s="134"/>
      <c r="LHK31" s="134"/>
      <c r="LHN31" s="134"/>
      <c r="LHQ31" s="134"/>
      <c r="LHT31" s="134"/>
      <c r="LHW31" s="134"/>
      <c r="LHZ31" s="134"/>
      <c r="LIC31" s="134"/>
      <c r="LIF31" s="134"/>
      <c r="LII31" s="134"/>
      <c r="LIL31" s="134"/>
      <c r="LIO31" s="134"/>
      <c r="LIR31" s="134"/>
      <c r="LIU31" s="134"/>
      <c r="LIX31" s="134"/>
      <c r="LJA31" s="134"/>
      <c r="LJD31" s="134"/>
      <c r="LJG31" s="134"/>
      <c r="LJJ31" s="134"/>
      <c r="LJM31" s="134"/>
      <c r="LJP31" s="134"/>
      <c r="LJS31" s="134"/>
      <c r="LJV31" s="134"/>
      <c r="LJY31" s="134"/>
      <c r="LKB31" s="134"/>
      <c r="LKE31" s="134"/>
      <c r="LKH31" s="134"/>
      <c r="LKK31" s="134"/>
      <c r="LKN31" s="134"/>
      <c r="LKQ31" s="134"/>
      <c r="LKT31" s="134"/>
      <c r="LKW31" s="134"/>
      <c r="LKZ31" s="134"/>
      <c r="LLC31" s="134"/>
      <c r="LLF31" s="134"/>
      <c r="LLI31" s="134"/>
      <c r="LLL31" s="134"/>
      <c r="LLO31" s="134"/>
      <c r="LLR31" s="134"/>
      <c r="LLU31" s="134"/>
      <c r="LLX31" s="134"/>
      <c r="LMA31" s="134"/>
      <c r="LMD31" s="134"/>
      <c r="LMG31" s="134"/>
      <c r="LMJ31" s="134"/>
      <c r="LMM31" s="134"/>
      <c r="LMP31" s="134"/>
      <c r="LMS31" s="134"/>
      <c r="LMV31" s="134"/>
      <c r="LMY31" s="134"/>
      <c r="LNB31" s="134"/>
      <c r="LNE31" s="134"/>
      <c r="LNH31" s="134"/>
      <c r="LNK31" s="134"/>
      <c r="LNN31" s="134"/>
      <c r="LNQ31" s="134"/>
      <c r="LNT31" s="134"/>
      <c r="LNW31" s="134"/>
      <c r="LNZ31" s="134"/>
      <c r="LOC31" s="134"/>
      <c r="LOF31" s="134"/>
      <c r="LOI31" s="134"/>
      <c r="LOL31" s="134"/>
      <c r="LOO31" s="134"/>
      <c r="LOR31" s="134"/>
      <c r="LOU31" s="134"/>
      <c r="LOX31" s="134"/>
      <c r="LPA31" s="134"/>
      <c r="LPD31" s="134"/>
      <c r="LPG31" s="134"/>
      <c r="LPJ31" s="134"/>
      <c r="LPM31" s="134"/>
      <c r="LPP31" s="134"/>
      <c r="LPS31" s="134"/>
      <c r="LPV31" s="134"/>
      <c r="LPY31" s="134"/>
      <c r="LQB31" s="134"/>
      <c r="LQE31" s="134"/>
      <c r="LQH31" s="134"/>
      <c r="LQK31" s="134"/>
      <c r="LQN31" s="134"/>
      <c r="LQQ31" s="134"/>
      <c r="LQT31" s="134"/>
      <c r="LQW31" s="134"/>
      <c r="LQZ31" s="134"/>
      <c r="LRC31" s="134"/>
      <c r="LRF31" s="134"/>
      <c r="LRI31" s="134"/>
      <c r="LRL31" s="134"/>
      <c r="LRO31" s="134"/>
      <c r="LRR31" s="134"/>
      <c r="LRU31" s="134"/>
      <c r="LRX31" s="134"/>
      <c r="LSA31" s="134"/>
      <c r="LSD31" s="134"/>
      <c r="LSG31" s="134"/>
      <c r="LSJ31" s="134"/>
      <c r="LSM31" s="134"/>
      <c r="LSP31" s="134"/>
      <c r="LSS31" s="134"/>
      <c r="LSV31" s="134"/>
      <c r="LSY31" s="134"/>
      <c r="LTB31" s="134"/>
      <c r="LTE31" s="134"/>
      <c r="LTH31" s="134"/>
      <c r="LTK31" s="134"/>
      <c r="LTN31" s="134"/>
      <c r="LTQ31" s="134"/>
      <c r="LTT31" s="134"/>
      <c r="LTW31" s="134"/>
      <c r="LTZ31" s="134"/>
      <c r="LUC31" s="134"/>
      <c r="LUF31" s="134"/>
      <c r="LUI31" s="134"/>
      <c r="LUL31" s="134"/>
      <c r="LUO31" s="134"/>
      <c r="LUR31" s="134"/>
      <c r="LUU31" s="134"/>
      <c r="LUX31" s="134"/>
      <c r="LVA31" s="134"/>
      <c r="LVD31" s="134"/>
      <c r="LVG31" s="134"/>
      <c r="LVJ31" s="134"/>
      <c r="LVM31" s="134"/>
      <c r="LVP31" s="134"/>
      <c r="LVS31" s="134"/>
      <c r="LVV31" s="134"/>
      <c r="LVY31" s="134"/>
      <c r="LWB31" s="134"/>
      <c r="LWE31" s="134"/>
      <c r="LWH31" s="134"/>
      <c r="LWK31" s="134"/>
      <c r="LWN31" s="134"/>
      <c r="LWQ31" s="134"/>
      <c r="LWT31" s="134"/>
      <c r="LWW31" s="134"/>
      <c r="LWZ31" s="134"/>
      <c r="LXC31" s="134"/>
      <c r="LXF31" s="134"/>
      <c r="LXI31" s="134"/>
      <c r="LXL31" s="134"/>
      <c r="LXO31" s="134"/>
      <c r="LXR31" s="134"/>
      <c r="LXU31" s="134"/>
      <c r="LXX31" s="134"/>
      <c r="LYA31" s="134"/>
      <c r="LYD31" s="134"/>
      <c r="LYG31" s="134"/>
      <c r="LYJ31" s="134"/>
      <c r="LYM31" s="134"/>
      <c r="LYP31" s="134"/>
      <c r="LYS31" s="134"/>
      <c r="LYV31" s="134"/>
      <c r="LYY31" s="134"/>
      <c r="LZB31" s="134"/>
      <c r="LZE31" s="134"/>
      <c r="LZH31" s="134"/>
      <c r="LZK31" s="134"/>
      <c r="LZN31" s="134"/>
      <c r="LZQ31" s="134"/>
      <c r="LZT31" s="134"/>
      <c r="LZW31" s="134"/>
      <c r="LZZ31" s="134"/>
      <c r="MAC31" s="134"/>
      <c r="MAF31" s="134"/>
      <c r="MAI31" s="134"/>
      <c r="MAL31" s="134"/>
      <c r="MAO31" s="134"/>
      <c r="MAR31" s="134"/>
      <c r="MAU31" s="134"/>
      <c r="MAX31" s="134"/>
      <c r="MBA31" s="134"/>
      <c r="MBD31" s="134"/>
      <c r="MBG31" s="134"/>
      <c r="MBJ31" s="134"/>
      <c r="MBM31" s="134"/>
      <c r="MBP31" s="134"/>
      <c r="MBS31" s="134"/>
      <c r="MBV31" s="134"/>
      <c r="MBY31" s="134"/>
      <c r="MCB31" s="134"/>
      <c r="MCE31" s="134"/>
      <c r="MCH31" s="134"/>
      <c r="MCK31" s="134"/>
      <c r="MCN31" s="134"/>
      <c r="MCQ31" s="134"/>
      <c r="MCT31" s="134"/>
      <c r="MCW31" s="134"/>
      <c r="MCZ31" s="134"/>
      <c r="MDC31" s="134"/>
      <c r="MDF31" s="134"/>
      <c r="MDI31" s="134"/>
      <c r="MDL31" s="134"/>
      <c r="MDO31" s="134"/>
      <c r="MDR31" s="134"/>
      <c r="MDU31" s="134"/>
      <c r="MDX31" s="134"/>
      <c r="MEA31" s="134"/>
      <c r="MED31" s="134"/>
      <c r="MEG31" s="134"/>
      <c r="MEJ31" s="134"/>
      <c r="MEM31" s="134"/>
      <c r="MEP31" s="134"/>
      <c r="MES31" s="134"/>
      <c r="MEV31" s="134"/>
      <c r="MEY31" s="134"/>
      <c r="MFB31" s="134"/>
      <c r="MFE31" s="134"/>
      <c r="MFH31" s="134"/>
      <c r="MFK31" s="134"/>
      <c r="MFN31" s="134"/>
      <c r="MFQ31" s="134"/>
      <c r="MFT31" s="134"/>
      <c r="MFW31" s="134"/>
      <c r="MFZ31" s="134"/>
      <c r="MGC31" s="134"/>
      <c r="MGF31" s="134"/>
      <c r="MGI31" s="134"/>
      <c r="MGL31" s="134"/>
      <c r="MGO31" s="134"/>
      <c r="MGR31" s="134"/>
      <c r="MGU31" s="134"/>
      <c r="MGX31" s="134"/>
      <c r="MHA31" s="134"/>
      <c r="MHD31" s="134"/>
      <c r="MHG31" s="134"/>
      <c r="MHJ31" s="134"/>
      <c r="MHM31" s="134"/>
      <c r="MHP31" s="134"/>
      <c r="MHS31" s="134"/>
      <c r="MHV31" s="134"/>
      <c r="MHY31" s="134"/>
      <c r="MIB31" s="134"/>
      <c r="MIE31" s="134"/>
      <c r="MIH31" s="134"/>
      <c r="MIK31" s="134"/>
      <c r="MIN31" s="134"/>
      <c r="MIQ31" s="134"/>
      <c r="MIT31" s="134"/>
      <c r="MIW31" s="134"/>
      <c r="MIZ31" s="134"/>
      <c r="MJC31" s="134"/>
      <c r="MJF31" s="134"/>
      <c r="MJI31" s="134"/>
      <c r="MJL31" s="134"/>
      <c r="MJO31" s="134"/>
      <c r="MJR31" s="134"/>
      <c r="MJU31" s="134"/>
      <c r="MJX31" s="134"/>
      <c r="MKA31" s="134"/>
      <c r="MKD31" s="134"/>
      <c r="MKG31" s="134"/>
      <c r="MKJ31" s="134"/>
      <c r="MKM31" s="134"/>
      <c r="MKP31" s="134"/>
      <c r="MKS31" s="134"/>
      <c r="MKV31" s="134"/>
      <c r="MKY31" s="134"/>
      <c r="MLB31" s="134"/>
      <c r="MLE31" s="134"/>
      <c r="MLH31" s="134"/>
      <c r="MLK31" s="134"/>
      <c r="MLN31" s="134"/>
      <c r="MLQ31" s="134"/>
      <c r="MLT31" s="134"/>
      <c r="MLW31" s="134"/>
      <c r="MLZ31" s="134"/>
      <c r="MMC31" s="134"/>
      <c r="MMF31" s="134"/>
      <c r="MMI31" s="134"/>
      <c r="MML31" s="134"/>
      <c r="MMO31" s="134"/>
      <c r="MMR31" s="134"/>
      <c r="MMU31" s="134"/>
      <c r="MMX31" s="134"/>
      <c r="MNA31" s="134"/>
      <c r="MND31" s="134"/>
      <c r="MNG31" s="134"/>
      <c r="MNJ31" s="134"/>
      <c r="MNM31" s="134"/>
      <c r="MNP31" s="134"/>
      <c r="MNS31" s="134"/>
      <c r="MNV31" s="134"/>
      <c r="MNY31" s="134"/>
      <c r="MOB31" s="134"/>
      <c r="MOE31" s="134"/>
      <c r="MOH31" s="134"/>
      <c r="MOK31" s="134"/>
      <c r="MON31" s="134"/>
      <c r="MOQ31" s="134"/>
      <c r="MOT31" s="134"/>
      <c r="MOW31" s="134"/>
      <c r="MOZ31" s="134"/>
      <c r="MPC31" s="134"/>
      <c r="MPF31" s="134"/>
      <c r="MPI31" s="134"/>
      <c r="MPL31" s="134"/>
      <c r="MPO31" s="134"/>
      <c r="MPR31" s="134"/>
      <c r="MPU31" s="134"/>
      <c r="MPX31" s="134"/>
      <c r="MQA31" s="134"/>
      <c r="MQD31" s="134"/>
      <c r="MQG31" s="134"/>
      <c r="MQJ31" s="134"/>
      <c r="MQM31" s="134"/>
      <c r="MQP31" s="134"/>
      <c r="MQS31" s="134"/>
      <c r="MQV31" s="134"/>
      <c r="MQY31" s="134"/>
      <c r="MRB31" s="134"/>
      <c r="MRE31" s="134"/>
      <c r="MRH31" s="134"/>
      <c r="MRK31" s="134"/>
      <c r="MRN31" s="134"/>
      <c r="MRQ31" s="134"/>
      <c r="MRT31" s="134"/>
      <c r="MRW31" s="134"/>
      <c r="MRZ31" s="134"/>
      <c r="MSC31" s="134"/>
      <c r="MSF31" s="134"/>
      <c r="MSI31" s="134"/>
      <c r="MSL31" s="134"/>
      <c r="MSO31" s="134"/>
      <c r="MSR31" s="134"/>
      <c r="MSU31" s="134"/>
      <c r="MSX31" s="134"/>
      <c r="MTA31" s="134"/>
      <c r="MTD31" s="134"/>
      <c r="MTG31" s="134"/>
      <c r="MTJ31" s="134"/>
      <c r="MTM31" s="134"/>
      <c r="MTP31" s="134"/>
      <c r="MTS31" s="134"/>
      <c r="MTV31" s="134"/>
      <c r="MTY31" s="134"/>
      <c r="MUB31" s="134"/>
      <c r="MUE31" s="134"/>
      <c r="MUH31" s="134"/>
      <c r="MUK31" s="134"/>
      <c r="MUN31" s="134"/>
      <c r="MUQ31" s="134"/>
      <c r="MUT31" s="134"/>
      <c r="MUW31" s="134"/>
      <c r="MUZ31" s="134"/>
      <c r="MVC31" s="134"/>
      <c r="MVF31" s="134"/>
      <c r="MVI31" s="134"/>
      <c r="MVL31" s="134"/>
      <c r="MVO31" s="134"/>
      <c r="MVR31" s="134"/>
      <c r="MVU31" s="134"/>
      <c r="MVX31" s="134"/>
      <c r="MWA31" s="134"/>
      <c r="MWD31" s="134"/>
      <c r="MWG31" s="134"/>
      <c r="MWJ31" s="134"/>
      <c r="MWM31" s="134"/>
      <c r="MWP31" s="134"/>
      <c r="MWS31" s="134"/>
      <c r="MWV31" s="134"/>
      <c r="MWY31" s="134"/>
      <c r="MXB31" s="134"/>
      <c r="MXE31" s="134"/>
      <c r="MXH31" s="134"/>
      <c r="MXK31" s="134"/>
      <c r="MXN31" s="134"/>
      <c r="MXQ31" s="134"/>
      <c r="MXT31" s="134"/>
      <c r="MXW31" s="134"/>
      <c r="MXZ31" s="134"/>
      <c r="MYC31" s="134"/>
      <c r="MYF31" s="134"/>
      <c r="MYI31" s="134"/>
      <c r="MYL31" s="134"/>
      <c r="MYO31" s="134"/>
      <c r="MYR31" s="134"/>
      <c r="MYU31" s="134"/>
      <c r="MYX31" s="134"/>
      <c r="MZA31" s="134"/>
      <c r="MZD31" s="134"/>
      <c r="MZG31" s="134"/>
      <c r="MZJ31" s="134"/>
      <c r="MZM31" s="134"/>
      <c r="MZP31" s="134"/>
      <c r="MZS31" s="134"/>
      <c r="MZV31" s="134"/>
      <c r="MZY31" s="134"/>
      <c r="NAB31" s="134"/>
      <c r="NAE31" s="134"/>
      <c r="NAH31" s="134"/>
      <c r="NAK31" s="134"/>
      <c r="NAN31" s="134"/>
      <c r="NAQ31" s="134"/>
      <c r="NAT31" s="134"/>
      <c r="NAW31" s="134"/>
      <c r="NAZ31" s="134"/>
      <c r="NBC31" s="134"/>
      <c r="NBF31" s="134"/>
      <c r="NBI31" s="134"/>
      <c r="NBL31" s="134"/>
      <c r="NBO31" s="134"/>
      <c r="NBR31" s="134"/>
      <c r="NBU31" s="134"/>
      <c r="NBX31" s="134"/>
      <c r="NCA31" s="134"/>
      <c r="NCD31" s="134"/>
      <c r="NCG31" s="134"/>
      <c r="NCJ31" s="134"/>
      <c r="NCM31" s="134"/>
      <c r="NCP31" s="134"/>
      <c r="NCS31" s="134"/>
      <c r="NCV31" s="134"/>
      <c r="NCY31" s="134"/>
      <c r="NDB31" s="134"/>
      <c r="NDE31" s="134"/>
      <c r="NDH31" s="134"/>
      <c r="NDK31" s="134"/>
      <c r="NDN31" s="134"/>
      <c r="NDQ31" s="134"/>
      <c r="NDT31" s="134"/>
      <c r="NDW31" s="134"/>
      <c r="NDZ31" s="134"/>
      <c r="NEC31" s="134"/>
      <c r="NEF31" s="134"/>
      <c r="NEI31" s="134"/>
      <c r="NEL31" s="134"/>
      <c r="NEO31" s="134"/>
      <c r="NER31" s="134"/>
      <c r="NEU31" s="134"/>
      <c r="NEX31" s="134"/>
      <c r="NFA31" s="134"/>
      <c r="NFD31" s="134"/>
      <c r="NFG31" s="134"/>
      <c r="NFJ31" s="134"/>
      <c r="NFM31" s="134"/>
      <c r="NFP31" s="134"/>
      <c r="NFS31" s="134"/>
      <c r="NFV31" s="134"/>
      <c r="NFY31" s="134"/>
      <c r="NGB31" s="134"/>
      <c r="NGE31" s="134"/>
      <c r="NGH31" s="134"/>
      <c r="NGK31" s="134"/>
      <c r="NGN31" s="134"/>
      <c r="NGQ31" s="134"/>
      <c r="NGT31" s="134"/>
      <c r="NGW31" s="134"/>
      <c r="NGZ31" s="134"/>
      <c r="NHC31" s="134"/>
      <c r="NHF31" s="134"/>
      <c r="NHI31" s="134"/>
      <c r="NHL31" s="134"/>
      <c r="NHO31" s="134"/>
      <c r="NHR31" s="134"/>
      <c r="NHU31" s="134"/>
      <c r="NHX31" s="134"/>
      <c r="NIA31" s="134"/>
      <c r="NID31" s="134"/>
      <c r="NIG31" s="134"/>
      <c r="NIJ31" s="134"/>
      <c r="NIM31" s="134"/>
      <c r="NIP31" s="134"/>
      <c r="NIS31" s="134"/>
      <c r="NIV31" s="134"/>
      <c r="NIY31" s="134"/>
      <c r="NJB31" s="134"/>
      <c r="NJE31" s="134"/>
      <c r="NJH31" s="134"/>
      <c r="NJK31" s="134"/>
      <c r="NJN31" s="134"/>
      <c r="NJQ31" s="134"/>
      <c r="NJT31" s="134"/>
      <c r="NJW31" s="134"/>
      <c r="NJZ31" s="134"/>
      <c r="NKC31" s="134"/>
      <c r="NKF31" s="134"/>
      <c r="NKI31" s="134"/>
      <c r="NKL31" s="134"/>
      <c r="NKO31" s="134"/>
      <c r="NKR31" s="134"/>
      <c r="NKU31" s="134"/>
      <c r="NKX31" s="134"/>
      <c r="NLA31" s="134"/>
      <c r="NLD31" s="134"/>
      <c r="NLG31" s="134"/>
      <c r="NLJ31" s="134"/>
      <c r="NLM31" s="134"/>
      <c r="NLP31" s="134"/>
      <c r="NLS31" s="134"/>
      <c r="NLV31" s="134"/>
      <c r="NLY31" s="134"/>
      <c r="NMB31" s="134"/>
      <c r="NME31" s="134"/>
      <c r="NMH31" s="134"/>
      <c r="NMK31" s="134"/>
      <c r="NMN31" s="134"/>
      <c r="NMQ31" s="134"/>
      <c r="NMT31" s="134"/>
      <c r="NMW31" s="134"/>
      <c r="NMZ31" s="134"/>
      <c r="NNC31" s="134"/>
      <c r="NNF31" s="134"/>
      <c r="NNI31" s="134"/>
      <c r="NNL31" s="134"/>
      <c r="NNO31" s="134"/>
      <c r="NNR31" s="134"/>
      <c r="NNU31" s="134"/>
      <c r="NNX31" s="134"/>
      <c r="NOA31" s="134"/>
      <c r="NOD31" s="134"/>
      <c r="NOG31" s="134"/>
      <c r="NOJ31" s="134"/>
      <c r="NOM31" s="134"/>
      <c r="NOP31" s="134"/>
      <c r="NOS31" s="134"/>
      <c r="NOV31" s="134"/>
      <c r="NOY31" s="134"/>
      <c r="NPB31" s="134"/>
      <c r="NPE31" s="134"/>
      <c r="NPH31" s="134"/>
      <c r="NPK31" s="134"/>
      <c r="NPN31" s="134"/>
      <c r="NPQ31" s="134"/>
      <c r="NPT31" s="134"/>
      <c r="NPW31" s="134"/>
      <c r="NPZ31" s="134"/>
      <c r="NQC31" s="134"/>
      <c r="NQF31" s="134"/>
      <c r="NQI31" s="134"/>
      <c r="NQL31" s="134"/>
      <c r="NQO31" s="134"/>
      <c r="NQR31" s="134"/>
      <c r="NQU31" s="134"/>
      <c r="NQX31" s="134"/>
      <c r="NRA31" s="134"/>
      <c r="NRD31" s="134"/>
      <c r="NRG31" s="134"/>
      <c r="NRJ31" s="134"/>
      <c r="NRM31" s="134"/>
      <c r="NRP31" s="134"/>
      <c r="NRS31" s="134"/>
      <c r="NRV31" s="134"/>
      <c r="NRY31" s="134"/>
      <c r="NSB31" s="134"/>
      <c r="NSE31" s="134"/>
      <c r="NSH31" s="134"/>
      <c r="NSK31" s="134"/>
      <c r="NSN31" s="134"/>
      <c r="NSQ31" s="134"/>
      <c r="NST31" s="134"/>
      <c r="NSW31" s="134"/>
      <c r="NSZ31" s="134"/>
      <c r="NTC31" s="134"/>
      <c r="NTF31" s="134"/>
      <c r="NTI31" s="134"/>
      <c r="NTL31" s="134"/>
      <c r="NTO31" s="134"/>
      <c r="NTR31" s="134"/>
      <c r="NTU31" s="134"/>
      <c r="NTX31" s="134"/>
      <c r="NUA31" s="134"/>
      <c r="NUD31" s="134"/>
      <c r="NUG31" s="134"/>
      <c r="NUJ31" s="134"/>
      <c r="NUM31" s="134"/>
      <c r="NUP31" s="134"/>
      <c r="NUS31" s="134"/>
      <c r="NUV31" s="134"/>
      <c r="NUY31" s="134"/>
      <c r="NVB31" s="134"/>
      <c r="NVE31" s="134"/>
      <c r="NVH31" s="134"/>
      <c r="NVK31" s="134"/>
      <c r="NVN31" s="134"/>
      <c r="NVQ31" s="134"/>
      <c r="NVT31" s="134"/>
      <c r="NVW31" s="134"/>
      <c r="NVZ31" s="134"/>
      <c r="NWC31" s="134"/>
      <c r="NWF31" s="134"/>
      <c r="NWI31" s="134"/>
      <c r="NWL31" s="134"/>
      <c r="NWO31" s="134"/>
      <c r="NWR31" s="134"/>
      <c r="NWU31" s="134"/>
      <c r="NWX31" s="134"/>
      <c r="NXA31" s="134"/>
      <c r="NXD31" s="134"/>
      <c r="NXG31" s="134"/>
      <c r="NXJ31" s="134"/>
      <c r="NXM31" s="134"/>
      <c r="NXP31" s="134"/>
      <c r="NXS31" s="134"/>
      <c r="NXV31" s="134"/>
      <c r="NXY31" s="134"/>
      <c r="NYB31" s="134"/>
      <c r="NYE31" s="134"/>
      <c r="NYH31" s="134"/>
      <c r="NYK31" s="134"/>
      <c r="NYN31" s="134"/>
      <c r="NYQ31" s="134"/>
      <c r="NYT31" s="134"/>
      <c r="NYW31" s="134"/>
      <c r="NYZ31" s="134"/>
      <c r="NZC31" s="134"/>
      <c r="NZF31" s="134"/>
      <c r="NZI31" s="134"/>
      <c r="NZL31" s="134"/>
      <c r="NZO31" s="134"/>
      <c r="NZR31" s="134"/>
      <c r="NZU31" s="134"/>
      <c r="NZX31" s="134"/>
      <c r="OAA31" s="134"/>
      <c r="OAD31" s="134"/>
      <c r="OAG31" s="134"/>
      <c r="OAJ31" s="134"/>
      <c r="OAM31" s="134"/>
      <c r="OAP31" s="134"/>
      <c r="OAS31" s="134"/>
      <c r="OAV31" s="134"/>
      <c r="OAY31" s="134"/>
      <c r="OBB31" s="134"/>
      <c r="OBE31" s="134"/>
      <c r="OBH31" s="134"/>
      <c r="OBK31" s="134"/>
      <c r="OBN31" s="134"/>
      <c r="OBQ31" s="134"/>
      <c r="OBT31" s="134"/>
      <c r="OBW31" s="134"/>
      <c r="OBZ31" s="134"/>
      <c r="OCC31" s="134"/>
      <c r="OCF31" s="134"/>
      <c r="OCI31" s="134"/>
      <c r="OCL31" s="134"/>
      <c r="OCO31" s="134"/>
      <c r="OCR31" s="134"/>
      <c r="OCU31" s="134"/>
      <c r="OCX31" s="134"/>
      <c r="ODA31" s="134"/>
      <c r="ODD31" s="134"/>
      <c r="ODG31" s="134"/>
      <c r="ODJ31" s="134"/>
      <c r="ODM31" s="134"/>
      <c r="ODP31" s="134"/>
      <c r="ODS31" s="134"/>
      <c r="ODV31" s="134"/>
      <c r="ODY31" s="134"/>
      <c r="OEB31" s="134"/>
      <c r="OEE31" s="134"/>
      <c r="OEH31" s="134"/>
      <c r="OEK31" s="134"/>
      <c r="OEN31" s="134"/>
      <c r="OEQ31" s="134"/>
      <c r="OET31" s="134"/>
      <c r="OEW31" s="134"/>
      <c r="OEZ31" s="134"/>
      <c r="OFC31" s="134"/>
      <c r="OFF31" s="134"/>
      <c r="OFI31" s="134"/>
      <c r="OFL31" s="134"/>
      <c r="OFO31" s="134"/>
      <c r="OFR31" s="134"/>
      <c r="OFU31" s="134"/>
      <c r="OFX31" s="134"/>
      <c r="OGA31" s="134"/>
      <c r="OGD31" s="134"/>
      <c r="OGG31" s="134"/>
      <c r="OGJ31" s="134"/>
      <c r="OGM31" s="134"/>
      <c r="OGP31" s="134"/>
      <c r="OGS31" s="134"/>
      <c r="OGV31" s="134"/>
      <c r="OGY31" s="134"/>
      <c r="OHB31" s="134"/>
      <c r="OHE31" s="134"/>
      <c r="OHH31" s="134"/>
      <c r="OHK31" s="134"/>
      <c r="OHN31" s="134"/>
      <c r="OHQ31" s="134"/>
      <c r="OHT31" s="134"/>
      <c r="OHW31" s="134"/>
      <c r="OHZ31" s="134"/>
      <c r="OIC31" s="134"/>
      <c r="OIF31" s="134"/>
      <c r="OII31" s="134"/>
      <c r="OIL31" s="134"/>
      <c r="OIO31" s="134"/>
      <c r="OIR31" s="134"/>
      <c r="OIU31" s="134"/>
      <c r="OIX31" s="134"/>
      <c r="OJA31" s="134"/>
      <c r="OJD31" s="134"/>
      <c r="OJG31" s="134"/>
      <c r="OJJ31" s="134"/>
      <c r="OJM31" s="134"/>
      <c r="OJP31" s="134"/>
      <c r="OJS31" s="134"/>
      <c r="OJV31" s="134"/>
      <c r="OJY31" s="134"/>
      <c r="OKB31" s="134"/>
      <c r="OKE31" s="134"/>
      <c r="OKH31" s="134"/>
      <c r="OKK31" s="134"/>
      <c r="OKN31" s="134"/>
      <c r="OKQ31" s="134"/>
      <c r="OKT31" s="134"/>
      <c r="OKW31" s="134"/>
      <c r="OKZ31" s="134"/>
      <c r="OLC31" s="134"/>
      <c r="OLF31" s="134"/>
      <c r="OLI31" s="134"/>
      <c r="OLL31" s="134"/>
      <c r="OLO31" s="134"/>
      <c r="OLR31" s="134"/>
      <c r="OLU31" s="134"/>
      <c r="OLX31" s="134"/>
      <c r="OMA31" s="134"/>
      <c r="OMD31" s="134"/>
      <c r="OMG31" s="134"/>
      <c r="OMJ31" s="134"/>
      <c r="OMM31" s="134"/>
      <c r="OMP31" s="134"/>
      <c r="OMS31" s="134"/>
      <c r="OMV31" s="134"/>
      <c r="OMY31" s="134"/>
      <c r="ONB31" s="134"/>
      <c r="ONE31" s="134"/>
      <c r="ONH31" s="134"/>
      <c r="ONK31" s="134"/>
      <c r="ONN31" s="134"/>
      <c r="ONQ31" s="134"/>
      <c r="ONT31" s="134"/>
      <c r="ONW31" s="134"/>
      <c r="ONZ31" s="134"/>
      <c r="OOC31" s="134"/>
      <c r="OOF31" s="134"/>
      <c r="OOI31" s="134"/>
      <c r="OOL31" s="134"/>
      <c r="OOO31" s="134"/>
      <c r="OOR31" s="134"/>
      <c r="OOU31" s="134"/>
      <c r="OOX31" s="134"/>
      <c r="OPA31" s="134"/>
      <c r="OPD31" s="134"/>
      <c r="OPG31" s="134"/>
      <c r="OPJ31" s="134"/>
      <c r="OPM31" s="134"/>
      <c r="OPP31" s="134"/>
      <c r="OPS31" s="134"/>
      <c r="OPV31" s="134"/>
      <c r="OPY31" s="134"/>
      <c r="OQB31" s="134"/>
      <c r="OQE31" s="134"/>
      <c r="OQH31" s="134"/>
      <c r="OQK31" s="134"/>
      <c r="OQN31" s="134"/>
      <c r="OQQ31" s="134"/>
      <c r="OQT31" s="134"/>
      <c r="OQW31" s="134"/>
      <c r="OQZ31" s="134"/>
      <c r="ORC31" s="134"/>
      <c r="ORF31" s="134"/>
      <c r="ORI31" s="134"/>
      <c r="ORL31" s="134"/>
      <c r="ORO31" s="134"/>
      <c r="ORR31" s="134"/>
      <c r="ORU31" s="134"/>
      <c r="ORX31" s="134"/>
      <c r="OSA31" s="134"/>
      <c r="OSD31" s="134"/>
      <c r="OSG31" s="134"/>
      <c r="OSJ31" s="134"/>
      <c r="OSM31" s="134"/>
      <c r="OSP31" s="134"/>
      <c r="OSS31" s="134"/>
      <c r="OSV31" s="134"/>
      <c r="OSY31" s="134"/>
      <c r="OTB31" s="134"/>
      <c r="OTE31" s="134"/>
      <c r="OTH31" s="134"/>
      <c r="OTK31" s="134"/>
      <c r="OTN31" s="134"/>
      <c r="OTQ31" s="134"/>
      <c r="OTT31" s="134"/>
      <c r="OTW31" s="134"/>
      <c r="OTZ31" s="134"/>
      <c r="OUC31" s="134"/>
      <c r="OUF31" s="134"/>
      <c r="OUI31" s="134"/>
      <c r="OUL31" s="134"/>
      <c r="OUO31" s="134"/>
      <c r="OUR31" s="134"/>
      <c r="OUU31" s="134"/>
      <c r="OUX31" s="134"/>
      <c r="OVA31" s="134"/>
      <c r="OVD31" s="134"/>
      <c r="OVG31" s="134"/>
      <c r="OVJ31" s="134"/>
      <c r="OVM31" s="134"/>
      <c r="OVP31" s="134"/>
      <c r="OVS31" s="134"/>
      <c r="OVV31" s="134"/>
      <c r="OVY31" s="134"/>
      <c r="OWB31" s="134"/>
      <c r="OWE31" s="134"/>
      <c r="OWH31" s="134"/>
      <c r="OWK31" s="134"/>
      <c r="OWN31" s="134"/>
      <c r="OWQ31" s="134"/>
      <c r="OWT31" s="134"/>
      <c r="OWW31" s="134"/>
      <c r="OWZ31" s="134"/>
      <c r="OXC31" s="134"/>
      <c r="OXF31" s="134"/>
      <c r="OXI31" s="134"/>
      <c r="OXL31" s="134"/>
      <c r="OXO31" s="134"/>
      <c r="OXR31" s="134"/>
      <c r="OXU31" s="134"/>
      <c r="OXX31" s="134"/>
      <c r="OYA31" s="134"/>
      <c r="OYD31" s="134"/>
      <c r="OYG31" s="134"/>
      <c r="OYJ31" s="134"/>
      <c r="OYM31" s="134"/>
      <c r="OYP31" s="134"/>
      <c r="OYS31" s="134"/>
      <c r="OYV31" s="134"/>
      <c r="OYY31" s="134"/>
      <c r="OZB31" s="134"/>
      <c r="OZE31" s="134"/>
      <c r="OZH31" s="134"/>
      <c r="OZK31" s="134"/>
      <c r="OZN31" s="134"/>
      <c r="OZQ31" s="134"/>
      <c r="OZT31" s="134"/>
      <c r="OZW31" s="134"/>
      <c r="OZZ31" s="134"/>
      <c r="PAC31" s="134"/>
      <c r="PAF31" s="134"/>
      <c r="PAI31" s="134"/>
      <c r="PAL31" s="134"/>
      <c r="PAO31" s="134"/>
      <c r="PAR31" s="134"/>
      <c r="PAU31" s="134"/>
      <c r="PAX31" s="134"/>
      <c r="PBA31" s="134"/>
      <c r="PBD31" s="134"/>
      <c r="PBG31" s="134"/>
      <c r="PBJ31" s="134"/>
      <c r="PBM31" s="134"/>
      <c r="PBP31" s="134"/>
      <c r="PBS31" s="134"/>
      <c r="PBV31" s="134"/>
      <c r="PBY31" s="134"/>
      <c r="PCB31" s="134"/>
      <c r="PCE31" s="134"/>
      <c r="PCH31" s="134"/>
      <c r="PCK31" s="134"/>
      <c r="PCN31" s="134"/>
      <c r="PCQ31" s="134"/>
      <c r="PCT31" s="134"/>
      <c r="PCW31" s="134"/>
      <c r="PCZ31" s="134"/>
      <c r="PDC31" s="134"/>
      <c r="PDF31" s="134"/>
      <c r="PDI31" s="134"/>
      <c r="PDL31" s="134"/>
      <c r="PDO31" s="134"/>
      <c r="PDR31" s="134"/>
      <c r="PDU31" s="134"/>
      <c r="PDX31" s="134"/>
      <c r="PEA31" s="134"/>
      <c r="PED31" s="134"/>
      <c r="PEG31" s="134"/>
      <c r="PEJ31" s="134"/>
      <c r="PEM31" s="134"/>
      <c r="PEP31" s="134"/>
      <c r="PES31" s="134"/>
      <c r="PEV31" s="134"/>
      <c r="PEY31" s="134"/>
      <c r="PFB31" s="134"/>
      <c r="PFE31" s="134"/>
      <c r="PFH31" s="134"/>
      <c r="PFK31" s="134"/>
      <c r="PFN31" s="134"/>
      <c r="PFQ31" s="134"/>
      <c r="PFT31" s="134"/>
      <c r="PFW31" s="134"/>
      <c r="PFZ31" s="134"/>
      <c r="PGC31" s="134"/>
      <c r="PGF31" s="134"/>
      <c r="PGI31" s="134"/>
      <c r="PGL31" s="134"/>
      <c r="PGO31" s="134"/>
      <c r="PGR31" s="134"/>
      <c r="PGU31" s="134"/>
      <c r="PGX31" s="134"/>
      <c r="PHA31" s="134"/>
      <c r="PHD31" s="134"/>
      <c r="PHG31" s="134"/>
      <c r="PHJ31" s="134"/>
      <c r="PHM31" s="134"/>
      <c r="PHP31" s="134"/>
      <c r="PHS31" s="134"/>
      <c r="PHV31" s="134"/>
      <c r="PHY31" s="134"/>
      <c r="PIB31" s="134"/>
      <c r="PIE31" s="134"/>
      <c r="PIH31" s="134"/>
      <c r="PIK31" s="134"/>
      <c r="PIN31" s="134"/>
      <c r="PIQ31" s="134"/>
      <c r="PIT31" s="134"/>
      <c r="PIW31" s="134"/>
      <c r="PIZ31" s="134"/>
      <c r="PJC31" s="134"/>
      <c r="PJF31" s="134"/>
      <c r="PJI31" s="134"/>
      <c r="PJL31" s="134"/>
      <c r="PJO31" s="134"/>
      <c r="PJR31" s="134"/>
      <c r="PJU31" s="134"/>
      <c r="PJX31" s="134"/>
      <c r="PKA31" s="134"/>
      <c r="PKD31" s="134"/>
      <c r="PKG31" s="134"/>
      <c r="PKJ31" s="134"/>
      <c r="PKM31" s="134"/>
      <c r="PKP31" s="134"/>
      <c r="PKS31" s="134"/>
      <c r="PKV31" s="134"/>
      <c r="PKY31" s="134"/>
      <c r="PLB31" s="134"/>
      <c r="PLE31" s="134"/>
      <c r="PLH31" s="134"/>
      <c r="PLK31" s="134"/>
      <c r="PLN31" s="134"/>
      <c r="PLQ31" s="134"/>
      <c r="PLT31" s="134"/>
      <c r="PLW31" s="134"/>
      <c r="PLZ31" s="134"/>
      <c r="PMC31" s="134"/>
      <c r="PMF31" s="134"/>
      <c r="PMI31" s="134"/>
      <c r="PML31" s="134"/>
      <c r="PMO31" s="134"/>
      <c r="PMR31" s="134"/>
      <c r="PMU31" s="134"/>
      <c r="PMX31" s="134"/>
      <c r="PNA31" s="134"/>
      <c r="PND31" s="134"/>
      <c r="PNG31" s="134"/>
      <c r="PNJ31" s="134"/>
      <c r="PNM31" s="134"/>
      <c r="PNP31" s="134"/>
      <c r="PNS31" s="134"/>
      <c r="PNV31" s="134"/>
      <c r="PNY31" s="134"/>
      <c r="POB31" s="134"/>
      <c r="POE31" s="134"/>
      <c r="POH31" s="134"/>
      <c r="POK31" s="134"/>
      <c r="PON31" s="134"/>
      <c r="POQ31" s="134"/>
      <c r="POT31" s="134"/>
      <c r="POW31" s="134"/>
      <c r="POZ31" s="134"/>
      <c r="PPC31" s="134"/>
      <c r="PPF31" s="134"/>
      <c r="PPI31" s="134"/>
      <c r="PPL31" s="134"/>
      <c r="PPO31" s="134"/>
      <c r="PPR31" s="134"/>
      <c r="PPU31" s="134"/>
      <c r="PPX31" s="134"/>
      <c r="PQA31" s="134"/>
      <c r="PQD31" s="134"/>
      <c r="PQG31" s="134"/>
      <c r="PQJ31" s="134"/>
      <c r="PQM31" s="134"/>
      <c r="PQP31" s="134"/>
      <c r="PQS31" s="134"/>
      <c r="PQV31" s="134"/>
      <c r="PQY31" s="134"/>
      <c r="PRB31" s="134"/>
      <c r="PRE31" s="134"/>
      <c r="PRH31" s="134"/>
      <c r="PRK31" s="134"/>
      <c r="PRN31" s="134"/>
      <c r="PRQ31" s="134"/>
      <c r="PRT31" s="134"/>
      <c r="PRW31" s="134"/>
      <c r="PRZ31" s="134"/>
      <c r="PSC31" s="134"/>
      <c r="PSF31" s="134"/>
      <c r="PSI31" s="134"/>
      <c r="PSL31" s="134"/>
      <c r="PSO31" s="134"/>
      <c r="PSR31" s="134"/>
      <c r="PSU31" s="134"/>
      <c r="PSX31" s="134"/>
      <c r="PTA31" s="134"/>
      <c r="PTD31" s="134"/>
      <c r="PTG31" s="134"/>
      <c r="PTJ31" s="134"/>
      <c r="PTM31" s="134"/>
      <c r="PTP31" s="134"/>
      <c r="PTS31" s="134"/>
      <c r="PTV31" s="134"/>
      <c r="PTY31" s="134"/>
      <c r="PUB31" s="134"/>
      <c r="PUE31" s="134"/>
      <c r="PUH31" s="134"/>
      <c r="PUK31" s="134"/>
      <c r="PUN31" s="134"/>
      <c r="PUQ31" s="134"/>
      <c r="PUT31" s="134"/>
      <c r="PUW31" s="134"/>
      <c r="PUZ31" s="134"/>
      <c r="PVC31" s="134"/>
      <c r="PVF31" s="134"/>
      <c r="PVI31" s="134"/>
      <c r="PVL31" s="134"/>
      <c r="PVO31" s="134"/>
      <c r="PVR31" s="134"/>
      <c r="PVU31" s="134"/>
      <c r="PVX31" s="134"/>
      <c r="PWA31" s="134"/>
      <c r="PWD31" s="134"/>
      <c r="PWG31" s="134"/>
      <c r="PWJ31" s="134"/>
      <c r="PWM31" s="134"/>
      <c r="PWP31" s="134"/>
      <c r="PWS31" s="134"/>
      <c r="PWV31" s="134"/>
      <c r="PWY31" s="134"/>
      <c r="PXB31" s="134"/>
      <c r="PXE31" s="134"/>
      <c r="PXH31" s="134"/>
      <c r="PXK31" s="134"/>
      <c r="PXN31" s="134"/>
      <c r="PXQ31" s="134"/>
      <c r="PXT31" s="134"/>
      <c r="PXW31" s="134"/>
      <c r="PXZ31" s="134"/>
      <c r="PYC31" s="134"/>
      <c r="PYF31" s="134"/>
      <c r="PYI31" s="134"/>
      <c r="PYL31" s="134"/>
      <c r="PYO31" s="134"/>
      <c r="PYR31" s="134"/>
      <c r="PYU31" s="134"/>
      <c r="PYX31" s="134"/>
      <c r="PZA31" s="134"/>
      <c r="PZD31" s="134"/>
      <c r="PZG31" s="134"/>
      <c r="PZJ31" s="134"/>
      <c r="PZM31" s="134"/>
      <c r="PZP31" s="134"/>
      <c r="PZS31" s="134"/>
      <c r="PZV31" s="134"/>
      <c r="PZY31" s="134"/>
      <c r="QAB31" s="134"/>
      <c r="QAE31" s="134"/>
      <c r="QAH31" s="134"/>
      <c r="QAK31" s="134"/>
      <c r="QAN31" s="134"/>
      <c r="QAQ31" s="134"/>
      <c r="QAT31" s="134"/>
      <c r="QAW31" s="134"/>
      <c r="QAZ31" s="134"/>
      <c r="QBC31" s="134"/>
      <c r="QBF31" s="134"/>
      <c r="QBI31" s="134"/>
      <c r="QBL31" s="134"/>
      <c r="QBO31" s="134"/>
      <c r="QBR31" s="134"/>
      <c r="QBU31" s="134"/>
      <c r="QBX31" s="134"/>
      <c r="QCA31" s="134"/>
      <c r="QCD31" s="134"/>
      <c r="QCG31" s="134"/>
      <c r="QCJ31" s="134"/>
      <c r="QCM31" s="134"/>
      <c r="QCP31" s="134"/>
      <c r="QCS31" s="134"/>
      <c r="QCV31" s="134"/>
      <c r="QCY31" s="134"/>
      <c r="QDB31" s="134"/>
      <c r="QDE31" s="134"/>
      <c r="QDH31" s="134"/>
      <c r="QDK31" s="134"/>
      <c r="QDN31" s="134"/>
      <c r="QDQ31" s="134"/>
      <c r="QDT31" s="134"/>
      <c r="QDW31" s="134"/>
      <c r="QDZ31" s="134"/>
      <c r="QEC31" s="134"/>
      <c r="QEF31" s="134"/>
      <c r="QEI31" s="134"/>
      <c r="QEL31" s="134"/>
      <c r="QEO31" s="134"/>
      <c r="QER31" s="134"/>
      <c r="QEU31" s="134"/>
      <c r="QEX31" s="134"/>
      <c r="QFA31" s="134"/>
      <c r="QFD31" s="134"/>
      <c r="QFG31" s="134"/>
      <c r="QFJ31" s="134"/>
      <c r="QFM31" s="134"/>
      <c r="QFP31" s="134"/>
      <c r="QFS31" s="134"/>
      <c r="QFV31" s="134"/>
      <c r="QFY31" s="134"/>
      <c r="QGB31" s="134"/>
      <c r="QGE31" s="134"/>
      <c r="QGH31" s="134"/>
      <c r="QGK31" s="134"/>
      <c r="QGN31" s="134"/>
      <c r="QGQ31" s="134"/>
      <c r="QGT31" s="134"/>
      <c r="QGW31" s="134"/>
      <c r="QGZ31" s="134"/>
      <c r="QHC31" s="134"/>
      <c r="QHF31" s="134"/>
      <c r="QHI31" s="134"/>
      <c r="QHL31" s="134"/>
      <c r="QHO31" s="134"/>
      <c r="QHR31" s="134"/>
      <c r="QHU31" s="134"/>
      <c r="QHX31" s="134"/>
      <c r="QIA31" s="134"/>
      <c r="QID31" s="134"/>
      <c r="QIG31" s="134"/>
      <c r="QIJ31" s="134"/>
      <c r="QIM31" s="134"/>
      <c r="QIP31" s="134"/>
      <c r="QIS31" s="134"/>
      <c r="QIV31" s="134"/>
      <c r="QIY31" s="134"/>
      <c r="QJB31" s="134"/>
      <c r="QJE31" s="134"/>
      <c r="QJH31" s="134"/>
      <c r="QJK31" s="134"/>
      <c r="QJN31" s="134"/>
      <c r="QJQ31" s="134"/>
      <c r="QJT31" s="134"/>
      <c r="QJW31" s="134"/>
      <c r="QJZ31" s="134"/>
      <c r="QKC31" s="134"/>
      <c r="QKF31" s="134"/>
      <c r="QKI31" s="134"/>
      <c r="QKL31" s="134"/>
      <c r="QKO31" s="134"/>
      <c r="QKR31" s="134"/>
      <c r="QKU31" s="134"/>
      <c r="QKX31" s="134"/>
      <c r="QLA31" s="134"/>
      <c r="QLD31" s="134"/>
      <c r="QLG31" s="134"/>
      <c r="QLJ31" s="134"/>
      <c r="QLM31" s="134"/>
      <c r="QLP31" s="134"/>
      <c r="QLS31" s="134"/>
      <c r="QLV31" s="134"/>
      <c r="QLY31" s="134"/>
      <c r="QMB31" s="134"/>
      <c r="QME31" s="134"/>
      <c r="QMH31" s="134"/>
      <c r="QMK31" s="134"/>
      <c r="QMN31" s="134"/>
      <c r="QMQ31" s="134"/>
      <c r="QMT31" s="134"/>
      <c r="QMW31" s="134"/>
      <c r="QMZ31" s="134"/>
      <c r="QNC31" s="134"/>
      <c r="QNF31" s="134"/>
      <c r="QNI31" s="134"/>
      <c r="QNL31" s="134"/>
      <c r="QNO31" s="134"/>
      <c r="QNR31" s="134"/>
      <c r="QNU31" s="134"/>
      <c r="QNX31" s="134"/>
      <c r="QOA31" s="134"/>
      <c r="QOD31" s="134"/>
      <c r="QOG31" s="134"/>
      <c r="QOJ31" s="134"/>
      <c r="QOM31" s="134"/>
      <c r="QOP31" s="134"/>
      <c r="QOS31" s="134"/>
      <c r="QOV31" s="134"/>
      <c r="QOY31" s="134"/>
      <c r="QPB31" s="134"/>
      <c r="QPE31" s="134"/>
      <c r="QPH31" s="134"/>
      <c r="QPK31" s="134"/>
      <c r="QPN31" s="134"/>
      <c r="QPQ31" s="134"/>
      <c r="QPT31" s="134"/>
      <c r="QPW31" s="134"/>
      <c r="QPZ31" s="134"/>
      <c r="QQC31" s="134"/>
      <c r="QQF31" s="134"/>
      <c r="QQI31" s="134"/>
      <c r="QQL31" s="134"/>
      <c r="QQO31" s="134"/>
      <c r="QQR31" s="134"/>
      <c r="QQU31" s="134"/>
      <c r="QQX31" s="134"/>
      <c r="QRA31" s="134"/>
      <c r="QRD31" s="134"/>
      <c r="QRG31" s="134"/>
      <c r="QRJ31" s="134"/>
      <c r="QRM31" s="134"/>
      <c r="QRP31" s="134"/>
      <c r="QRS31" s="134"/>
      <c r="QRV31" s="134"/>
      <c r="QRY31" s="134"/>
      <c r="QSB31" s="134"/>
      <c r="QSE31" s="134"/>
      <c r="QSH31" s="134"/>
      <c r="QSK31" s="134"/>
      <c r="QSN31" s="134"/>
      <c r="QSQ31" s="134"/>
      <c r="QST31" s="134"/>
      <c r="QSW31" s="134"/>
      <c r="QSZ31" s="134"/>
      <c r="QTC31" s="134"/>
      <c r="QTF31" s="134"/>
      <c r="QTI31" s="134"/>
      <c r="QTL31" s="134"/>
      <c r="QTO31" s="134"/>
      <c r="QTR31" s="134"/>
      <c r="QTU31" s="134"/>
      <c r="QTX31" s="134"/>
      <c r="QUA31" s="134"/>
      <c r="QUD31" s="134"/>
      <c r="QUG31" s="134"/>
      <c r="QUJ31" s="134"/>
      <c r="QUM31" s="134"/>
      <c r="QUP31" s="134"/>
      <c r="QUS31" s="134"/>
      <c r="QUV31" s="134"/>
      <c r="QUY31" s="134"/>
      <c r="QVB31" s="134"/>
      <c r="QVE31" s="134"/>
      <c r="QVH31" s="134"/>
      <c r="QVK31" s="134"/>
      <c r="QVN31" s="134"/>
      <c r="QVQ31" s="134"/>
      <c r="QVT31" s="134"/>
      <c r="QVW31" s="134"/>
      <c r="QVZ31" s="134"/>
      <c r="QWC31" s="134"/>
      <c r="QWF31" s="134"/>
      <c r="QWI31" s="134"/>
      <c r="QWL31" s="134"/>
      <c r="QWO31" s="134"/>
      <c r="QWR31" s="134"/>
      <c r="QWU31" s="134"/>
      <c r="QWX31" s="134"/>
      <c r="QXA31" s="134"/>
      <c r="QXD31" s="134"/>
      <c r="QXG31" s="134"/>
      <c r="QXJ31" s="134"/>
      <c r="QXM31" s="134"/>
      <c r="QXP31" s="134"/>
      <c r="QXS31" s="134"/>
      <c r="QXV31" s="134"/>
      <c r="QXY31" s="134"/>
      <c r="QYB31" s="134"/>
      <c r="QYE31" s="134"/>
      <c r="QYH31" s="134"/>
      <c r="QYK31" s="134"/>
      <c r="QYN31" s="134"/>
      <c r="QYQ31" s="134"/>
      <c r="QYT31" s="134"/>
      <c r="QYW31" s="134"/>
      <c r="QYZ31" s="134"/>
      <c r="QZC31" s="134"/>
      <c r="QZF31" s="134"/>
      <c r="QZI31" s="134"/>
      <c r="QZL31" s="134"/>
      <c r="QZO31" s="134"/>
      <c r="QZR31" s="134"/>
      <c r="QZU31" s="134"/>
      <c r="QZX31" s="134"/>
      <c r="RAA31" s="134"/>
      <c r="RAD31" s="134"/>
      <c r="RAG31" s="134"/>
      <c r="RAJ31" s="134"/>
      <c r="RAM31" s="134"/>
      <c r="RAP31" s="134"/>
      <c r="RAS31" s="134"/>
      <c r="RAV31" s="134"/>
      <c r="RAY31" s="134"/>
      <c r="RBB31" s="134"/>
      <c r="RBE31" s="134"/>
      <c r="RBH31" s="134"/>
      <c r="RBK31" s="134"/>
      <c r="RBN31" s="134"/>
      <c r="RBQ31" s="134"/>
      <c r="RBT31" s="134"/>
      <c r="RBW31" s="134"/>
      <c r="RBZ31" s="134"/>
      <c r="RCC31" s="134"/>
      <c r="RCF31" s="134"/>
      <c r="RCI31" s="134"/>
      <c r="RCL31" s="134"/>
      <c r="RCO31" s="134"/>
      <c r="RCR31" s="134"/>
      <c r="RCU31" s="134"/>
      <c r="RCX31" s="134"/>
      <c r="RDA31" s="134"/>
      <c r="RDD31" s="134"/>
      <c r="RDG31" s="134"/>
      <c r="RDJ31" s="134"/>
      <c r="RDM31" s="134"/>
      <c r="RDP31" s="134"/>
      <c r="RDS31" s="134"/>
      <c r="RDV31" s="134"/>
      <c r="RDY31" s="134"/>
      <c r="REB31" s="134"/>
      <c r="REE31" s="134"/>
      <c r="REH31" s="134"/>
      <c r="REK31" s="134"/>
      <c r="REN31" s="134"/>
      <c r="REQ31" s="134"/>
      <c r="RET31" s="134"/>
      <c r="REW31" s="134"/>
      <c r="REZ31" s="134"/>
      <c r="RFC31" s="134"/>
      <c r="RFF31" s="134"/>
      <c r="RFI31" s="134"/>
      <c r="RFL31" s="134"/>
      <c r="RFO31" s="134"/>
      <c r="RFR31" s="134"/>
      <c r="RFU31" s="134"/>
      <c r="RFX31" s="134"/>
      <c r="RGA31" s="134"/>
      <c r="RGD31" s="134"/>
      <c r="RGG31" s="134"/>
      <c r="RGJ31" s="134"/>
      <c r="RGM31" s="134"/>
      <c r="RGP31" s="134"/>
      <c r="RGS31" s="134"/>
      <c r="RGV31" s="134"/>
      <c r="RGY31" s="134"/>
      <c r="RHB31" s="134"/>
      <c r="RHE31" s="134"/>
      <c r="RHH31" s="134"/>
      <c r="RHK31" s="134"/>
      <c r="RHN31" s="134"/>
      <c r="RHQ31" s="134"/>
      <c r="RHT31" s="134"/>
      <c r="RHW31" s="134"/>
      <c r="RHZ31" s="134"/>
      <c r="RIC31" s="134"/>
      <c r="RIF31" s="134"/>
      <c r="RII31" s="134"/>
      <c r="RIL31" s="134"/>
      <c r="RIO31" s="134"/>
      <c r="RIR31" s="134"/>
      <c r="RIU31" s="134"/>
      <c r="RIX31" s="134"/>
      <c r="RJA31" s="134"/>
      <c r="RJD31" s="134"/>
      <c r="RJG31" s="134"/>
      <c r="RJJ31" s="134"/>
      <c r="RJM31" s="134"/>
      <c r="RJP31" s="134"/>
      <c r="RJS31" s="134"/>
      <c r="RJV31" s="134"/>
      <c r="RJY31" s="134"/>
      <c r="RKB31" s="134"/>
      <c r="RKE31" s="134"/>
      <c r="RKH31" s="134"/>
      <c r="RKK31" s="134"/>
      <c r="RKN31" s="134"/>
      <c r="RKQ31" s="134"/>
      <c r="RKT31" s="134"/>
      <c r="RKW31" s="134"/>
      <c r="RKZ31" s="134"/>
      <c r="RLC31" s="134"/>
      <c r="RLF31" s="134"/>
      <c r="RLI31" s="134"/>
      <c r="RLL31" s="134"/>
      <c r="RLO31" s="134"/>
      <c r="RLR31" s="134"/>
      <c r="RLU31" s="134"/>
      <c r="RLX31" s="134"/>
      <c r="RMA31" s="134"/>
      <c r="RMD31" s="134"/>
      <c r="RMG31" s="134"/>
      <c r="RMJ31" s="134"/>
      <c r="RMM31" s="134"/>
      <c r="RMP31" s="134"/>
      <c r="RMS31" s="134"/>
      <c r="RMV31" s="134"/>
      <c r="RMY31" s="134"/>
      <c r="RNB31" s="134"/>
      <c r="RNE31" s="134"/>
      <c r="RNH31" s="134"/>
      <c r="RNK31" s="134"/>
      <c r="RNN31" s="134"/>
      <c r="RNQ31" s="134"/>
      <c r="RNT31" s="134"/>
      <c r="RNW31" s="134"/>
      <c r="RNZ31" s="134"/>
      <c r="ROC31" s="134"/>
      <c r="ROF31" s="134"/>
      <c r="ROI31" s="134"/>
      <c r="ROL31" s="134"/>
      <c r="ROO31" s="134"/>
      <c r="ROR31" s="134"/>
      <c r="ROU31" s="134"/>
      <c r="ROX31" s="134"/>
      <c r="RPA31" s="134"/>
      <c r="RPD31" s="134"/>
      <c r="RPG31" s="134"/>
      <c r="RPJ31" s="134"/>
      <c r="RPM31" s="134"/>
      <c r="RPP31" s="134"/>
      <c r="RPS31" s="134"/>
      <c r="RPV31" s="134"/>
      <c r="RPY31" s="134"/>
      <c r="RQB31" s="134"/>
      <c r="RQE31" s="134"/>
      <c r="RQH31" s="134"/>
      <c r="RQK31" s="134"/>
      <c r="RQN31" s="134"/>
      <c r="RQQ31" s="134"/>
      <c r="RQT31" s="134"/>
      <c r="RQW31" s="134"/>
      <c r="RQZ31" s="134"/>
      <c r="RRC31" s="134"/>
      <c r="RRF31" s="134"/>
      <c r="RRI31" s="134"/>
      <c r="RRL31" s="134"/>
      <c r="RRO31" s="134"/>
      <c r="RRR31" s="134"/>
      <c r="RRU31" s="134"/>
      <c r="RRX31" s="134"/>
      <c r="RSA31" s="134"/>
      <c r="RSD31" s="134"/>
      <c r="RSG31" s="134"/>
      <c r="RSJ31" s="134"/>
      <c r="RSM31" s="134"/>
      <c r="RSP31" s="134"/>
      <c r="RSS31" s="134"/>
      <c r="RSV31" s="134"/>
      <c r="RSY31" s="134"/>
      <c r="RTB31" s="134"/>
      <c r="RTE31" s="134"/>
      <c r="RTH31" s="134"/>
      <c r="RTK31" s="134"/>
      <c r="RTN31" s="134"/>
      <c r="RTQ31" s="134"/>
      <c r="RTT31" s="134"/>
      <c r="RTW31" s="134"/>
      <c r="RTZ31" s="134"/>
      <c r="RUC31" s="134"/>
      <c r="RUF31" s="134"/>
      <c r="RUI31" s="134"/>
      <c r="RUL31" s="134"/>
      <c r="RUO31" s="134"/>
      <c r="RUR31" s="134"/>
      <c r="RUU31" s="134"/>
      <c r="RUX31" s="134"/>
      <c r="RVA31" s="134"/>
      <c r="RVD31" s="134"/>
      <c r="RVG31" s="134"/>
      <c r="RVJ31" s="134"/>
      <c r="RVM31" s="134"/>
      <c r="RVP31" s="134"/>
      <c r="RVS31" s="134"/>
      <c r="RVV31" s="134"/>
      <c r="RVY31" s="134"/>
      <c r="RWB31" s="134"/>
      <c r="RWE31" s="134"/>
      <c r="RWH31" s="134"/>
      <c r="RWK31" s="134"/>
      <c r="RWN31" s="134"/>
      <c r="RWQ31" s="134"/>
      <c r="RWT31" s="134"/>
      <c r="RWW31" s="134"/>
      <c r="RWZ31" s="134"/>
      <c r="RXC31" s="134"/>
      <c r="RXF31" s="134"/>
      <c r="RXI31" s="134"/>
      <c r="RXL31" s="134"/>
      <c r="RXO31" s="134"/>
      <c r="RXR31" s="134"/>
      <c r="RXU31" s="134"/>
      <c r="RXX31" s="134"/>
      <c r="RYA31" s="134"/>
      <c r="RYD31" s="134"/>
      <c r="RYG31" s="134"/>
      <c r="RYJ31" s="134"/>
      <c r="RYM31" s="134"/>
      <c r="RYP31" s="134"/>
      <c r="RYS31" s="134"/>
      <c r="RYV31" s="134"/>
      <c r="RYY31" s="134"/>
      <c r="RZB31" s="134"/>
      <c r="RZE31" s="134"/>
      <c r="RZH31" s="134"/>
      <c r="RZK31" s="134"/>
      <c r="RZN31" s="134"/>
      <c r="RZQ31" s="134"/>
      <c r="RZT31" s="134"/>
      <c r="RZW31" s="134"/>
      <c r="RZZ31" s="134"/>
      <c r="SAC31" s="134"/>
      <c r="SAF31" s="134"/>
      <c r="SAI31" s="134"/>
      <c r="SAL31" s="134"/>
      <c r="SAO31" s="134"/>
      <c r="SAR31" s="134"/>
      <c r="SAU31" s="134"/>
      <c r="SAX31" s="134"/>
      <c r="SBA31" s="134"/>
      <c r="SBD31" s="134"/>
      <c r="SBG31" s="134"/>
      <c r="SBJ31" s="134"/>
      <c r="SBM31" s="134"/>
      <c r="SBP31" s="134"/>
      <c r="SBS31" s="134"/>
      <c r="SBV31" s="134"/>
      <c r="SBY31" s="134"/>
      <c r="SCB31" s="134"/>
      <c r="SCE31" s="134"/>
      <c r="SCH31" s="134"/>
      <c r="SCK31" s="134"/>
      <c r="SCN31" s="134"/>
      <c r="SCQ31" s="134"/>
      <c r="SCT31" s="134"/>
      <c r="SCW31" s="134"/>
      <c r="SCZ31" s="134"/>
      <c r="SDC31" s="134"/>
      <c r="SDF31" s="134"/>
      <c r="SDI31" s="134"/>
      <c r="SDL31" s="134"/>
      <c r="SDO31" s="134"/>
      <c r="SDR31" s="134"/>
      <c r="SDU31" s="134"/>
      <c r="SDX31" s="134"/>
      <c r="SEA31" s="134"/>
      <c r="SED31" s="134"/>
      <c r="SEG31" s="134"/>
      <c r="SEJ31" s="134"/>
      <c r="SEM31" s="134"/>
      <c r="SEP31" s="134"/>
      <c r="SES31" s="134"/>
      <c r="SEV31" s="134"/>
      <c r="SEY31" s="134"/>
      <c r="SFB31" s="134"/>
      <c r="SFE31" s="134"/>
      <c r="SFH31" s="134"/>
      <c r="SFK31" s="134"/>
      <c r="SFN31" s="134"/>
      <c r="SFQ31" s="134"/>
      <c r="SFT31" s="134"/>
      <c r="SFW31" s="134"/>
      <c r="SFZ31" s="134"/>
      <c r="SGC31" s="134"/>
      <c r="SGF31" s="134"/>
      <c r="SGI31" s="134"/>
      <c r="SGL31" s="134"/>
      <c r="SGO31" s="134"/>
      <c r="SGR31" s="134"/>
      <c r="SGU31" s="134"/>
      <c r="SGX31" s="134"/>
      <c r="SHA31" s="134"/>
      <c r="SHD31" s="134"/>
      <c r="SHG31" s="134"/>
      <c r="SHJ31" s="134"/>
      <c r="SHM31" s="134"/>
      <c r="SHP31" s="134"/>
      <c r="SHS31" s="134"/>
      <c r="SHV31" s="134"/>
      <c r="SHY31" s="134"/>
      <c r="SIB31" s="134"/>
      <c r="SIE31" s="134"/>
      <c r="SIH31" s="134"/>
      <c r="SIK31" s="134"/>
      <c r="SIN31" s="134"/>
      <c r="SIQ31" s="134"/>
      <c r="SIT31" s="134"/>
      <c r="SIW31" s="134"/>
      <c r="SIZ31" s="134"/>
      <c r="SJC31" s="134"/>
      <c r="SJF31" s="134"/>
      <c r="SJI31" s="134"/>
      <c r="SJL31" s="134"/>
      <c r="SJO31" s="134"/>
      <c r="SJR31" s="134"/>
      <c r="SJU31" s="134"/>
      <c r="SJX31" s="134"/>
      <c r="SKA31" s="134"/>
      <c r="SKD31" s="134"/>
      <c r="SKG31" s="134"/>
      <c r="SKJ31" s="134"/>
      <c r="SKM31" s="134"/>
      <c r="SKP31" s="134"/>
      <c r="SKS31" s="134"/>
      <c r="SKV31" s="134"/>
      <c r="SKY31" s="134"/>
      <c r="SLB31" s="134"/>
      <c r="SLE31" s="134"/>
      <c r="SLH31" s="134"/>
      <c r="SLK31" s="134"/>
      <c r="SLN31" s="134"/>
      <c r="SLQ31" s="134"/>
      <c r="SLT31" s="134"/>
      <c r="SLW31" s="134"/>
      <c r="SLZ31" s="134"/>
      <c r="SMC31" s="134"/>
      <c r="SMF31" s="134"/>
      <c r="SMI31" s="134"/>
      <c r="SML31" s="134"/>
      <c r="SMO31" s="134"/>
      <c r="SMR31" s="134"/>
      <c r="SMU31" s="134"/>
      <c r="SMX31" s="134"/>
      <c r="SNA31" s="134"/>
      <c r="SND31" s="134"/>
      <c r="SNG31" s="134"/>
      <c r="SNJ31" s="134"/>
      <c r="SNM31" s="134"/>
      <c r="SNP31" s="134"/>
      <c r="SNS31" s="134"/>
      <c r="SNV31" s="134"/>
      <c r="SNY31" s="134"/>
      <c r="SOB31" s="134"/>
      <c r="SOE31" s="134"/>
      <c r="SOH31" s="134"/>
      <c r="SOK31" s="134"/>
      <c r="SON31" s="134"/>
      <c r="SOQ31" s="134"/>
      <c r="SOT31" s="134"/>
      <c r="SOW31" s="134"/>
      <c r="SOZ31" s="134"/>
      <c r="SPC31" s="134"/>
      <c r="SPF31" s="134"/>
      <c r="SPI31" s="134"/>
      <c r="SPL31" s="134"/>
      <c r="SPO31" s="134"/>
      <c r="SPR31" s="134"/>
      <c r="SPU31" s="134"/>
      <c r="SPX31" s="134"/>
      <c r="SQA31" s="134"/>
      <c r="SQD31" s="134"/>
      <c r="SQG31" s="134"/>
      <c r="SQJ31" s="134"/>
      <c r="SQM31" s="134"/>
      <c r="SQP31" s="134"/>
      <c r="SQS31" s="134"/>
      <c r="SQV31" s="134"/>
      <c r="SQY31" s="134"/>
      <c r="SRB31" s="134"/>
      <c r="SRE31" s="134"/>
      <c r="SRH31" s="134"/>
      <c r="SRK31" s="134"/>
      <c r="SRN31" s="134"/>
      <c r="SRQ31" s="134"/>
      <c r="SRT31" s="134"/>
      <c r="SRW31" s="134"/>
      <c r="SRZ31" s="134"/>
      <c r="SSC31" s="134"/>
      <c r="SSF31" s="134"/>
      <c r="SSI31" s="134"/>
      <c r="SSL31" s="134"/>
      <c r="SSO31" s="134"/>
      <c r="SSR31" s="134"/>
      <c r="SSU31" s="134"/>
      <c r="SSX31" s="134"/>
      <c r="STA31" s="134"/>
      <c r="STD31" s="134"/>
      <c r="STG31" s="134"/>
      <c r="STJ31" s="134"/>
      <c r="STM31" s="134"/>
      <c r="STP31" s="134"/>
      <c r="STS31" s="134"/>
      <c r="STV31" s="134"/>
      <c r="STY31" s="134"/>
      <c r="SUB31" s="134"/>
      <c r="SUE31" s="134"/>
      <c r="SUH31" s="134"/>
      <c r="SUK31" s="134"/>
      <c r="SUN31" s="134"/>
      <c r="SUQ31" s="134"/>
      <c r="SUT31" s="134"/>
      <c r="SUW31" s="134"/>
      <c r="SUZ31" s="134"/>
      <c r="SVC31" s="134"/>
      <c r="SVF31" s="134"/>
      <c r="SVI31" s="134"/>
      <c r="SVL31" s="134"/>
      <c r="SVO31" s="134"/>
      <c r="SVR31" s="134"/>
      <c r="SVU31" s="134"/>
      <c r="SVX31" s="134"/>
      <c r="SWA31" s="134"/>
      <c r="SWD31" s="134"/>
      <c r="SWG31" s="134"/>
      <c r="SWJ31" s="134"/>
      <c r="SWM31" s="134"/>
      <c r="SWP31" s="134"/>
      <c r="SWS31" s="134"/>
      <c r="SWV31" s="134"/>
      <c r="SWY31" s="134"/>
      <c r="SXB31" s="134"/>
      <c r="SXE31" s="134"/>
      <c r="SXH31" s="134"/>
      <c r="SXK31" s="134"/>
      <c r="SXN31" s="134"/>
      <c r="SXQ31" s="134"/>
      <c r="SXT31" s="134"/>
      <c r="SXW31" s="134"/>
      <c r="SXZ31" s="134"/>
      <c r="SYC31" s="134"/>
      <c r="SYF31" s="134"/>
      <c r="SYI31" s="134"/>
      <c r="SYL31" s="134"/>
      <c r="SYO31" s="134"/>
      <c r="SYR31" s="134"/>
      <c r="SYU31" s="134"/>
      <c r="SYX31" s="134"/>
      <c r="SZA31" s="134"/>
      <c r="SZD31" s="134"/>
      <c r="SZG31" s="134"/>
      <c r="SZJ31" s="134"/>
      <c r="SZM31" s="134"/>
      <c r="SZP31" s="134"/>
      <c r="SZS31" s="134"/>
      <c r="SZV31" s="134"/>
      <c r="SZY31" s="134"/>
      <c r="TAB31" s="134"/>
      <c r="TAE31" s="134"/>
      <c r="TAH31" s="134"/>
      <c r="TAK31" s="134"/>
      <c r="TAN31" s="134"/>
      <c r="TAQ31" s="134"/>
      <c r="TAT31" s="134"/>
      <c r="TAW31" s="134"/>
      <c r="TAZ31" s="134"/>
      <c r="TBC31" s="134"/>
      <c r="TBF31" s="134"/>
      <c r="TBI31" s="134"/>
      <c r="TBL31" s="134"/>
      <c r="TBO31" s="134"/>
      <c r="TBR31" s="134"/>
      <c r="TBU31" s="134"/>
      <c r="TBX31" s="134"/>
      <c r="TCA31" s="134"/>
      <c r="TCD31" s="134"/>
      <c r="TCG31" s="134"/>
      <c r="TCJ31" s="134"/>
      <c r="TCM31" s="134"/>
      <c r="TCP31" s="134"/>
      <c r="TCS31" s="134"/>
      <c r="TCV31" s="134"/>
      <c r="TCY31" s="134"/>
      <c r="TDB31" s="134"/>
      <c r="TDE31" s="134"/>
      <c r="TDH31" s="134"/>
      <c r="TDK31" s="134"/>
      <c r="TDN31" s="134"/>
      <c r="TDQ31" s="134"/>
      <c r="TDT31" s="134"/>
      <c r="TDW31" s="134"/>
      <c r="TDZ31" s="134"/>
      <c r="TEC31" s="134"/>
      <c r="TEF31" s="134"/>
      <c r="TEI31" s="134"/>
      <c r="TEL31" s="134"/>
      <c r="TEO31" s="134"/>
      <c r="TER31" s="134"/>
      <c r="TEU31" s="134"/>
      <c r="TEX31" s="134"/>
      <c r="TFA31" s="134"/>
      <c r="TFD31" s="134"/>
      <c r="TFG31" s="134"/>
      <c r="TFJ31" s="134"/>
      <c r="TFM31" s="134"/>
      <c r="TFP31" s="134"/>
      <c r="TFS31" s="134"/>
      <c r="TFV31" s="134"/>
      <c r="TFY31" s="134"/>
      <c r="TGB31" s="134"/>
      <c r="TGE31" s="134"/>
      <c r="TGH31" s="134"/>
      <c r="TGK31" s="134"/>
      <c r="TGN31" s="134"/>
      <c r="TGQ31" s="134"/>
      <c r="TGT31" s="134"/>
      <c r="TGW31" s="134"/>
      <c r="TGZ31" s="134"/>
      <c r="THC31" s="134"/>
      <c r="THF31" s="134"/>
      <c r="THI31" s="134"/>
      <c r="THL31" s="134"/>
      <c r="THO31" s="134"/>
      <c r="THR31" s="134"/>
      <c r="THU31" s="134"/>
      <c r="THX31" s="134"/>
      <c r="TIA31" s="134"/>
      <c r="TID31" s="134"/>
      <c r="TIG31" s="134"/>
      <c r="TIJ31" s="134"/>
      <c r="TIM31" s="134"/>
      <c r="TIP31" s="134"/>
      <c r="TIS31" s="134"/>
      <c r="TIV31" s="134"/>
      <c r="TIY31" s="134"/>
      <c r="TJB31" s="134"/>
      <c r="TJE31" s="134"/>
      <c r="TJH31" s="134"/>
      <c r="TJK31" s="134"/>
      <c r="TJN31" s="134"/>
      <c r="TJQ31" s="134"/>
      <c r="TJT31" s="134"/>
      <c r="TJW31" s="134"/>
      <c r="TJZ31" s="134"/>
      <c r="TKC31" s="134"/>
      <c r="TKF31" s="134"/>
      <c r="TKI31" s="134"/>
      <c r="TKL31" s="134"/>
      <c r="TKO31" s="134"/>
      <c r="TKR31" s="134"/>
      <c r="TKU31" s="134"/>
      <c r="TKX31" s="134"/>
      <c r="TLA31" s="134"/>
      <c r="TLD31" s="134"/>
      <c r="TLG31" s="134"/>
      <c r="TLJ31" s="134"/>
      <c r="TLM31" s="134"/>
      <c r="TLP31" s="134"/>
      <c r="TLS31" s="134"/>
      <c r="TLV31" s="134"/>
      <c r="TLY31" s="134"/>
      <c r="TMB31" s="134"/>
      <c r="TME31" s="134"/>
      <c r="TMH31" s="134"/>
      <c r="TMK31" s="134"/>
      <c r="TMN31" s="134"/>
      <c r="TMQ31" s="134"/>
      <c r="TMT31" s="134"/>
      <c r="TMW31" s="134"/>
      <c r="TMZ31" s="134"/>
      <c r="TNC31" s="134"/>
      <c r="TNF31" s="134"/>
      <c r="TNI31" s="134"/>
      <c r="TNL31" s="134"/>
      <c r="TNO31" s="134"/>
      <c r="TNR31" s="134"/>
      <c r="TNU31" s="134"/>
      <c r="TNX31" s="134"/>
      <c r="TOA31" s="134"/>
      <c r="TOD31" s="134"/>
      <c r="TOG31" s="134"/>
      <c r="TOJ31" s="134"/>
      <c r="TOM31" s="134"/>
      <c r="TOP31" s="134"/>
      <c r="TOS31" s="134"/>
      <c r="TOV31" s="134"/>
      <c r="TOY31" s="134"/>
      <c r="TPB31" s="134"/>
      <c r="TPE31" s="134"/>
      <c r="TPH31" s="134"/>
      <c r="TPK31" s="134"/>
      <c r="TPN31" s="134"/>
      <c r="TPQ31" s="134"/>
      <c r="TPT31" s="134"/>
      <c r="TPW31" s="134"/>
      <c r="TPZ31" s="134"/>
      <c r="TQC31" s="134"/>
      <c r="TQF31" s="134"/>
      <c r="TQI31" s="134"/>
      <c r="TQL31" s="134"/>
      <c r="TQO31" s="134"/>
      <c r="TQR31" s="134"/>
      <c r="TQU31" s="134"/>
      <c r="TQX31" s="134"/>
      <c r="TRA31" s="134"/>
      <c r="TRD31" s="134"/>
      <c r="TRG31" s="134"/>
      <c r="TRJ31" s="134"/>
      <c r="TRM31" s="134"/>
      <c r="TRP31" s="134"/>
      <c r="TRS31" s="134"/>
      <c r="TRV31" s="134"/>
      <c r="TRY31" s="134"/>
      <c r="TSB31" s="134"/>
      <c r="TSE31" s="134"/>
      <c r="TSH31" s="134"/>
      <c r="TSK31" s="134"/>
      <c r="TSN31" s="134"/>
      <c r="TSQ31" s="134"/>
      <c r="TST31" s="134"/>
      <c r="TSW31" s="134"/>
      <c r="TSZ31" s="134"/>
      <c r="TTC31" s="134"/>
      <c r="TTF31" s="134"/>
      <c r="TTI31" s="134"/>
      <c r="TTL31" s="134"/>
      <c r="TTO31" s="134"/>
      <c r="TTR31" s="134"/>
      <c r="TTU31" s="134"/>
      <c r="TTX31" s="134"/>
      <c r="TUA31" s="134"/>
      <c r="TUD31" s="134"/>
      <c r="TUG31" s="134"/>
      <c r="TUJ31" s="134"/>
      <c r="TUM31" s="134"/>
      <c r="TUP31" s="134"/>
      <c r="TUS31" s="134"/>
      <c r="TUV31" s="134"/>
      <c r="TUY31" s="134"/>
      <c r="TVB31" s="134"/>
      <c r="TVE31" s="134"/>
      <c r="TVH31" s="134"/>
      <c r="TVK31" s="134"/>
      <c r="TVN31" s="134"/>
      <c r="TVQ31" s="134"/>
      <c r="TVT31" s="134"/>
      <c r="TVW31" s="134"/>
      <c r="TVZ31" s="134"/>
      <c r="TWC31" s="134"/>
      <c r="TWF31" s="134"/>
      <c r="TWI31" s="134"/>
      <c r="TWL31" s="134"/>
      <c r="TWO31" s="134"/>
      <c r="TWR31" s="134"/>
      <c r="TWU31" s="134"/>
      <c r="TWX31" s="134"/>
      <c r="TXA31" s="134"/>
      <c r="TXD31" s="134"/>
      <c r="TXG31" s="134"/>
      <c r="TXJ31" s="134"/>
      <c r="TXM31" s="134"/>
      <c r="TXP31" s="134"/>
      <c r="TXS31" s="134"/>
      <c r="TXV31" s="134"/>
      <c r="TXY31" s="134"/>
      <c r="TYB31" s="134"/>
      <c r="TYE31" s="134"/>
      <c r="TYH31" s="134"/>
      <c r="TYK31" s="134"/>
      <c r="TYN31" s="134"/>
      <c r="TYQ31" s="134"/>
      <c r="TYT31" s="134"/>
      <c r="TYW31" s="134"/>
      <c r="TYZ31" s="134"/>
      <c r="TZC31" s="134"/>
      <c r="TZF31" s="134"/>
      <c r="TZI31" s="134"/>
      <c r="TZL31" s="134"/>
      <c r="TZO31" s="134"/>
      <c r="TZR31" s="134"/>
      <c r="TZU31" s="134"/>
      <c r="TZX31" s="134"/>
      <c r="UAA31" s="134"/>
      <c r="UAD31" s="134"/>
      <c r="UAG31" s="134"/>
      <c r="UAJ31" s="134"/>
      <c r="UAM31" s="134"/>
      <c r="UAP31" s="134"/>
      <c r="UAS31" s="134"/>
      <c r="UAV31" s="134"/>
      <c r="UAY31" s="134"/>
      <c r="UBB31" s="134"/>
      <c r="UBE31" s="134"/>
      <c r="UBH31" s="134"/>
      <c r="UBK31" s="134"/>
      <c r="UBN31" s="134"/>
      <c r="UBQ31" s="134"/>
      <c r="UBT31" s="134"/>
      <c r="UBW31" s="134"/>
      <c r="UBZ31" s="134"/>
      <c r="UCC31" s="134"/>
      <c r="UCF31" s="134"/>
      <c r="UCI31" s="134"/>
      <c r="UCL31" s="134"/>
      <c r="UCO31" s="134"/>
      <c r="UCR31" s="134"/>
      <c r="UCU31" s="134"/>
      <c r="UCX31" s="134"/>
      <c r="UDA31" s="134"/>
      <c r="UDD31" s="134"/>
      <c r="UDG31" s="134"/>
      <c r="UDJ31" s="134"/>
      <c r="UDM31" s="134"/>
      <c r="UDP31" s="134"/>
      <c r="UDS31" s="134"/>
      <c r="UDV31" s="134"/>
      <c r="UDY31" s="134"/>
      <c r="UEB31" s="134"/>
      <c r="UEE31" s="134"/>
      <c r="UEH31" s="134"/>
      <c r="UEK31" s="134"/>
      <c r="UEN31" s="134"/>
      <c r="UEQ31" s="134"/>
      <c r="UET31" s="134"/>
      <c r="UEW31" s="134"/>
      <c r="UEZ31" s="134"/>
      <c r="UFC31" s="134"/>
      <c r="UFF31" s="134"/>
      <c r="UFI31" s="134"/>
      <c r="UFL31" s="134"/>
      <c r="UFO31" s="134"/>
      <c r="UFR31" s="134"/>
      <c r="UFU31" s="134"/>
      <c r="UFX31" s="134"/>
      <c r="UGA31" s="134"/>
      <c r="UGD31" s="134"/>
      <c r="UGG31" s="134"/>
      <c r="UGJ31" s="134"/>
      <c r="UGM31" s="134"/>
      <c r="UGP31" s="134"/>
      <c r="UGS31" s="134"/>
      <c r="UGV31" s="134"/>
      <c r="UGY31" s="134"/>
      <c r="UHB31" s="134"/>
      <c r="UHE31" s="134"/>
      <c r="UHH31" s="134"/>
      <c r="UHK31" s="134"/>
      <c r="UHN31" s="134"/>
      <c r="UHQ31" s="134"/>
      <c r="UHT31" s="134"/>
      <c r="UHW31" s="134"/>
      <c r="UHZ31" s="134"/>
      <c r="UIC31" s="134"/>
      <c r="UIF31" s="134"/>
      <c r="UII31" s="134"/>
      <c r="UIL31" s="134"/>
      <c r="UIO31" s="134"/>
      <c r="UIR31" s="134"/>
      <c r="UIU31" s="134"/>
      <c r="UIX31" s="134"/>
      <c r="UJA31" s="134"/>
      <c r="UJD31" s="134"/>
      <c r="UJG31" s="134"/>
      <c r="UJJ31" s="134"/>
      <c r="UJM31" s="134"/>
      <c r="UJP31" s="134"/>
      <c r="UJS31" s="134"/>
      <c r="UJV31" s="134"/>
      <c r="UJY31" s="134"/>
      <c r="UKB31" s="134"/>
      <c r="UKE31" s="134"/>
      <c r="UKH31" s="134"/>
      <c r="UKK31" s="134"/>
      <c r="UKN31" s="134"/>
      <c r="UKQ31" s="134"/>
      <c r="UKT31" s="134"/>
      <c r="UKW31" s="134"/>
      <c r="UKZ31" s="134"/>
      <c r="ULC31" s="134"/>
      <c r="ULF31" s="134"/>
      <c r="ULI31" s="134"/>
      <c r="ULL31" s="134"/>
      <c r="ULO31" s="134"/>
      <c r="ULR31" s="134"/>
      <c r="ULU31" s="134"/>
      <c r="ULX31" s="134"/>
      <c r="UMA31" s="134"/>
      <c r="UMD31" s="134"/>
      <c r="UMG31" s="134"/>
      <c r="UMJ31" s="134"/>
      <c r="UMM31" s="134"/>
      <c r="UMP31" s="134"/>
      <c r="UMS31" s="134"/>
      <c r="UMV31" s="134"/>
      <c r="UMY31" s="134"/>
      <c r="UNB31" s="134"/>
      <c r="UNE31" s="134"/>
      <c r="UNH31" s="134"/>
      <c r="UNK31" s="134"/>
      <c r="UNN31" s="134"/>
      <c r="UNQ31" s="134"/>
      <c r="UNT31" s="134"/>
      <c r="UNW31" s="134"/>
      <c r="UNZ31" s="134"/>
      <c r="UOC31" s="134"/>
      <c r="UOF31" s="134"/>
      <c r="UOI31" s="134"/>
      <c r="UOL31" s="134"/>
      <c r="UOO31" s="134"/>
      <c r="UOR31" s="134"/>
      <c r="UOU31" s="134"/>
      <c r="UOX31" s="134"/>
      <c r="UPA31" s="134"/>
      <c r="UPD31" s="134"/>
      <c r="UPG31" s="134"/>
      <c r="UPJ31" s="134"/>
      <c r="UPM31" s="134"/>
      <c r="UPP31" s="134"/>
      <c r="UPS31" s="134"/>
      <c r="UPV31" s="134"/>
      <c r="UPY31" s="134"/>
      <c r="UQB31" s="134"/>
      <c r="UQE31" s="134"/>
      <c r="UQH31" s="134"/>
      <c r="UQK31" s="134"/>
      <c r="UQN31" s="134"/>
      <c r="UQQ31" s="134"/>
      <c r="UQT31" s="134"/>
      <c r="UQW31" s="134"/>
      <c r="UQZ31" s="134"/>
      <c r="URC31" s="134"/>
      <c r="URF31" s="134"/>
      <c r="URI31" s="134"/>
      <c r="URL31" s="134"/>
      <c r="URO31" s="134"/>
      <c r="URR31" s="134"/>
      <c r="URU31" s="134"/>
      <c r="URX31" s="134"/>
      <c r="USA31" s="134"/>
      <c r="USD31" s="134"/>
      <c r="USG31" s="134"/>
      <c r="USJ31" s="134"/>
      <c r="USM31" s="134"/>
      <c r="USP31" s="134"/>
      <c r="USS31" s="134"/>
      <c r="USV31" s="134"/>
      <c r="USY31" s="134"/>
      <c r="UTB31" s="134"/>
      <c r="UTE31" s="134"/>
      <c r="UTH31" s="134"/>
      <c r="UTK31" s="134"/>
      <c r="UTN31" s="134"/>
      <c r="UTQ31" s="134"/>
      <c r="UTT31" s="134"/>
      <c r="UTW31" s="134"/>
      <c r="UTZ31" s="134"/>
      <c r="UUC31" s="134"/>
      <c r="UUF31" s="134"/>
      <c r="UUI31" s="134"/>
      <c r="UUL31" s="134"/>
      <c r="UUO31" s="134"/>
      <c r="UUR31" s="134"/>
      <c r="UUU31" s="134"/>
      <c r="UUX31" s="134"/>
      <c r="UVA31" s="134"/>
      <c r="UVD31" s="134"/>
      <c r="UVG31" s="134"/>
      <c r="UVJ31" s="134"/>
      <c r="UVM31" s="134"/>
      <c r="UVP31" s="134"/>
      <c r="UVS31" s="134"/>
      <c r="UVV31" s="134"/>
      <c r="UVY31" s="134"/>
      <c r="UWB31" s="134"/>
      <c r="UWE31" s="134"/>
      <c r="UWH31" s="134"/>
      <c r="UWK31" s="134"/>
      <c r="UWN31" s="134"/>
      <c r="UWQ31" s="134"/>
      <c r="UWT31" s="134"/>
      <c r="UWW31" s="134"/>
      <c r="UWZ31" s="134"/>
      <c r="UXC31" s="134"/>
      <c r="UXF31" s="134"/>
      <c r="UXI31" s="134"/>
      <c r="UXL31" s="134"/>
      <c r="UXO31" s="134"/>
      <c r="UXR31" s="134"/>
      <c r="UXU31" s="134"/>
      <c r="UXX31" s="134"/>
      <c r="UYA31" s="134"/>
      <c r="UYD31" s="134"/>
      <c r="UYG31" s="134"/>
      <c r="UYJ31" s="134"/>
      <c r="UYM31" s="134"/>
      <c r="UYP31" s="134"/>
      <c r="UYS31" s="134"/>
      <c r="UYV31" s="134"/>
      <c r="UYY31" s="134"/>
      <c r="UZB31" s="134"/>
      <c r="UZE31" s="134"/>
      <c r="UZH31" s="134"/>
      <c r="UZK31" s="134"/>
      <c r="UZN31" s="134"/>
      <c r="UZQ31" s="134"/>
      <c r="UZT31" s="134"/>
      <c r="UZW31" s="134"/>
      <c r="UZZ31" s="134"/>
      <c r="VAC31" s="134"/>
      <c r="VAF31" s="134"/>
      <c r="VAI31" s="134"/>
      <c r="VAL31" s="134"/>
      <c r="VAO31" s="134"/>
      <c r="VAR31" s="134"/>
      <c r="VAU31" s="134"/>
      <c r="VAX31" s="134"/>
      <c r="VBA31" s="134"/>
      <c r="VBD31" s="134"/>
      <c r="VBG31" s="134"/>
      <c r="VBJ31" s="134"/>
      <c r="VBM31" s="134"/>
      <c r="VBP31" s="134"/>
      <c r="VBS31" s="134"/>
      <c r="VBV31" s="134"/>
      <c r="VBY31" s="134"/>
      <c r="VCB31" s="134"/>
      <c r="VCE31" s="134"/>
      <c r="VCH31" s="134"/>
      <c r="VCK31" s="134"/>
      <c r="VCN31" s="134"/>
      <c r="VCQ31" s="134"/>
      <c r="VCT31" s="134"/>
      <c r="VCW31" s="134"/>
      <c r="VCZ31" s="134"/>
      <c r="VDC31" s="134"/>
      <c r="VDF31" s="134"/>
      <c r="VDI31" s="134"/>
      <c r="VDL31" s="134"/>
      <c r="VDO31" s="134"/>
      <c r="VDR31" s="134"/>
      <c r="VDU31" s="134"/>
      <c r="VDX31" s="134"/>
      <c r="VEA31" s="134"/>
      <c r="VED31" s="134"/>
      <c r="VEG31" s="134"/>
      <c r="VEJ31" s="134"/>
      <c r="VEM31" s="134"/>
      <c r="VEP31" s="134"/>
      <c r="VES31" s="134"/>
      <c r="VEV31" s="134"/>
      <c r="VEY31" s="134"/>
      <c r="VFB31" s="134"/>
      <c r="VFE31" s="134"/>
      <c r="VFH31" s="134"/>
      <c r="VFK31" s="134"/>
      <c r="VFN31" s="134"/>
      <c r="VFQ31" s="134"/>
      <c r="VFT31" s="134"/>
      <c r="VFW31" s="134"/>
      <c r="VFZ31" s="134"/>
      <c r="VGC31" s="134"/>
      <c r="VGF31" s="134"/>
      <c r="VGI31" s="134"/>
      <c r="VGL31" s="134"/>
      <c r="VGO31" s="134"/>
      <c r="VGR31" s="134"/>
      <c r="VGU31" s="134"/>
      <c r="VGX31" s="134"/>
      <c r="VHA31" s="134"/>
      <c r="VHD31" s="134"/>
      <c r="VHG31" s="134"/>
      <c r="VHJ31" s="134"/>
      <c r="VHM31" s="134"/>
      <c r="VHP31" s="134"/>
      <c r="VHS31" s="134"/>
      <c r="VHV31" s="134"/>
      <c r="VHY31" s="134"/>
      <c r="VIB31" s="134"/>
      <c r="VIE31" s="134"/>
      <c r="VIH31" s="134"/>
      <c r="VIK31" s="134"/>
      <c r="VIN31" s="134"/>
      <c r="VIQ31" s="134"/>
      <c r="VIT31" s="134"/>
      <c r="VIW31" s="134"/>
      <c r="VIZ31" s="134"/>
      <c r="VJC31" s="134"/>
      <c r="VJF31" s="134"/>
      <c r="VJI31" s="134"/>
      <c r="VJL31" s="134"/>
      <c r="VJO31" s="134"/>
      <c r="VJR31" s="134"/>
      <c r="VJU31" s="134"/>
      <c r="VJX31" s="134"/>
      <c r="VKA31" s="134"/>
      <c r="VKD31" s="134"/>
      <c r="VKG31" s="134"/>
      <c r="VKJ31" s="134"/>
      <c r="VKM31" s="134"/>
      <c r="VKP31" s="134"/>
      <c r="VKS31" s="134"/>
      <c r="VKV31" s="134"/>
      <c r="VKY31" s="134"/>
      <c r="VLB31" s="134"/>
      <c r="VLE31" s="134"/>
      <c r="VLH31" s="134"/>
      <c r="VLK31" s="134"/>
      <c r="VLN31" s="134"/>
      <c r="VLQ31" s="134"/>
      <c r="VLT31" s="134"/>
      <c r="VLW31" s="134"/>
      <c r="VLZ31" s="134"/>
      <c r="VMC31" s="134"/>
      <c r="VMF31" s="134"/>
      <c r="VMI31" s="134"/>
      <c r="VML31" s="134"/>
      <c r="VMO31" s="134"/>
      <c r="VMR31" s="134"/>
      <c r="VMU31" s="134"/>
      <c r="VMX31" s="134"/>
      <c r="VNA31" s="134"/>
      <c r="VND31" s="134"/>
      <c r="VNG31" s="134"/>
      <c r="VNJ31" s="134"/>
      <c r="VNM31" s="134"/>
      <c r="VNP31" s="134"/>
      <c r="VNS31" s="134"/>
      <c r="VNV31" s="134"/>
      <c r="VNY31" s="134"/>
      <c r="VOB31" s="134"/>
      <c r="VOE31" s="134"/>
      <c r="VOH31" s="134"/>
      <c r="VOK31" s="134"/>
      <c r="VON31" s="134"/>
      <c r="VOQ31" s="134"/>
      <c r="VOT31" s="134"/>
      <c r="VOW31" s="134"/>
      <c r="VOZ31" s="134"/>
      <c r="VPC31" s="134"/>
      <c r="VPF31" s="134"/>
      <c r="VPI31" s="134"/>
      <c r="VPL31" s="134"/>
      <c r="VPO31" s="134"/>
      <c r="VPR31" s="134"/>
      <c r="VPU31" s="134"/>
      <c r="VPX31" s="134"/>
      <c r="VQA31" s="134"/>
      <c r="VQD31" s="134"/>
      <c r="VQG31" s="134"/>
      <c r="VQJ31" s="134"/>
      <c r="VQM31" s="134"/>
      <c r="VQP31" s="134"/>
      <c r="VQS31" s="134"/>
      <c r="VQV31" s="134"/>
      <c r="VQY31" s="134"/>
      <c r="VRB31" s="134"/>
      <c r="VRE31" s="134"/>
      <c r="VRH31" s="134"/>
      <c r="VRK31" s="134"/>
      <c r="VRN31" s="134"/>
      <c r="VRQ31" s="134"/>
      <c r="VRT31" s="134"/>
      <c r="VRW31" s="134"/>
      <c r="VRZ31" s="134"/>
      <c r="VSC31" s="134"/>
      <c r="VSF31" s="134"/>
      <c r="VSI31" s="134"/>
      <c r="VSL31" s="134"/>
      <c r="VSO31" s="134"/>
      <c r="VSR31" s="134"/>
      <c r="VSU31" s="134"/>
      <c r="VSX31" s="134"/>
      <c r="VTA31" s="134"/>
      <c r="VTD31" s="134"/>
      <c r="VTG31" s="134"/>
      <c r="VTJ31" s="134"/>
      <c r="VTM31" s="134"/>
      <c r="VTP31" s="134"/>
      <c r="VTS31" s="134"/>
      <c r="VTV31" s="134"/>
      <c r="VTY31" s="134"/>
      <c r="VUB31" s="134"/>
      <c r="VUE31" s="134"/>
      <c r="VUH31" s="134"/>
      <c r="VUK31" s="134"/>
      <c r="VUN31" s="134"/>
      <c r="VUQ31" s="134"/>
      <c r="VUT31" s="134"/>
      <c r="VUW31" s="134"/>
      <c r="VUZ31" s="134"/>
      <c r="VVC31" s="134"/>
      <c r="VVF31" s="134"/>
      <c r="VVI31" s="134"/>
      <c r="VVL31" s="134"/>
      <c r="VVO31" s="134"/>
      <c r="VVR31" s="134"/>
      <c r="VVU31" s="134"/>
      <c r="VVX31" s="134"/>
      <c r="VWA31" s="134"/>
      <c r="VWD31" s="134"/>
      <c r="VWG31" s="134"/>
      <c r="VWJ31" s="134"/>
      <c r="VWM31" s="134"/>
      <c r="VWP31" s="134"/>
      <c r="VWS31" s="134"/>
      <c r="VWV31" s="134"/>
      <c r="VWY31" s="134"/>
      <c r="VXB31" s="134"/>
      <c r="VXE31" s="134"/>
      <c r="VXH31" s="134"/>
      <c r="VXK31" s="134"/>
      <c r="VXN31" s="134"/>
      <c r="VXQ31" s="134"/>
      <c r="VXT31" s="134"/>
      <c r="VXW31" s="134"/>
      <c r="VXZ31" s="134"/>
      <c r="VYC31" s="134"/>
      <c r="VYF31" s="134"/>
      <c r="VYI31" s="134"/>
      <c r="VYL31" s="134"/>
      <c r="VYO31" s="134"/>
      <c r="VYR31" s="134"/>
      <c r="VYU31" s="134"/>
      <c r="VYX31" s="134"/>
      <c r="VZA31" s="134"/>
      <c r="VZD31" s="134"/>
      <c r="VZG31" s="134"/>
      <c r="VZJ31" s="134"/>
      <c r="VZM31" s="134"/>
      <c r="VZP31" s="134"/>
      <c r="VZS31" s="134"/>
      <c r="VZV31" s="134"/>
      <c r="VZY31" s="134"/>
      <c r="WAB31" s="134"/>
      <c r="WAE31" s="134"/>
      <c r="WAH31" s="134"/>
      <c r="WAK31" s="134"/>
      <c r="WAN31" s="134"/>
      <c r="WAQ31" s="134"/>
      <c r="WAT31" s="134"/>
      <c r="WAW31" s="134"/>
      <c r="WAZ31" s="134"/>
      <c r="WBC31" s="134"/>
      <c r="WBF31" s="134"/>
      <c r="WBI31" s="134"/>
      <c r="WBL31" s="134"/>
      <c r="WBO31" s="134"/>
      <c r="WBR31" s="134"/>
      <c r="WBU31" s="134"/>
      <c r="WBX31" s="134"/>
      <c r="WCA31" s="134"/>
      <c r="WCD31" s="134"/>
      <c r="WCG31" s="134"/>
      <c r="WCJ31" s="134"/>
      <c r="WCM31" s="134"/>
      <c r="WCP31" s="134"/>
      <c r="WCS31" s="134"/>
      <c r="WCV31" s="134"/>
      <c r="WCY31" s="134"/>
      <c r="WDB31" s="134"/>
      <c r="WDE31" s="134"/>
      <c r="WDH31" s="134"/>
      <c r="WDK31" s="134"/>
      <c r="WDN31" s="134"/>
      <c r="WDQ31" s="134"/>
      <c r="WDT31" s="134"/>
      <c r="WDW31" s="134"/>
      <c r="WDZ31" s="134"/>
      <c r="WEC31" s="134"/>
      <c r="WEF31" s="134"/>
      <c r="WEI31" s="134"/>
      <c r="WEL31" s="134"/>
      <c r="WEO31" s="134"/>
      <c r="WER31" s="134"/>
      <c r="WEU31" s="134"/>
      <c r="WEX31" s="134"/>
      <c r="WFA31" s="134"/>
      <c r="WFD31" s="134"/>
      <c r="WFG31" s="134"/>
      <c r="WFJ31" s="134"/>
      <c r="WFM31" s="134"/>
      <c r="WFP31" s="134"/>
      <c r="WFS31" s="134"/>
      <c r="WFV31" s="134"/>
      <c r="WFY31" s="134"/>
      <c r="WGB31" s="134"/>
      <c r="WGE31" s="134"/>
      <c r="WGH31" s="134"/>
      <c r="WGK31" s="134"/>
      <c r="WGN31" s="134"/>
      <c r="WGQ31" s="134"/>
      <c r="WGT31" s="134"/>
      <c r="WGW31" s="134"/>
      <c r="WGZ31" s="134"/>
      <c r="WHC31" s="134"/>
      <c r="WHF31" s="134"/>
      <c r="WHI31" s="134"/>
      <c r="WHL31" s="134"/>
      <c r="WHO31" s="134"/>
      <c r="WHR31" s="134"/>
      <c r="WHU31" s="134"/>
      <c r="WHX31" s="134"/>
      <c r="WIA31" s="134"/>
      <c r="WID31" s="134"/>
      <c r="WIG31" s="134"/>
      <c r="WIJ31" s="134"/>
      <c r="WIM31" s="134"/>
      <c r="WIP31" s="134"/>
      <c r="WIS31" s="134"/>
      <c r="WIV31" s="134"/>
      <c r="WIY31" s="134"/>
      <c r="WJB31" s="134"/>
      <c r="WJE31" s="134"/>
      <c r="WJH31" s="134"/>
      <c r="WJK31" s="134"/>
      <c r="WJN31" s="134"/>
      <c r="WJQ31" s="134"/>
      <c r="WJT31" s="134"/>
      <c r="WJW31" s="134"/>
      <c r="WJZ31" s="134"/>
      <c r="WKC31" s="134"/>
      <c r="WKF31" s="134"/>
      <c r="WKI31" s="134"/>
      <c r="WKL31" s="134"/>
      <c r="WKO31" s="134"/>
      <c r="WKR31" s="134"/>
      <c r="WKU31" s="134"/>
      <c r="WKX31" s="134"/>
      <c r="WLA31" s="134"/>
      <c r="WLD31" s="134"/>
      <c r="WLG31" s="134"/>
      <c r="WLJ31" s="134"/>
      <c r="WLM31" s="134"/>
      <c r="WLP31" s="134"/>
      <c r="WLS31" s="134"/>
      <c r="WLV31" s="134"/>
      <c r="WLY31" s="134"/>
      <c r="WMB31" s="134"/>
      <c r="WME31" s="134"/>
      <c r="WMH31" s="134"/>
      <c r="WMK31" s="134"/>
      <c r="WMN31" s="134"/>
      <c r="WMQ31" s="134"/>
      <c r="WMT31" s="134"/>
      <c r="WMW31" s="134"/>
      <c r="WMZ31" s="134"/>
      <c r="WNC31" s="134"/>
      <c r="WNF31" s="134"/>
      <c r="WNI31" s="134"/>
      <c r="WNL31" s="134"/>
      <c r="WNO31" s="134"/>
      <c r="WNR31" s="134"/>
      <c r="WNU31" s="134"/>
      <c r="WNX31" s="134"/>
      <c r="WOA31" s="134"/>
      <c r="WOD31" s="134"/>
      <c r="WOG31" s="134"/>
      <c r="WOJ31" s="134"/>
      <c r="WOM31" s="134"/>
      <c r="WOP31" s="134"/>
      <c r="WOS31" s="134"/>
      <c r="WOV31" s="134"/>
      <c r="WOY31" s="134"/>
      <c r="WPB31" s="134"/>
      <c r="WPE31" s="134"/>
      <c r="WPH31" s="134"/>
      <c r="WPK31" s="134"/>
      <c r="WPN31" s="134"/>
      <c r="WPQ31" s="134"/>
      <c r="WPT31" s="134"/>
      <c r="WPW31" s="134"/>
      <c r="WPZ31" s="134"/>
      <c r="WQC31" s="134"/>
      <c r="WQF31" s="134"/>
      <c r="WQI31" s="134"/>
      <c r="WQL31" s="134"/>
      <c r="WQO31" s="134"/>
      <c r="WQR31" s="134"/>
      <c r="WQU31" s="134"/>
      <c r="WQX31" s="134"/>
      <c r="WRA31" s="134"/>
      <c r="WRD31" s="134"/>
      <c r="WRG31" s="134"/>
      <c r="WRJ31" s="134"/>
      <c r="WRM31" s="134"/>
      <c r="WRP31" s="134"/>
      <c r="WRS31" s="134"/>
      <c r="WRV31" s="134"/>
      <c r="WRY31" s="134"/>
      <c r="WSB31" s="134"/>
      <c r="WSE31" s="134"/>
      <c r="WSH31" s="134"/>
      <c r="WSK31" s="134"/>
      <c r="WSN31" s="134"/>
      <c r="WSQ31" s="134"/>
      <c r="WST31" s="134"/>
      <c r="WSW31" s="134"/>
      <c r="WSZ31" s="134"/>
      <c r="WTC31" s="134"/>
      <c r="WTF31" s="134"/>
      <c r="WTI31" s="134"/>
      <c r="WTL31" s="134"/>
      <c r="WTO31" s="134"/>
      <c r="WTR31" s="134"/>
      <c r="WTU31" s="134"/>
      <c r="WTX31" s="134"/>
      <c r="WUA31" s="134"/>
      <c r="WUD31" s="134"/>
      <c r="WUG31" s="134"/>
      <c r="WUJ31" s="134"/>
      <c r="WUM31" s="134"/>
      <c r="WUP31" s="134"/>
      <c r="WUS31" s="134"/>
      <c r="WUV31" s="134"/>
      <c r="WUY31" s="134"/>
      <c r="WVB31" s="134"/>
      <c r="WVE31" s="134"/>
      <c r="WVH31" s="134"/>
      <c r="WVK31" s="134"/>
      <c r="WVN31" s="134"/>
      <c r="WVQ31" s="134"/>
      <c r="WVT31" s="134"/>
      <c r="WVW31" s="134"/>
      <c r="WVZ31" s="134"/>
      <c r="WWC31" s="134"/>
      <c r="WWF31" s="134"/>
      <c r="WWI31" s="134"/>
      <c r="WWL31" s="134"/>
      <c r="WWO31" s="134"/>
      <c r="WWR31" s="134"/>
      <c r="WWU31" s="134"/>
      <c r="WWX31" s="134"/>
      <c r="WXA31" s="134"/>
      <c r="WXD31" s="134"/>
      <c r="WXG31" s="134"/>
      <c r="WXJ31" s="134"/>
      <c r="WXM31" s="134"/>
      <c r="WXP31" s="134"/>
      <c r="WXS31" s="134"/>
      <c r="WXV31" s="134"/>
      <c r="WXY31" s="134"/>
      <c r="WYB31" s="134"/>
      <c r="WYE31" s="134"/>
      <c r="WYH31" s="134"/>
      <c r="WYK31" s="134"/>
      <c r="WYN31" s="134"/>
      <c r="WYQ31" s="134"/>
      <c r="WYT31" s="134"/>
      <c r="WYW31" s="134"/>
      <c r="WYZ31" s="134"/>
      <c r="WZC31" s="134"/>
      <c r="WZF31" s="134"/>
      <c r="WZI31" s="134"/>
      <c r="WZL31" s="134"/>
      <c r="WZO31" s="134"/>
      <c r="WZR31" s="134"/>
      <c r="WZU31" s="134"/>
      <c r="WZX31" s="134"/>
      <c r="XAA31" s="134"/>
      <c r="XAD31" s="134"/>
      <c r="XAG31" s="134"/>
      <c r="XAJ31" s="134"/>
      <c r="XAM31" s="134"/>
      <c r="XAP31" s="134"/>
      <c r="XAS31" s="134"/>
      <c r="XAV31" s="134"/>
      <c r="XAY31" s="134"/>
      <c r="XBB31" s="134"/>
      <c r="XBE31" s="134"/>
      <c r="XBH31" s="134"/>
      <c r="XBK31" s="134"/>
      <c r="XBN31" s="134"/>
      <c r="XBQ31" s="134"/>
      <c r="XBT31" s="134"/>
      <c r="XBW31" s="134"/>
      <c r="XBZ31" s="134"/>
      <c r="XCC31" s="134"/>
      <c r="XCF31" s="134"/>
      <c r="XCI31" s="134"/>
      <c r="XCL31" s="134"/>
      <c r="XCO31" s="134"/>
      <c r="XCR31" s="134"/>
      <c r="XCU31" s="134"/>
      <c r="XCX31" s="134"/>
      <c r="XDA31" s="134"/>
      <c r="XDD31" s="134"/>
      <c r="XDG31" s="134"/>
      <c r="XDJ31" s="134"/>
      <c r="XDM31" s="134"/>
      <c r="XDP31" s="134"/>
      <c r="XDS31" s="134"/>
      <c r="XDV31" s="134"/>
      <c r="XDY31" s="134"/>
      <c r="XEB31" s="134"/>
      <c r="XEE31" s="134"/>
      <c r="XEH31" s="134"/>
      <c r="XEK31" s="134"/>
      <c r="XEN31" s="134"/>
      <c r="XEQ31" s="134"/>
      <c r="XET31" s="134"/>
      <c r="XEW31" s="134"/>
    </row>
    <row r="32" spans="1:1023 1026:2046 2049:3072 3075:4095 4098:5118 5121:6144 6147:7167 7170:8190 8193:9216 9219:10239 10242:11262 11265:12288 12291:13311 13314:14334 14337:15360 15363:16377" x14ac:dyDescent="0.35">
      <c r="A32" s="129">
        <v>5</v>
      </c>
      <c r="B32" s="130" t="s">
        <v>31</v>
      </c>
      <c r="C32" s="170">
        <v>8000</v>
      </c>
      <c r="F32" s="134"/>
      <c r="I32" s="134"/>
      <c r="L32" s="134"/>
      <c r="O32" s="134"/>
      <c r="R32" s="134"/>
      <c r="U32" s="134"/>
      <c r="X32" s="134"/>
      <c r="AA32" s="134"/>
      <c r="AD32" s="134"/>
      <c r="AG32" s="134"/>
      <c r="AJ32" s="134"/>
      <c r="AM32" s="134"/>
      <c r="AP32" s="134"/>
      <c r="AS32" s="134"/>
      <c r="AV32" s="134"/>
      <c r="AY32" s="134"/>
      <c r="BB32" s="134"/>
      <c r="BE32" s="134"/>
      <c r="BH32" s="134"/>
      <c r="BK32" s="134"/>
      <c r="BN32" s="134"/>
      <c r="BQ32" s="134"/>
      <c r="BT32" s="134"/>
      <c r="BW32" s="134"/>
      <c r="BZ32" s="134"/>
      <c r="CC32" s="134"/>
      <c r="CF32" s="134"/>
      <c r="CI32" s="134"/>
      <c r="CL32" s="134"/>
      <c r="CO32" s="134"/>
      <c r="CR32" s="134"/>
      <c r="CU32" s="134"/>
      <c r="CX32" s="134"/>
      <c r="DA32" s="134"/>
      <c r="DD32" s="134"/>
      <c r="DG32" s="134"/>
      <c r="DJ32" s="134"/>
      <c r="DM32" s="134"/>
      <c r="DP32" s="134"/>
      <c r="DS32" s="134"/>
      <c r="DV32" s="134"/>
      <c r="DY32" s="134"/>
      <c r="EB32" s="134"/>
      <c r="EE32" s="134"/>
      <c r="EH32" s="134"/>
      <c r="EK32" s="134"/>
      <c r="EN32" s="134"/>
      <c r="EQ32" s="134"/>
      <c r="ET32" s="134"/>
      <c r="EW32" s="134"/>
      <c r="EZ32" s="134"/>
      <c r="FC32" s="134"/>
      <c r="FF32" s="134"/>
      <c r="FI32" s="134"/>
      <c r="FL32" s="134"/>
      <c r="FO32" s="134"/>
      <c r="FR32" s="134"/>
      <c r="FU32" s="134"/>
      <c r="FX32" s="134"/>
      <c r="GA32" s="134"/>
      <c r="GD32" s="134"/>
      <c r="GG32" s="134"/>
      <c r="GJ32" s="134"/>
      <c r="GM32" s="134"/>
      <c r="GP32" s="134"/>
      <c r="GS32" s="134"/>
      <c r="GV32" s="134"/>
      <c r="GY32" s="134"/>
      <c r="HB32" s="134"/>
      <c r="HE32" s="134"/>
      <c r="HH32" s="134"/>
      <c r="HK32" s="134"/>
      <c r="HN32" s="134"/>
      <c r="HQ32" s="134"/>
      <c r="HT32" s="134"/>
      <c r="HW32" s="134"/>
      <c r="HZ32" s="134"/>
      <c r="IC32" s="134"/>
      <c r="IF32" s="134"/>
      <c r="II32" s="134"/>
      <c r="IL32" s="134"/>
      <c r="IO32" s="134"/>
      <c r="IR32" s="134"/>
      <c r="IU32" s="134"/>
      <c r="IX32" s="134"/>
      <c r="JA32" s="134"/>
      <c r="JD32" s="134"/>
      <c r="JG32" s="134"/>
      <c r="JJ32" s="134"/>
      <c r="JM32" s="134"/>
      <c r="JP32" s="134"/>
      <c r="JS32" s="134"/>
      <c r="JV32" s="134"/>
      <c r="JY32" s="134"/>
      <c r="KB32" s="134"/>
      <c r="KE32" s="134"/>
      <c r="KH32" s="134"/>
      <c r="KK32" s="134"/>
      <c r="KN32" s="134"/>
      <c r="KQ32" s="134"/>
      <c r="KT32" s="134"/>
      <c r="KW32" s="134"/>
      <c r="KZ32" s="134"/>
      <c r="LC32" s="134"/>
      <c r="LF32" s="134"/>
      <c r="LI32" s="134"/>
      <c r="LL32" s="134"/>
      <c r="LO32" s="134"/>
      <c r="LR32" s="134"/>
      <c r="LU32" s="134"/>
      <c r="LX32" s="134"/>
      <c r="MA32" s="134"/>
      <c r="MD32" s="134"/>
      <c r="MG32" s="134"/>
      <c r="MJ32" s="134"/>
      <c r="MM32" s="134"/>
      <c r="MP32" s="134"/>
      <c r="MS32" s="134"/>
      <c r="MV32" s="134"/>
      <c r="MY32" s="134"/>
      <c r="NB32" s="134"/>
      <c r="NE32" s="134"/>
      <c r="NH32" s="134"/>
      <c r="NK32" s="134"/>
      <c r="NN32" s="134"/>
      <c r="NQ32" s="134"/>
      <c r="NT32" s="134"/>
      <c r="NW32" s="134"/>
      <c r="NZ32" s="134"/>
      <c r="OC32" s="134"/>
      <c r="OF32" s="134"/>
      <c r="OI32" s="134"/>
      <c r="OL32" s="134"/>
      <c r="OO32" s="134"/>
      <c r="OR32" s="134"/>
      <c r="OU32" s="134"/>
      <c r="OX32" s="134"/>
      <c r="PA32" s="134"/>
      <c r="PD32" s="134"/>
      <c r="PG32" s="134"/>
      <c r="PJ32" s="134"/>
      <c r="PM32" s="134"/>
      <c r="PP32" s="134"/>
      <c r="PS32" s="134"/>
      <c r="PV32" s="134"/>
      <c r="PY32" s="134"/>
      <c r="QB32" s="134"/>
      <c r="QE32" s="134"/>
      <c r="QH32" s="134"/>
      <c r="QK32" s="134"/>
      <c r="QN32" s="134"/>
      <c r="QQ32" s="134"/>
      <c r="QT32" s="134"/>
      <c r="QW32" s="134"/>
      <c r="QZ32" s="134"/>
      <c r="RC32" s="134"/>
      <c r="RF32" s="134"/>
      <c r="RI32" s="134"/>
      <c r="RL32" s="134"/>
      <c r="RO32" s="134"/>
      <c r="RR32" s="134"/>
      <c r="RU32" s="134"/>
      <c r="RX32" s="134"/>
      <c r="SA32" s="134"/>
      <c r="SD32" s="134"/>
      <c r="SG32" s="134"/>
      <c r="SJ32" s="134"/>
      <c r="SM32" s="134"/>
      <c r="SP32" s="134"/>
      <c r="SS32" s="134"/>
      <c r="SV32" s="134"/>
      <c r="SY32" s="134"/>
      <c r="TB32" s="134"/>
      <c r="TE32" s="134"/>
      <c r="TH32" s="134"/>
      <c r="TK32" s="134"/>
      <c r="TN32" s="134"/>
      <c r="TQ32" s="134"/>
      <c r="TT32" s="134"/>
      <c r="TW32" s="134"/>
      <c r="TZ32" s="134"/>
      <c r="UC32" s="134"/>
      <c r="UF32" s="134"/>
      <c r="UI32" s="134"/>
      <c r="UL32" s="134"/>
      <c r="UO32" s="134"/>
      <c r="UR32" s="134"/>
      <c r="UU32" s="134"/>
      <c r="UX32" s="134"/>
      <c r="VA32" s="134"/>
      <c r="VD32" s="134"/>
      <c r="VG32" s="134"/>
      <c r="VJ32" s="134"/>
      <c r="VM32" s="134"/>
      <c r="VP32" s="134"/>
      <c r="VS32" s="134"/>
      <c r="VV32" s="134"/>
      <c r="VY32" s="134"/>
      <c r="WB32" s="134"/>
      <c r="WE32" s="134"/>
      <c r="WH32" s="134"/>
      <c r="WK32" s="134"/>
      <c r="WN32" s="134"/>
      <c r="WQ32" s="134"/>
      <c r="WT32" s="134"/>
      <c r="WW32" s="134"/>
      <c r="WZ32" s="134"/>
      <c r="XC32" s="134"/>
      <c r="XF32" s="134"/>
      <c r="XI32" s="134"/>
      <c r="XL32" s="134"/>
      <c r="XO32" s="134"/>
      <c r="XR32" s="134"/>
      <c r="XU32" s="134"/>
      <c r="XX32" s="134"/>
      <c r="YA32" s="134"/>
      <c r="YD32" s="134"/>
      <c r="YG32" s="134"/>
      <c r="YJ32" s="134"/>
      <c r="YM32" s="134"/>
      <c r="YP32" s="134"/>
      <c r="YS32" s="134"/>
      <c r="YV32" s="134"/>
      <c r="YY32" s="134"/>
      <c r="ZB32" s="134"/>
      <c r="ZE32" s="134"/>
      <c r="ZH32" s="134"/>
      <c r="ZK32" s="134"/>
      <c r="ZN32" s="134"/>
      <c r="ZQ32" s="134"/>
      <c r="ZT32" s="134"/>
      <c r="ZW32" s="134"/>
      <c r="ZZ32" s="134"/>
      <c r="AAC32" s="134"/>
      <c r="AAF32" s="134"/>
      <c r="AAI32" s="134"/>
      <c r="AAL32" s="134"/>
      <c r="AAO32" s="134"/>
      <c r="AAR32" s="134"/>
      <c r="AAU32" s="134"/>
      <c r="AAX32" s="134"/>
      <c r="ABA32" s="134"/>
      <c r="ABD32" s="134"/>
      <c r="ABG32" s="134"/>
      <c r="ABJ32" s="134"/>
      <c r="ABM32" s="134"/>
      <c r="ABP32" s="134"/>
      <c r="ABS32" s="134"/>
      <c r="ABV32" s="134"/>
      <c r="ABY32" s="134"/>
      <c r="ACB32" s="134"/>
      <c r="ACE32" s="134"/>
      <c r="ACH32" s="134"/>
      <c r="ACK32" s="134"/>
      <c r="ACN32" s="134"/>
      <c r="ACQ32" s="134"/>
      <c r="ACT32" s="134"/>
      <c r="ACW32" s="134"/>
      <c r="ACZ32" s="134"/>
      <c r="ADC32" s="134"/>
      <c r="ADF32" s="134"/>
      <c r="ADI32" s="134"/>
      <c r="ADL32" s="134"/>
      <c r="ADO32" s="134"/>
      <c r="ADR32" s="134"/>
      <c r="ADU32" s="134"/>
      <c r="ADX32" s="134"/>
      <c r="AEA32" s="134"/>
      <c r="AED32" s="134"/>
      <c r="AEG32" s="134"/>
      <c r="AEJ32" s="134"/>
      <c r="AEM32" s="134"/>
      <c r="AEP32" s="134"/>
      <c r="AES32" s="134"/>
      <c r="AEV32" s="134"/>
      <c r="AEY32" s="134"/>
      <c r="AFB32" s="134"/>
      <c r="AFE32" s="134"/>
      <c r="AFH32" s="134"/>
      <c r="AFK32" s="134"/>
      <c r="AFN32" s="134"/>
      <c r="AFQ32" s="134"/>
      <c r="AFT32" s="134"/>
      <c r="AFW32" s="134"/>
      <c r="AFZ32" s="134"/>
      <c r="AGC32" s="134"/>
      <c r="AGF32" s="134"/>
      <c r="AGI32" s="134"/>
      <c r="AGL32" s="134"/>
      <c r="AGO32" s="134"/>
      <c r="AGR32" s="134"/>
      <c r="AGU32" s="134"/>
      <c r="AGX32" s="134"/>
      <c r="AHA32" s="134"/>
      <c r="AHD32" s="134"/>
      <c r="AHG32" s="134"/>
      <c r="AHJ32" s="134"/>
      <c r="AHM32" s="134"/>
      <c r="AHP32" s="134"/>
      <c r="AHS32" s="134"/>
      <c r="AHV32" s="134"/>
      <c r="AHY32" s="134"/>
      <c r="AIB32" s="134"/>
      <c r="AIE32" s="134"/>
      <c r="AIH32" s="134"/>
      <c r="AIK32" s="134"/>
      <c r="AIN32" s="134"/>
      <c r="AIQ32" s="134"/>
      <c r="AIT32" s="134"/>
      <c r="AIW32" s="134"/>
      <c r="AIZ32" s="134"/>
      <c r="AJC32" s="134"/>
      <c r="AJF32" s="134"/>
      <c r="AJI32" s="134"/>
      <c r="AJL32" s="134"/>
      <c r="AJO32" s="134"/>
      <c r="AJR32" s="134"/>
      <c r="AJU32" s="134"/>
      <c r="AJX32" s="134"/>
      <c r="AKA32" s="134"/>
      <c r="AKD32" s="134"/>
      <c r="AKG32" s="134"/>
      <c r="AKJ32" s="134"/>
      <c r="AKM32" s="134"/>
      <c r="AKP32" s="134"/>
      <c r="AKS32" s="134"/>
      <c r="AKV32" s="134"/>
      <c r="AKY32" s="134"/>
      <c r="ALB32" s="134"/>
      <c r="ALE32" s="134"/>
      <c r="ALH32" s="134"/>
      <c r="ALK32" s="134"/>
      <c r="ALN32" s="134"/>
      <c r="ALQ32" s="134"/>
      <c r="ALT32" s="134"/>
      <c r="ALW32" s="134"/>
      <c r="ALZ32" s="134"/>
      <c r="AMC32" s="134"/>
      <c r="AMF32" s="134"/>
      <c r="AMI32" s="134"/>
      <c r="AML32" s="134"/>
      <c r="AMO32" s="134"/>
      <c r="AMR32" s="134"/>
      <c r="AMU32" s="134"/>
      <c r="AMX32" s="134"/>
      <c r="ANA32" s="134"/>
      <c r="AND32" s="134"/>
      <c r="ANG32" s="134"/>
      <c r="ANJ32" s="134"/>
      <c r="ANM32" s="134"/>
      <c r="ANP32" s="134"/>
      <c r="ANS32" s="134"/>
      <c r="ANV32" s="134"/>
      <c r="ANY32" s="134"/>
      <c r="AOB32" s="134"/>
      <c r="AOE32" s="134"/>
      <c r="AOH32" s="134"/>
      <c r="AOK32" s="134"/>
      <c r="AON32" s="134"/>
      <c r="AOQ32" s="134"/>
      <c r="AOT32" s="134"/>
      <c r="AOW32" s="134"/>
      <c r="AOZ32" s="134"/>
      <c r="APC32" s="134"/>
      <c r="APF32" s="134"/>
      <c r="API32" s="134"/>
      <c r="APL32" s="134"/>
      <c r="APO32" s="134"/>
      <c r="APR32" s="134"/>
      <c r="APU32" s="134"/>
      <c r="APX32" s="134"/>
      <c r="AQA32" s="134"/>
      <c r="AQD32" s="134"/>
      <c r="AQG32" s="134"/>
      <c r="AQJ32" s="134"/>
      <c r="AQM32" s="134"/>
      <c r="AQP32" s="134"/>
      <c r="AQS32" s="134"/>
      <c r="AQV32" s="134"/>
      <c r="AQY32" s="134"/>
      <c r="ARB32" s="134"/>
      <c r="ARE32" s="134"/>
      <c r="ARH32" s="134"/>
      <c r="ARK32" s="134"/>
      <c r="ARN32" s="134"/>
      <c r="ARQ32" s="134"/>
      <c r="ART32" s="134"/>
      <c r="ARW32" s="134"/>
      <c r="ARZ32" s="134"/>
      <c r="ASC32" s="134"/>
      <c r="ASF32" s="134"/>
      <c r="ASI32" s="134"/>
      <c r="ASL32" s="134"/>
      <c r="ASO32" s="134"/>
      <c r="ASR32" s="134"/>
      <c r="ASU32" s="134"/>
      <c r="ASX32" s="134"/>
      <c r="ATA32" s="134"/>
      <c r="ATD32" s="134"/>
      <c r="ATG32" s="134"/>
      <c r="ATJ32" s="134"/>
      <c r="ATM32" s="134"/>
      <c r="ATP32" s="134"/>
      <c r="ATS32" s="134"/>
      <c r="ATV32" s="134"/>
      <c r="ATY32" s="134"/>
      <c r="AUB32" s="134"/>
      <c r="AUE32" s="134"/>
      <c r="AUH32" s="134"/>
      <c r="AUK32" s="134"/>
      <c r="AUN32" s="134"/>
      <c r="AUQ32" s="134"/>
      <c r="AUT32" s="134"/>
      <c r="AUW32" s="134"/>
      <c r="AUZ32" s="134"/>
      <c r="AVC32" s="134"/>
      <c r="AVF32" s="134"/>
      <c r="AVI32" s="134"/>
      <c r="AVL32" s="134"/>
      <c r="AVO32" s="134"/>
      <c r="AVR32" s="134"/>
      <c r="AVU32" s="134"/>
      <c r="AVX32" s="134"/>
      <c r="AWA32" s="134"/>
      <c r="AWD32" s="134"/>
      <c r="AWG32" s="134"/>
      <c r="AWJ32" s="134"/>
      <c r="AWM32" s="134"/>
      <c r="AWP32" s="134"/>
      <c r="AWS32" s="134"/>
      <c r="AWV32" s="134"/>
      <c r="AWY32" s="134"/>
      <c r="AXB32" s="134"/>
      <c r="AXE32" s="134"/>
      <c r="AXH32" s="134"/>
      <c r="AXK32" s="134"/>
      <c r="AXN32" s="134"/>
      <c r="AXQ32" s="134"/>
      <c r="AXT32" s="134"/>
      <c r="AXW32" s="134"/>
      <c r="AXZ32" s="134"/>
      <c r="AYC32" s="134"/>
      <c r="AYF32" s="134"/>
      <c r="AYI32" s="134"/>
      <c r="AYL32" s="134"/>
      <c r="AYO32" s="134"/>
      <c r="AYR32" s="134"/>
      <c r="AYU32" s="134"/>
      <c r="AYX32" s="134"/>
      <c r="AZA32" s="134"/>
      <c r="AZD32" s="134"/>
      <c r="AZG32" s="134"/>
      <c r="AZJ32" s="134"/>
      <c r="AZM32" s="134"/>
      <c r="AZP32" s="134"/>
      <c r="AZS32" s="134"/>
      <c r="AZV32" s="134"/>
      <c r="AZY32" s="134"/>
      <c r="BAB32" s="134"/>
      <c r="BAE32" s="134"/>
      <c r="BAH32" s="134"/>
      <c r="BAK32" s="134"/>
      <c r="BAN32" s="134"/>
      <c r="BAQ32" s="134"/>
      <c r="BAT32" s="134"/>
      <c r="BAW32" s="134"/>
      <c r="BAZ32" s="134"/>
      <c r="BBC32" s="134"/>
      <c r="BBF32" s="134"/>
      <c r="BBI32" s="134"/>
      <c r="BBL32" s="134"/>
      <c r="BBO32" s="134"/>
      <c r="BBR32" s="134"/>
      <c r="BBU32" s="134"/>
      <c r="BBX32" s="134"/>
      <c r="BCA32" s="134"/>
      <c r="BCD32" s="134"/>
      <c r="BCG32" s="134"/>
      <c r="BCJ32" s="134"/>
      <c r="BCM32" s="134"/>
      <c r="BCP32" s="134"/>
      <c r="BCS32" s="134"/>
      <c r="BCV32" s="134"/>
      <c r="BCY32" s="134"/>
      <c r="BDB32" s="134"/>
      <c r="BDE32" s="134"/>
      <c r="BDH32" s="134"/>
      <c r="BDK32" s="134"/>
      <c r="BDN32" s="134"/>
      <c r="BDQ32" s="134"/>
      <c r="BDT32" s="134"/>
      <c r="BDW32" s="134"/>
      <c r="BDZ32" s="134"/>
      <c r="BEC32" s="134"/>
      <c r="BEF32" s="134"/>
      <c r="BEI32" s="134"/>
      <c r="BEL32" s="134"/>
      <c r="BEO32" s="134"/>
      <c r="BER32" s="134"/>
      <c r="BEU32" s="134"/>
      <c r="BEX32" s="134"/>
      <c r="BFA32" s="134"/>
      <c r="BFD32" s="134"/>
      <c r="BFG32" s="134"/>
      <c r="BFJ32" s="134"/>
      <c r="BFM32" s="134"/>
      <c r="BFP32" s="134"/>
      <c r="BFS32" s="134"/>
      <c r="BFV32" s="134"/>
      <c r="BFY32" s="134"/>
      <c r="BGB32" s="134"/>
      <c r="BGE32" s="134"/>
      <c r="BGH32" s="134"/>
      <c r="BGK32" s="134"/>
      <c r="BGN32" s="134"/>
      <c r="BGQ32" s="134"/>
      <c r="BGT32" s="134"/>
      <c r="BGW32" s="134"/>
      <c r="BGZ32" s="134"/>
      <c r="BHC32" s="134"/>
      <c r="BHF32" s="134"/>
      <c r="BHI32" s="134"/>
      <c r="BHL32" s="134"/>
      <c r="BHO32" s="134"/>
      <c r="BHR32" s="134"/>
      <c r="BHU32" s="134"/>
      <c r="BHX32" s="134"/>
      <c r="BIA32" s="134"/>
      <c r="BID32" s="134"/>
      <c r="BIG32" s="134"/>
      <c r="BIJ32" s="134"/>
      <c r="BIM32" s="134"/>
      <c r="BIP32" s="134"/>
      <c r="BIS32" s="134"/>
      <c r="BIV32" s="134"/>
      <c r="BIY32" s="134"/>
      <c r="BJB32" s="134"/>
      <c r="BJE32" s="134"/>
      <c r="BJH32" s="134"/>
      <c r="BJK32" s="134"/>
      <c r="BJN32" s="134"/>
      <c r="BJQ32" s="134"/>
      <c r="BJT32" s="134"/>
      <c r="BJW32" s="134"/>
      <c r="BJZ32" s="134"/>
      <c r="BKC32" s="134"/>
      <c r="BKF32" s="134"/>
      <c r="BKI32" s="134"/>
      <c r="BKL32" s="134"/>
      <c r="BKO32" s="134"/>
      <c r="BKR32" s="134"/>
      <c r="BKU32" s="134"/>
      <c r="BKX32" s="134"/>
      <c r="BLA32" s="134"/>
      <c r="BLD32" s="134"/>
      <c r="BLG32" s="134"/>
      <c r="BLJ32" s="134"/>
      <c r="BLM32" s="134"/>
      <c r="BLP32" s="134"/>
      <c r="BLS32" s="134"/>
      <c r="BLV32" s="134"/>
      <c r="BLY32" s="134"/>
      <c r="BMB32" s="134"/>
      <c r="BME32" s="134"/>
      <c r="BMH32" s="134"/>
      <c r="BMK32" s="134"/>
      <c r="BMN32" s="134"/>
      <c r="BMQ32" s="134"/>
      <c r="BMT32" s="134"/>
      <c r="BMW32" s="134"/>
      <c r="BMZ32" s="134"/>
      <c r="BNC32" s="134"/>
      <c r="BNF32" s="134"/>
      <c r="BNI32" s="134"/>
      <c r="BNL32" s="134"/>
      <c r="BNO32" s="134"/>
      <c r="BNR32" s="134"/>
      <c r="BNU32" s="134"/>
      <c r="BNX32" s="134"/>
      <c r="BOA32" s="134"/>
      <c r="BOD32" s="134"/>
      <c r="BOG32" s="134"/>
      <c r="BOJ32" s="134"/>
      <c r="BOM32" s="134"/>
      <c r="BOP32" s="134"/>
      <c r="BOS32" s="134"/>
      <c r="BOV32" s="134"/>
      <c r="BOY32" s="134"/>
      <c r="BPB32" s="134"/>
      <c r="BPE32" s="134"/>
      <c r="BPH32" s="134"/>
      <c r="BPK32" s="134"/>
      <c r="BPN32" s="134"/>
      <c r="BPQ32" s="134"/>
      <c r="BPT32" s="134"/>
      <c r="BPW32" s="134"/>
      <c r="BPZ32" s="134"/>
      <c r="BQC32" s="134"/>
      <c r="BQF32" s="134"/>
      <c r="BQI32" s="134"/>
      <c r="BQL32" s="134"/>
      <c r="BQO32" s="134"/>
      <c r="BQR32" s="134"/>
      <c r="BQU32" s="134"/>
      <c r="BQX32" s="134"/>
      <c r="BRA32" s="134"/>
      <c r="BRD32" s="134"/>
      <c r="BRG32" s="134"/>
      <c r="BRJ32" s="134"/>
      <c r="BRM32" s="134"/>
      <c r="BRP32" s="134"/>
      <c r="BRS32" s="134"/>
      <c r="BRV32" s="134"/>
      <c r="BRY32" s="134"/>
      <c r="BSB32" s="134"/>
      <c r="BSE32" s="134"/>
      <c r="BSH32" s="134"/>
      <c r="BSK32" s="134"/>
      <c r="BSN32" s="134"/>
      <c r="BSQ32" s="134"/>
      <c r="BST32" s="134"/>
      <c r="BSW32" s="134"/>
      <c r="BSZ32" s="134"/>
      <c r="BTC32" s="134"/>
      <c r="BTF32" s="134"/>
      <c r="BTI32" s="134"/>
      <c r="BTL32" s="134"/>
      <c r="BTO32" s="134"/>
      <c r="BTR32" s="134"/>
      <c r="BTU32" s="134"/>
      <c r="BTX32" s="134"/>
      <c r="BUA32" s="134"/>
      <c r="BUD32" s="134"/>
      <c r="BUG32" s="134"/>
      <c r="BUJ32" s="134"/>
      <c r="BUM32" s="134"/>
      <c r="BUP32" s="134"/>
      <c r="BUS32" s="134"/>
      <c r="BUV32" s="134"/>
      <c r="BUY32" s="134"/>
      <c r="BVB32" s="134"/>
      <c r="BVE32" s="134"/>
      <c r="BVH32" s="134"/>
      <c r="BVK32" s="134"/>
      <c r="BVN32" s="134"/>
      <c r="BVQ32" s="134"/>
      <c r="BVT32" s="134"/>
      <c r="BVW32" s="134"/>
      <c r="BVZ32" s="134"/>
      <c r="BWC32" s="134"/>
      <c r="BWF32" s="134"/>
      <c r="BWI32" s="134"/>
      <c r="BWL32" s="134"/>
      <c r="BWO32" s="134"/>
      <c r="BWR32" s="134"/>
      <c r="BWU32" s="134"/>
      <c r="BWX32" s="134"/>
      <c r="BXA32" s="134"/>
      <c r="BXD32" s="134"/>
      <c r="BXG32" s="134"/>
      <c r="BXJ32" s="134"/>
      <c r="BXM32" s="134"/>
      <c r="BXP32" s="134"/>
      <c r="BXS32" s="134"/>
      <c r="BXV32" s="134"/>
      <c r="BXY32" s="134"/>
      <c r="BYB32" s="134"/>
      <c r="BYE32" s="134"/>
      <c r="BYH32" s="134"/>
      <c r="BYK32" s="134"/>
      <c r="BYN32" s="134"/>
      <c r="BYQ32" s="134"/>
      <c r="BYT32" s="134"/>
      <c r="BYW32" s="134"/>
      <c r="BYZ32" s="134"/>
      <c r="BZC32" s="134"/>
      <c r="BZF32" s="134"/>
      <c r="BZI32" s="134"/>
      <c r="BZL32" s="134"/>
      <c r="BZO32" s="134"/>
      <c r="BZR32" s="134"/>
      <c r="BZU32" s="134"/>
      <c r="BZX32" s="134"/>
      <c r="CAA32" s="134"/>
      <c r="CAD32" s="134"/>
      <c r="CAG32" s="134"/>
      <c r="CAJ32" s="134"/>
      <c r="CAM32" s="134"/>
      <c r="CAP32" s="134"/>
      <c r="CAS32" s="134"/>
      <c r="CAV32" s="134"/>
      <c r="CAY32" s="134"/>
      <c r="CBB32" s="134"/>
      <c r="CBE32" s="134"/>
      <c r="CBH32" s="134"/>
      <c r="CBK32" s="134"/>
      <c r="CBN32" s="134"/>
      <c r="CBQ32" s="134"/>
      <c r="CBT32" s="134"/>
      <c r="CBW32" s="134"/>
      <c r="CBZ32" s="134"/>
      <c r="CCC32" s="134"/>
      <c r="CCF32" s="134"/>
      <c r="CCI32" s="134"/>
      <c r="CCL32" s="134"/>
      <c r="CCO32" s="134"/>
      <c r="CCR32" s="134"/>
      <c r="CCU32" s="134"/>
      <c r="CCX32" s="134"/>
      <c r="CDA32" s="134"/>
      <c r="CDD32" s="134"/>
      <c r="CDG32" s="134"/>
      <c r="CDJ32" s="134"/>
      <c r="CDM32" s="134"/>
      <c r="CDP32" s="134"/>
      <c r="CDS32" s="134"/>
      <c r="CDV32" s="134"/>
      <c r="CDY32" s="134"/>
      <c r="CEB32" s="134"/>
      <c r="CEE32" s="134"/>
      <c r="CEH32" s="134"/>
      <c r="CEK32" s="134"/>
      <c r="CEN32" s="134"/>
      <c r="CEQ32" s="134"/>
      <c r="CET32" s="134"/>
      <c r="CEW32" s="134"/>
      <c r="CEZ32" s="134"/>
      <c r="CFC32" s="134"/>
      <c r="CFF32" s="134"/>
      <c r="CFI32" s="134"/>
      <c r="CFL32" s="134"/>
      <c r="CFO32" s="134"/>
      <c r="CFR32" s="134"/>
      <c r="CFU32" s="134"/>
      <c r="CFX32" s="134"/>
      <c r="CGA32" s="134"/>
      <c r="CGD32" s="134"/>
      <c r="CGG32" s="134"/>
      <c r="CGJ32" s="134"/>
      <c r="CGM32" s="134"/>
      <c r="CGP32" s="134"/>
      <c r="CGS32" s="134"/>
      <c r="CGV32" s="134"/>
      <c r="CGY32" s="134"/>
      <c r="CHB32" s="134"/>
      <c r="CHE32" s="134"/>
      <c r="CHH32" s="134"/>
      <c r="CHK32" s="134"/>
      <c r="CHN32" s="134"/>
      <c r="CHQ32" s="134"/>
      <c r="CHT32" s="134"/>
      <c r="CHW32" s="134"/>
      <c r="CHZ32" s="134"/>
      <c r="CIC32" s="134"/>
      <c r="CIF32" s="134"/>
      <c r="CII32" s="134"/>
      <c r="CIL32" s="134"/>
      <c r="CIO32" s="134"/>
      <c r="CIR32" s="134"/>
      <c r="CIU32" s="134"/>
      <c r="CIX32" s="134"/>
      <c r="CJA32" s="134"/>
      <c r="CJD32" s="134"/>
      <c r="CJG32" s="134"/>
      <c r="CJJ32" s="134"/>
      <c r="CJM32" s="134"/>
      <c r="CJP32" s="134"/>
      <c r="CJS32" s="134"/>
      <c r="CJV32" s="134"/>
      <c r="CJY32" s="134"/>
      <c r="CKB32" s="134"/>
      <c r="CKE32" s="134"/>
      <c r="CKH32" s="134"/>
      <c r="CKK32" s="134"/>
      <c r="CKN32" s="134"/>
      <c r="CKQ32" s="134"/>
      <c r="CKT32" s="134"/>
      <c r="CKW32" s="134"/>
      <c r="CKZ32" s="134"/>
      <c r="CLC32" s="134"/>
      <c r="CLF32" s="134"/>
      <c r="CLI32" s="134"/>
      <c r="CLL32" s="134"/>
      <c r="CLO32" s="134"/>
      <c r="CLR32" s="134"/>
      <c r="CLU32" s="134"/>
      <c r="CLX32" s="134"/>
      <c r="CMA32" s="134"/>
      <c r="CMD32" s="134"/>
      <c r="CMG32" s="134"/>
      <c r="CMJ32" s="134"/>
      <c r="CMM32" s="134"/>
      <c r="CMP32" s="134"/>
      <c r="CMS32" s="134"/>
      <c r="CMV32" s="134"/>
      <c r="CMY32" s="134"/>
      <c r="CNB32" s="134"/>
      <c r="CNE32" s="134"/>
      <c r="CNH32" s="134"/>
      <c r="CNK32" s="134"/>
      <c r="CNN32" s="134"/>
      <c r="CNQ32" s="134"/>
      <c r="CNT32" s="134"/>
      <c r="CNW32" s="134"/>
      <c r="CNZ32" s="134"/>
      <c r="COC32" s="134"/>
      <c r="COF32" s="134"/>
      <c r="COI32" s="134"/>
      <c r="COL32" s="134"/>
      <c r="COO32" s="134"/>
      <c r="COR32" s="134"/>
      <c r="COU32" s="134"/>
      <c r="COX32" s="134"/>
      <c r="CPA32" s="134"/>
      <c r="CPD32" s="134"/>
      <c r="CPG32" s="134"/>
      <c r="CPJ32" s="134"/>
      <c r="CPM32" s="134"/>
      <c r="CPP32" s="134"/>
      <c r="CPS32" s="134"/>
      <c r="CPV32" s="134"/>
      <c r="CPY32" s="134"/>
      <c r="CQB32" s="134"/>
      <c r="CQE32" s="134"/>
      <c r="CQH32" s="134"/>
      <c r="CQK32" s="134"/>
      <c r="CQN32" s="134"/>
      <c r="CQQ32" s="134"/>
      <c r="CQT32" s="134"/>
      <c r="CQW32" s="134"/>
      <c r="CQZ32" s="134"/>
      <c r="CRC32" s="134"/>
      <c r="CRF32" s="134"/>
      <c r="CRI32" s="134"/>
      <c r="CRL32" s="134"/>
      <c r="CRO32" s="134"/>
      <c r="CRR32" s="134"/>
      <c r="CRU32" s="134"/>
      <c r="CRX32" s="134"/>
      <c r="CSA32" s="134"/>
      <c r="CSD32" s="134"/>
      <c r="CSG32" s="134"/>
      <c r="CSJ32" s="134"/>
      <c r="CSM32" s="134"/>
      <c r="CSP32" s="134"/>
      <c r="CSS32" s="134"/>
      <c r="CSV32" s="134"/>
      <c r="CSY32" s="134"/>
      <c r="CTB32" s="134"/>
      <c r="CTE32" s="134"/>
      <c r="CTH32" s="134"/>
      <c r="CTK32" s="134"/>
      <c r="CTN32" s="134"/>
      <c r="CTQ32" s="134"/>
      <c r="CTT32" s="134"/>
      <c r="CTW32" s="134"/>
      <c r="CTZ32" s="134"/>
      <c r="CUC32" s="134"/>
      <c r="CUF32" s="134"/>
      <c r="CUI32" s="134"/>
      <c r="CUL32" s="134"/>
      <c r="CUO32" s="134"/>
      <c r="CUR32" s="134"/>
      <c r="CUU32" s="134"/>
      <c r="CUX32" s="134"/>
      <c r="CVA32" s="134"/>
      <c r="CVD32" s="134"/>
      <c r="CVG32" s="134"/>
      <c r="CVJ32" s="134"/>
      <c r="CVM32" s="134"/>
      <c r="CVP32" s="134"/>
      <c r="CVS32" s="134"/>
      <c r="CVV32" s="134"/>
      <c r="CVY32" s="134"/>
      <c r="CWB32" s="134"/>
      <c r="CWE32" s="134"/>
      <c r="CWH32" s="134"/>
      <c r="CWK32" s="134"/>
      <c r="CWN32" s="134"/>
      <c r="CWQ32" s="134"/>
      <c r="CWT32" s="134"/>
      <c r="CWW32" s="134"/>
      <c r="CWZ32" s="134"/>
      <c r="CXC32" s="134"/>
      <c r="CXF32" s="134"/>
      <c r="CXI32" s="134"/>
      <c r="CXL32" s="134"/>
      <c r="CXO32" s="134"/>
      <c r="CXR32" s="134"/>
      <c r="CXU32" s="134"/>
      <c r="CXX32" s="134"/>
      <c r="CYA32" s="134"/>
      <c r="CYD32" s="134"/>
      <c r="CYG32" s="134"/>
      <c r="CYJ32" s="134"/>
      <c r="CYM32" s="134"/>
      <c r="CYP32" s="134"/>
      <c r="CYS32" s="134"/>
      <c r="CYV32" s="134"/>
      <c r="CYY32" s="134"/>
      <c r="CZB32" s="134"/>
      <c r="CZE32" s="134"/>
      <c r="CZH32" s="134"/>
      <c r="CZK32" s="134"/>
      <c r="CZN32" s="134"/>
      <c r="CZQ32" s="134"/>
      <c r="CZT32" s="134"/>
      <c r="CZW32" s="134"/>
      <c r="CZZ32" s="134"/>
      <c r="DAC32" s="134"/>
      <c r="DAF32" s="134"/>
      <c r="DAI32" s="134"/>
      <c r="DAL32" s="134"/>
      <c r="DAO32" s="134"/>
      <c r="DAR32" s="134"/>
      <c r="DAU32" s="134"/>
      <c r="DAX32" s="134"/>
      <c r="DBA32" s="134"/>
      <c r="DBD32" s="134"/>
      <c r="DBG32" s="134"/>
      <c r="DBJ32" s="134"/>
      <c r="DBM32" s="134"/>
      <c r="DBP32" s="134"/>
      <c r="DBS32" s="134"/>
      <c r="DBV32" s="134"/>
      <c r="DBY32" s="134"/>
      <c r="DCB32" s="134"/>
      <c r="DCE32" s="134"/>
      <c r="DCH32" s="134"/>
      <c r="DCK32" s="134"/>
      <c r="DCN32" s="134"/>
      <c r="DCQ32" s="134"/>
      <c r="DCT32" s="134"/>
      <c r="DCW32" s="134"/>
      <c r="DCZ32" s="134"/>
      <c r="DDC32" s="134"/>
      <c r="DDF32" s="134"/>
      <c r="DDI32" s="134"/>
      <c r="DDL32" s="134"/>
      <c r="DDO32" s="134"/>
      <c r="DDR32" s="134"/>
      <c r="DDU32" s="134"/>
      <c r="DDX32" s="134"/>
      <c r="DEA32" s="134"/>
      <c r="DED32" s="134"/>
      <c r="DEG32" s="134"/>
      <c r="DEJ32" s="134"/>
      <c r="DEM32" s="134"/>
      <c r="DEP32" s="134"/>
      <c r="DES32" s="134"/>
      <c r="DEV32" s="134"/>
      <c r="DEY32" s="134"/>
      <c r="DFB32" s="134"/>
      <c r="DFE32" s="134"/>
      <c r="DFH32" s="134"/>
      <c r="DFK32" s="134"/>
      <c r="DFN32" s="134"/>
      <c r="DFQ32" s="134"/>
      <c r="DFT32" s="134"/>
      <c r="DFW32" s="134"/>
      <c r="DFZ32" s="134"/>
      <c r="DGC32" s="134"/>
      <c r="DGF32" s="134"/>
      <c r="DGI32" s="134"/>
      <c r="DGL32" s="134"/>
      <c r="DGO32" s="134"/>
      <c r="DGR32" s="134"/>
      <c r="DGU32" s="134"/>
      <c r="DGX32" s="134"/>
      <c r="DHA32" s="134"/>
      <c r="DHD32" s="134"/>
      <c r="DHG32" s="134"/>
      <c r="DHJ32" s="134"/>
      <c r="DHM32" s="134"/>
      <c r="DHP32" s="134"/>
      <c r="DHS32" s="134"/>
      <c r="DHV32" s="134"/>
      <c r="DHY32" s="134"/>
      <c r="DIB32" s="134"/>
      <c r="DIE32" s="134"/>
      <c r="DIH32" s="134"/>
      <c r="DIK32" s="134"/>
      <c r="DIN32" s="134"/>
      <c r="DIQ32" s="134"/>
      <c r="DIT32" s="134"/>
      <c r="DIW32" s="134"/>
      <c r="DIZ32" s="134"/>
      <c r="DJC32" s="134"/>
      <c r="DJF32" s="134"/>
      <c r="DJI32" s="134"/>
      <c r="DJL32" s="134"/>
      <c r="DJO32" s="134"/>
      <c r="DJR32" s="134"/>
      <c r="DJU32" s="134"/>
      <c r="DJX32" s="134"/>
      <c r="DKA32" s="134"/>
      <c r="DKD32" s="134"/>
      <c r="DKG32" s="134"/>
      <c r="DKJ32" s="134"/>
      <c r="DKM32" s="134"/>
      <c r="DKP32" s="134"/>
      <c r="DKS32" s="134"/>
      <c r="DKV32" s="134"/>
      <c r="DKY32" s="134"/>
      <c r="DLB32" s="134"/>
      <c r="DLE32" s="134"/>
      <c r="DLH32" s="134"/>
      <c r="DLK32" s="134"/>
      <c r="DLN32" s="134"/>
      <c r="DLQ32" s="134"/>
      <c r="DLT32" s="134"/>
      <c r="DLW32" s="134"/>
      <c r="DLZ32" s="134"/>
      <c r="DMC32" s="134"/>
      <c r="DMF32" s="134"/>
      <c r="DMI32" s="134"/>
      <c r="DML32" s="134"/>
      <c r="DMO32" s="134"/>
      <c r="DMR32" s="134"/>
      <c r="DMU32" s="134"/>
      <c r="DMX32" s="134"/>
      <c r="DNA32" s="134"/>
      <c r="DND32" s="134"/>
      <c r="DNG32" s="134"/>
      <c r="DNJ32" s="134"/>
      <c r="DNM32" s="134"/>
      <c r="DNP32" s="134"/>
      <c r="DNS32" s="134"/>
      <c r="DNV32" s="134"/>
      <c r="DNY32" s="134"/>
      <c r="DOB32" s="134"/>
      <c r="DOE32" s="134"/>
      <c r="DOH32" s="134"/>
      <c r="DOK32" s="134"/>
      <c r="DON32" s="134"/>
      <c r="DOQ32" s="134"/>
      <c r="DOT32" s="134"/>
      <c r="DOW32" s="134"/>
      <c r="DOZ32" s="134"/>
      <c r="DPC32" s="134"/>
      <c r="DPF32" s="134"/>
      <c r="DPI32" s="134"/>
      <c r="DPL32" s="134"/>
      <c r="DPO32" s="134"/>
      <c r="DPR32" s="134"/>
      <c r="DPU32" s="134"/>
      <c r="DPX32" s="134"/>
      <c r="DQA32" s="134"/>
      <c r="DQD32" s="134"/>
      <c r="DQG32" s="134"/>
      <c r="DQJ32" s="134"/>
      <c r="DQM32" s="134"/>
      <c r="DQP32" s="134"/>
      <c r="DQS32" s="134"/>
      <c r="DQV32" s="134"/>
      <c r="DQY32" s="134"/>
      <c r="DRB32" s="134"/>
      <c r="DRE32" s="134"/>
      <c r="DRH32" s="134"/>
      <c r="DRK32" s="134"/>
      <c r="DRN32" s="134"/>
      <c r="DRQ32" s="134"/>
      <c r="DRT32" s="134"/>
      <c r="DRW32" s="134"/>
      <c r="DRZ32" s="134"/>
      <c r="DSC32" s="134"/>
      <c r="DSF32" s="134"/>
      <c r="DSI32" s="134"/>
      <c r="DSL32" s="134"/>
      <c r="DSO32" s="134"/>
      <c r="DSR32" s="134"/>
      <c r="DSU32" s="134"/>
      <c r="DSX32" s="134"/>
      <c r="DTA32" s="134"/>
      <c r="DTD32" s="134"/>
      <c r="DTG32" s="134"/>
      <c r="DTJ32" s="134"/>
      <c r="DTM32" s="134"/>
      <c r="DTP32" s="134"/>
      <c r="DTS32" s="134"/>
      <c r="DTV32" s="134"/>
      <c r="DTY32" s="134"/>
      <c r="DUB32" s="134"/>
      <c r="DUE32" s="134"/>
      <c r="DUH32" s="134"/>
      <c r="DUK32" s="134"/>
      <c r="DUN32" s="134"/>
      <c r="DUQ32" s="134"/>
      <c r="DUT32" s="134"/>
      <c r="DUW32" s="134"/>
      <c r="DUZ32" s="134"/>
      <c r="DVC32" s="134"/>
      <c r="DVF32" s="134"/>
      <c r="DVI32" s="134"/>
      <c r="DVL32" s="134"/>
      <c r="DVO32" s="134"/>
      <c r="DVR32" s="134"/>
      <c r="DVU32" s="134"/>
      <c r="DVX32" s="134"/>
      <c r="DWA32" s="134"/>
      <c r="DWD32" s="134"/>
      <c r="DWG32" s="134"/>
      <c r="DWJ32" s="134"/>
      <c r="DWM32" s="134"/>
      <c r="DWP32" s="134"/>
      <c r="DWS32" s="134"/>
      <c r="DWV32" s="134"/>
      <c r="DWY32" s="134"/>
      <c r="DXB32" s="134"/>
      <c r="DXE32" s="134"/>
      <c r="DXH32" s="134"/>
      <c r="DXK32" s="134"/>
      <c r="DXN32" s="134"/>
      <c r="DXQ32" s="134"/>
      <c r="DXT32" s="134"/>
      <c r="DXW32" s="134"/>
      <c r="DXZ32" s="134"/>
      <c r="DYC32" s="134"/>
      <c r="DYF32" s="134"/>
      <c r="DYI32" s="134"/>
      <c r="DYL32" s="134"/>
      <c r="DYO32" s="134"/>
      <c r="DYR32" s="134"/>
      <c r="DYU32" s="134"/>
      <c r="DYX32" s="134"/>
      <c r="DZA32" s="134"/>
      <c r="DZD32" s="134"/>
      <c r="DZG32" s="134"/>
      <c r="DZJ32" s="134"/>
      <c r="DZM32" s="134"/>
      <c r="DZP32" s="134"/>
      <c r="DZS32" s="134"/>
      <c r="DZV32" s="134"/>
      <c r="DZY32" s="134"/>
      <c r="EAB32" s="134"/>
      <c r="EAE32" s="134"/>
      <c r="EAH32" s="134"/>
      <c r="EAK32" s="134"/>
      <c r="EAN32" s="134"/>
      <c r="EAQ32" s="134"/>
      <c r="EAT32" s="134"/>
      <c r="EAW32" s="134"/>
      <c r="EAZ32" s="134"/>
      <c r="EBC32" s="134"/>
      <c r="EBF32" s="134"/>
      <c r="EBI32" s="134"/>
      <c r="EBL32" s="134"/>
      <c r="EBO32" s="134"/>
      <c r="EBR32" s="134"/>
      <c r="EBU32" s="134"/>
      <c r="EBX32" s="134"/>
      <c r="ECA32" s="134"/>
      <c r="ECD32" s="134"/>
      <c r="ECG32" s="134"/>
      <c r="ECJ32" s="134"/>
      <c r="ECM32" s="134"/>
      <c r="ECP32" s="134"/>
      <c r="ECS32" s="134"/>
      <c r="ECV32" s="134"/>
      <c r="ECY32" s="134"/>
      <c r="EDB32" s="134"/>
      <c r="EDE32" s="134"/>
      <c r="EDH32" s="134"/>
      <c r="EDK32" s="134"/>
      <c r="EDN32" s="134"/>
      <c r="EDQ32" s="134"/>
      <c r="EDT32" s="134"/>
      <c r="EDW32" s="134"/>
      <c r="EDZ32" s="134"/>
      <c r="EEC32" s="134"/>
      <c r="EEF32" s="134"/>
      <c r="EEI32" s="134"/>
      <c r="EEL32" s="134"/>
      <c r="EEO32" s="134"/>
      <c r="EER32" s="134"/>
      <c r="EEU32" s="134"/>
      <c r="EEX32" s="134"/>
      <c r="EFA32" s="134"/>
      <c r="EFD32" s="134"/>
      <c r="EFG32" s="134"/>
      <c r="EFJ32" s="134"/>
      <c r="EFM32" s="134"/>
      <c r="EFP32" s="134"/>
      <c r="EFS32" s="134"/>
      <c r="EFV32" s="134"/>
      <c r="EFY32" s="134"/>
      <c r="EGB32" s="134"/>
      <c r="EGE32" s="134"/>
      <c r="EGH32" s="134"/>
      <c r="EGK32" s="134"/>
      <c r="EGN32" s="134"/>
      <c r="EGQ32" s="134"/>
      <c r="EGT32" s="134"/>
      <c r="EGW32" s="134"/>
      <c r="EGZ32" s="134"/>
      <c r="EHC32" s="134"/>
      <c r="EHF32" s="134"/>
      <c r="EHI32" s="134"/>
      <c r="EHL32" s="134"/>
      <c r="EHO32" s="134"/>
      <c r="EHR32" s="134"/>
      <c r="EHU32" s="134"/>
      <c r="EHX32" s="134"/>
      <c r="EIA32" s="134"/>
      <c r="EID32" s="134"/>
      <c r="EIG32" s="134"/>
      <c r="EIJ32" s="134"/>
      <c r="EIM32" s="134"/>
      <c r="EIP32" s="134"/>
      <c r="EIS32" s="134"/>
      <c r="EIV32" s="134"/>
      <c r="EIY32" s="134"/>
      <c r="EJB32" s="134"/>
      <c r="EJE32" s="134"/>
      <c r="EJH32" s="134"/>
      <c r="EJK32" s="134"/>
      <c r="EJN32" s="134"/>
      <c r="EJQ32" s="134"/>
      <c r="EJT32" s="134"/>
      <c r="EJW32" s="134"/>
      <c r="EJZ32" s="134"/>
      <c r="EKC32" s="134"/>
      <c r="EKF32" s="134"/>
      <c r="EKI32" s="134"/>
      <c r="EKL32" s="134"/>
      <c r="EKO32" s="134"/>
      <c r="EKR32" s="134"/>
      <c r="EKU32" s="134"/>
      <c r="EKX32" s="134"/>
      <c r="ELA32" s="134"/>
      <c r="ELD32" s="134"/>
      <c r="ELG32" s="134"/>
      <c r="ELJ32" s="134"/>
      <c r="ELM32" s="134"/>
      <c r="ELP32" s="134"/>
      <c r="ELS32" s="134"/>
      <c r="ELV32" s="134"/>
      <c r="ELY32" s="134"/>
      <c r="EMB32" s="134"/>
      <c r="EME32" s="134"/>
      <c r="EMH32" s="134"/>
      <c r="EMK32" s="134"/>
      <c r="EMN32" s="134"/>
      <c r="EMQ32" s="134"/>
      <c r="EMT32" s="134"/>
      <c r="EMW32" s="134"/>
      <c r="EMZ32" s="134"/>
      <c r="ENC32" s="134"/>
      <c r="ENF32" s="134"/>
      <c r="ENI32" s="134"/>
      <c r="ENL32" s="134"/>
      <c r="ENO32" s="134"/>
      <c r="ENR32" s="134"/>
      <c r="ENU32" s="134"/>
      <c r="ENX32" s="134"/>
      <c r="EOA32" s="134"/>
      <c r="EOD32" s="134"/>
      <c r="EOG32" s="134"/>
      <c r="EOJ32" s="134"/>
      <c r="EOM32" s="134"/>
      <c r="EOP32" s="134"/>
      <c r="EOS32" s="134"/>
      <c r="EOV32" s="134"/>
      <c r="EOY32" s="134"/>
      <c r="EPB32" s="134"/>
      <c r="EPE32" s="134"/>
      <c r="EPH32" s="134"/>
      <c r="EPK32" s="134"/>
      <c r="EPN32" s="134"/>
      <c r="EPQ32" s="134"/>
      <c r="EPT32" s="134"/>
      <c r="EPW32" s="134"/>
      <c r="EPZ32" s="134"/>
      <c r="EQC32" s="134"/>
      <c r="EQF32" s="134"/>
      <c r="EQI32" s="134"/>
      <c r="EQL32" s="134"/>
      <c r="EQO32" s="134"/>
      <c r="EQR32" s="134"/>
      <c r="EQU32" s="134"/>
      <c r="EQX32" s="134"/>
      <c r="ERA32" s="134"/>
      <c r="ERD32" s="134"/>
      <c r="ERG32" s="134"/>
      <c r="ERJ32" s="134"/>
      <c r="ERM32" s="134"/>
      <c r="ERP32" s="134"/>
      <c r="ERS32" s="134"/>
      <c r="ERV32" s="134"/>
      <c r="ERY32" s="134"/>
      <c r="ESB32" s="134"/>
      <c r="ESE32" s="134"/>
      <c r="ESH32" s="134"/>
      <c r="ESK32" s="134"/>
      <c r="ESN32" s="134"/>
      <c r="ESQ32" s="134"/>
      <c r="EST32" s="134"/>
      <c r="ESW32" s="134"/>
      <c r="ESZ32" s="134"/>
      <c r="ETC32" s="134"/>
      <c r="ETF32" s="134"/>
      <c r="ETI32" s="134"/>
      <c r="ETL32" s="134"/>
      <c r="ETO32" s="134"/>
      <c r="ETR32" s="134"/>
      <c r="ETU32" s="134"/>
      <c r="ETX32" s="134"/>
      <c r="EUA32" s="134"/>
      <c r="EUD32" s="134"/>
      <c r="EUG32" s="134"/>
      <c r="EUJ32" s="134"/>
      <c r="EUM32" s="134"/>
      <c r="EUP32" s="134"/>
      <c r="EUS32" s="134"/>
      <c r="EUV32" s="134"/>
      <c r="EUY32" s="134"/>
      <c r="EVB32" s="134"/>
      <c r="EVE32" s="134"/>
      <c r="EVH32" s="134"/>
      <c r="EVK32" s="134"/>
      <c r="EVN32" s="134"/>
      <c r="EVQ32" s="134"/>
      <c r="EVT32" s="134"/>
      <c r="EVW32" s="134"/>
      <c r="EVZ32" s="134"/>
      <c r="EWC32" s="134"/>
      <c r="EWF32" s="134"/>
      <c r="EWI32" s="134"/>
      <c r="EWL32" s="134"/>
      <c r="EWO32" s="134"/>
      <c r="EWR32" s="134"/>
      <c r="EWU32" s="134"/>
      <c r="EWX32" s="134"/>
      <c r="EXA32" s="134"/>
      <c r="EXD32" s="134"/>
      <c r="EXG32" s="134"/>
      <c r="EXJ32" s="134"/>
      <c r="EXM32" s="134"/>
      <c r="EXP32" s="134"/>
      <c r="EXS32" s="134"/>
      <c r="EXV32" s="134"/>
      <c r="EXY32" s="134"/>
      <c r="EYB32" s="134"/>
      <c r="EYE32" s="134"/>
      <c r="EYH32" s="134"/>
      <c r="EYK32" s="134"/>
      <c r="EYN32" s="134"/>
      <c r="EYQ32" s="134"/>
      <c r="EYT32" s="134"/>
      <c r="EYW32" s="134"/>
      <c r="EYZ32" s="134"/>
      <c r="EZC32" s="134"/>
      <c r="EZF32" s="134"/>
      <c r="EZI32" s="134"/>
      <c r="EZL32" s="134"/>
      <c r="EZO32" s="134"/>
      <c r="EZR32" s="134"/>
      <c r="EZU32" s="134"/>
      <c r="EZX32" s="134"/>
      <c r="FAA32" s="134"/>
      <c r="FAD32" s="134"/>
      <c r="FAG32" s="134"/>
      <c r="FAJ32" s="134"/>
      <c r="FAM32" s="134"/>
      <c r="FAP32" s="134"/>
      <c r="FAS32" s="134"/>
      <c r="FAV32" s="134"/>
      <c r="FAY32" s="134"/>
      <c r="FBB32" s="134"/>
      <c r="FBE32" s="134"/>
      <c r="FBH32" s="134"/>
      <c r="FBK32" s="134"/>
      <c r="FBN32" s="134"/>
      <c r="FBQ32" s="134"/>
      <c r="FBT32" s="134"/>
      <c r="FBW32" s="134"/>
      <c r="FBZ32" s="134"/>
      <c r="FCC32" s="134"/>
      <c r="FCF32" s="134"/>
      <c r="FCI32" s="134"/>
      <c r="FCL32" s="134"/>
      <c r="FCO32" s="134"/>
      <c r="FCR32" s="134"/>
      <c r="FCU32" s="134"/>
      <c r="FCX32" s="134"/>
      <c r="FDA32" s="134"/>
      <c r="FDD32" s="134"/>
      <c r="FDG32" s="134"/>
      <c r="FDJ32" s="134"/>
      <c r="FDM32" s="134"/>
      <c r="FDP32" s="134"/>
      <c r="FDS32" s="134"/>
      <c r="FDV32" s="134"/>
      <c r="FDY32" s="134"/>
      <c r="FEB32" s="134"/>
      <c r="FEE32" s="134"/>
      <c r="FEH32" s="134"/>
      <c r="FEK32" s="134"/>
      <c r="FEN32" s="134"/>
      <c r="FEQ32" s="134"/>
      <c r="FET32" s="134"/>
      <c r="FEW32" s="134"/>
      <c r="FEZ32" s="134"/>
      <c r="FFC32" s="134"/>
      <c r="FFF32" s="134"/>
      <c r="FFI32" s="134"/>
      <c r="FFL32" s="134"/>
      <c r="FFO32" s="134"/>
      <c r="FFR32" s="134"/>
      <c r="FFU32" s="134"/>
      <c r="FFX32" s="134"/>
      <c r="FGA32" s="134"/>
      <c r="FGD32" s="134"/>
      <c r="FGG32" s="134"/>
      <c r="FGJ32" s="134"/>
      <c r="FGM32" s="134"/>
      <c r="FGP32" s="134"/>
      <c r="FGS32" s="134"/>
      <c r="FGV32" s="134"/>
      <c r="FGY32" s="134"/>
      <c r="FHB32" s="134"/>
      <c r="FHE32" s="134"/>
      <c r="FHH32" s="134"/>
      <c r="FHK32" s="134"/>
      <c r="FHN32" s="134"/>
      <c r="FHQ32" s="134"/>
      <c r="FHT32" s="134"/>
      <c r="FHW32" s="134"/>
      <c r="FHZ32" s="134"/>
      <c r="FIC32" s="134"/>
      <c r="FIF32" s="134"/>
      <c r="FII32" s="134"/>
      <c r="FIL32" s="134"/>
      <c r="FIO32" s="134"/>
      <c r="FIR32" s="134"/>
      <c r="FIU32" s="134"/>
      <c r="FIX32" s="134"/>
      <c r="FJA32" s="134"/>
      <c r="FJD32" s="134"/>
      <c r="FJG32" s="134"/>
      <c r="FJJ32" s="134"/>
      <c r="FJM32" s="134"/>
      <c r="FJP32" s="134"/>
      <c r="FJS32" s="134"/>
      <c r="FJV32" s="134"/>
      <c r="FJY32" s="134"/>
      <c r="FKB32" s="134"/>
      <c r="FKE32" s="134"/>
      <c r="FKH32" s="134"/>
      <c r="FKK32" s="134"/>
      <c r="FKN32" s="134"/>
      <c r="FKQ32" s="134"/>
      <c r="FKT32" s="134"/>
      <c r="FKW32" s="134"/>
      <c r="FKZ32" s="134"/>
      <c r="FLC32" s="134"/>
      <c r="FLF32" s="134"/>
      <c r="FLI32" s="134"/>
      <c r="FLL32" s="134"/>
      <c r="FLO32" s="134"/>
      <c r="FLR32" s="134"/>
      <c r="FLU32" s="134"/>
      <c r="FLX32" s="134"/>
      <c r="FMA32" s="134"/>
      <c r="FMD32" s="134"/>
      <c r="FMG32" s="134"/>
      <c r="FMJ32" s="134"/>
      <c r="FMM32" s="134"/>
      <c r="FMP32" s="134"/>
      <c r="FMS32" s="134"/>
      <c r="FMV32" s="134"/>
      <c r="FMY32" s="134"/>
      <c r="FNB32" s="134"/>
      <c r="FNE32" s="134"/>
      <c r="FNH32" s="134"/>
      <c r="FNK32" s="134"/>
      <c r="FNN32" s="134"/>
      <c r="FNQ32" s="134"/>
      <c r="FNT32" s="134"/>
      <c r="FNW32" s="134"/>
      <c r="FNZ32" s="134"/>
      <c r="FOC32" s="134"/>
      <c r="FOF32" s="134"/>
      <c r="FOI32" s="134"/>
      <c r="FOL32" s="134"/>
      <c r="FOO32" s="134"/>
      <c r="FOR32" s="134"/>
      <c r="FOU32" s="134"/>
      <c r="FOX32" s="134"/>
      <c r="FPA32" s="134"/>
      <c r="FPD32" s="134"/>
      <c r="FPG32" s="134"/>
      <c r="FPJ32" s="134"/>
      <c r="FPM32" s="134"/>
      <c r="FPP32" s="134"/>
      <c r="FPS32" s="134"/>
      <c r="FPV32" s="134"/>
      <c r="FPY32" s="134"/>
      <c r="FQB32" s="134"/>
      <c r="FQE32" s="134"/>
      <c r="FQH32" s="134"/>
      <c r="FQK32" s="134"/>
      <c r="FQN32" s="134"/>
      <c r="FQQ32" s="134"/>
      <c r="FQT32" s="134"/>
      <c r="FQW32" s="134"/>
      <c r="FQZ32" s="134"/>
      <c r="FRC32" s="134"/>
      <c r="FRF32" s="134"/>
      <c r="FRI32" s="134"/>
      <c r="FRL32" s="134"/>
      <c r="FRO32" s="134"/>
      <c r="FRR32" s="134"/>
      <c r="FRU32" s="134"/>
      <c r="FRX32" s="134"/>
      <c r="FSA32" s="134"/>
      <c r="FSD32" s="134"/>
      <c r="FSG32" s="134"/>
      <c r="FSJ32" s="134"/>
      <c r="FSM32" s="134"/>
      <c r="FSP32" s="134"/>
      <c r="FSS32" s="134"/>
      <c r="FSV32" s="134"/>
      <c r="FSY32" s="134"/>
      <c r="FTB32" s="134"/>
      <c r="FTE32" s="134"/>
      <c r="FTH32" s="134"/>
      <c r="FTK32" s="134"/>
      <c r="FTN32" s="134"/>
      <c r="FTQ32" s="134"/>
      <c r="FTT32" s="134"/>
      <c r="FTW32" s="134"/>
      <c r="FTZ32" s="134"/>
      <c r="FUC32" s="134"/>
      <c r="FUF32" s="134"/>
      <c r="FUI32" s="134"/>
      <c r="FUL32" s="134"/>
      <c r="FUO32" s="134"/>
      <c r="FUR32" s="134"/>
      <c r="FUU32" s="134"/>
      <c r="FUX32" s="134"/>
      <c r="FVA32" s="134"/>
      <c r="FVD32" s="134"/>
      <c r="FVG32" s="134"/>
      <c r="FVJ32" s="134"/>
      <c r="FVM32" s="134"/>
      <c r="FVP32" s="134"/>
      <c r="FVS32" s="134"/>
      <c r="FVV32" s="134"/>
      <c r="FVY32" s="134"/>
      <c r="FWB32" s="134"/>
      <c r="FWE32" s="134"/>
      <c r="FWH32" s="134"/>
      <c r="FWK32" s="134"/>
      <c r="FWN32" s="134"/>
      <c r="FWQ32" s="134"/>
      <c r="FWT32" s="134"/>
      <c r="FWW32" s="134"/>
      <c r="FWZ32" s="134"/>
      <c r="FXC32" s="134"/>
      <c r="FXF32" s="134"/>
      <c r="FXI32" s="134"/>
      <c r="FXL32" s="134"/>
      <c r="FXO32" s="134"/>
      <c r="FXR32" s="134"/>
      <c r="FXU32" s="134"/>
      <c r="FXX32" s="134"/>
      <c r="FYA32" s="134"/>
      <c r="FYD32" s="134"/>
      <c r="FYG32" s="134"/>
      <c r="FYJ32" s="134"/>
      <c r="FYM32" s="134"/>
      <c r="FYP32" s="134"/>
      <c r="FYS32" s="134"/>
      <c r="FYV32" s="134"/>
      <c r="FYY32" s="134"/>
      <c r="FZB32" s="134"/>
      <c r="FZE32" s="134"/>
      <c r="FZH32" s="134"/>
      <c r="FZK32" s="134"/>
      <c r="FZN32" s="134"/>
      <c r="FZQ32" s="134"/>
      <c r="FZT32" s="134"/>
      <c r="FZW32" s="134"/>
      <c r="FZZ32" s="134"/>
      <c r="GAC32" s="134"/>
      <c r="GAF32" s="134"/>
      <c r="GAI32" s="134"/>
      <c r="GAL32" s="134"/>
      <c r="GAO32" s="134"/>
      <c r="GAR32" s="134"/>
      <c r="GAU32" s="134"/>
      <c r="GAX32" s="134"/>
      <c r="GBA32" s="134"/>
      <c r="GBD32" s="134"/>
      <c r="GBG32" s="134"/>
      <c r="GBJ32" s="134"/>
      <c r="GBM32" s="134"/>
      <c r="GBP32" s="134"/>
      <c r="GBS32" s="134"/>
      <c r="GBV32" s="134"/>
      <c r="GBY32" s="134"/>
      <c r="GCB32" s="134"/>
      <c r="GCE32" s="134"/>
      <c r="GCH32" s="134"/>
      <c r="GCK32" s="134"/>
      <c r="GCN32" s="134"/>
      <c r="GCQ32" s="134"/>
      <c r="GCT32" s="134"/>
      <c r="GCW32" s="134"/>
      <c r="GCZ32" s="134"/>
      <c r="GDC32" s="134"/>
      <c r="GDF32" s="134"/>
      <c r="GDI32" s="134"/>
      <c r="GDL32" s="134"/>
      <c r="GDO32" s="134"/>
      <c r="GDR32" s="134"/>
      <c r="GDU32" s="134"/>
      <c r="GDX32" s="134"/>
      <c r="GEA32" s="134"/>
      <c r="GED32" s="134"/>
      <c r="GEG32" s="134"/>
      <c r="GEJ32" s="134"/>
      <c r="GEM32" s="134"/>
      <c r="GEP32" s="134"/>
      <c r="GES32" s="134"/>
      <c r="GEV32" s="134"/>
      <c r="GEY32" s="134"/>
      <c r="GFB32" s="134"/>
      <c r="GFE32" s="134"/>
      <c r="GFH32" s="134"/>
      <c r="GFK32" s="134"/>
      <c r="GFN32" s="134"/>
      <c r="GFQ32" s="134"/>
      <c r="GFT32" s="134"/>
      <c r="GFW32" s="134"/>
      <c r="GFZ32" s="134"/>
      <c r="GGC32" s="134"/>
      <c r="GGF32" s="134"/>
      <c r="GGI32" s="134"/>
      <c r="GGL32" s="134"/>
      <c r="GGO32" s="134"/>
      <c r="GGR32" s="134"/>
      <c r="GGU32" s="134"/>
      <c r="GGX32" s="134"/>
      <c r="GHA32" s="134"/>
      <c r="GHD32" s="134"/>
      <c r="GHG32" s="134"/>
      <c r="GHJ32" s="134"/>
      <c r="GHM32" s="134"/>
      <c r="GHP32" s="134"/>
      <c r="GHS32" s="134"/>
      <c r="GHV32" s="134"/>
      <c r="GHY32" s="134"/>
      <c r="GIB32" s="134"/>
      <c r="GIE32" s="134"/>
      <c r="GIH32" s="134"/>
      <c r="GIK32" s="134"/>
      <c r="GIN32" s="134"/>
      <c r="GIQ32" s="134"/>
      <c r="GIT32" s="134"/>
      <c r="GIW32" s="134"/>
      <c r="GIZ32" s="134"/>
      <c r="GJC32" s="134"/>
      <c r="GJF32" s="134"/>
      <c r="GJI32" s="134"/>
      <c r="GJL32" s="134"/>
      <c r="GJO32" s="134"/>
      <c r="GJR32" s="134"/>
      <c r="GJU32" s="134"/>
      <c r="GJX32" s="134"/>
      <c r="GKA32" s="134"/>
      <c r="GKD32" s="134"/>
      <c r="GKG32" s="134"/>
      <c r="GKJ32" s="134"/>
      <c r="GKM32" s="134"/>
      <c r="GKP32" s="134"/>
      <c r="GKS32" s="134"/>
      <c r="GKV32" s="134"/>
      <c r="GKY32" s="134"/>
      <c r="GLB32" s="134"/>
      <c r="GLE32" s="134"/>
      <c r="GLH32" s="134"/>
      <c r="GLK32" s="134"/>
      <c r="GLN32" s="134"/>
      <c r="GLQ32" s="134"/>
      <c r="GLT32" s="134"/>
      <c r="GLW32" s="134"/>
      <c r="GLZ32" s="134"/>
      <c r="GMC32" s="134"/>
      <c r="GMF32" s="134"/>
      <c r="GMI32" s="134"/>
      <c r="GML32" s="134"/>
      <c r="GMO32" s="134"/>
      <c r="GMR32" s="134"/>
      <c r="GMU32" s="134"/>
      <c r="GMX32" s="134"/>
      <c r="GNA32" s="134"/>
      <c r="GND32" s="134"/>
      <c r="GNG32" s="134"/>
      <c r="GNJ32" s="134"/>
      <c r="GNM32" s="134"/>
      <c r="GNP32" s="134"/>
      <c r="GNS32" s="134"/>
      <c r="GNV32" s="134"/>
      <c r="GNY32" s="134"/>
      <c r="GOB32" s="134"/>
      <c r="GOE32" s="134"/>
      <c r="GOH32" s="134"/>
      <c r="GOK32" s="134"/>
      <c r="GON32" s="134"/>
      <c r="GOQ32" s="134"/>
      <c r="GOT32" s="134"/>
      <c r="GOW32" s="134"/>
      <c r="GOZ32" s="134"/>
      <c r="GPC32" s="134"/>
      <c r="GPF32" s="134"/>
      <c r="GPI32" s="134"/>
      <c r="GPL32" s="134"/>
      <c r="GPO32" s="134"/>
      <c r="GPR32" s="134"/>
      <c r="GPU32" s="134"/>
      <c r="GPX32" s="134"/>
      <c r="GQA32" s="134"/>
      <c r="GQD32" s="134"/>
      <c r="GQG32" s="134"/>
      <c r="GQJ32" s="134"/>
      <c r="GQM32" s="134"/>
      <c r="GQP32" s="134"/>
      <c r="GQS32" s="134"/>
      <c r="GQV32" s="134"/>
      <c r="GQY32" s="134"/>
      <c r="GRB32" s="134"/>
      <c r="GRE32" s="134"/>
      <c r="GRH32" s="134"/>
      <c r="GRK32" s="134"/>
      <c r="GRN32" s="134"/>
      <c r="GRQ32" s="134"/>
      <c r="GRT32" s="134"/>
      <c r="GRW32" s="134"/>
      <c r="GRZ32" s="134"/>
      <c r="GSC32" s="134"/>
      <c r="GSF32" s="134"/>
      <c r="GSI32" s="134"/>
      <c r="GSL32" s="134"/>
      <c r="GSO32" s="134"/>
      <c r="GSR32" s="134"/>
      <c r="GSU32" s="134"/>
      <c r="GSX32" s="134"/>
      <c r="GTA32" s="134"/>
      <c r="GTD32" s="134"/>
      <c r="GTG32" s="134"/>
      <c r="GTJ32" s="134"/>
      <c r="GTM32" s="134"/>
      <c r="GTP32" s="134"/>
      <c r="GTS32" s="134"/>
      <c r="GTV32" s="134"/>
      <c r="GTY32" s="134"/>
      <c r="GUB32" s="134"/>
      <c r="GUE32" s="134"/>
      <c r="GUH32" s="134"/>
      <c r="GUK32" s="134"/>
      <c r="GUN32" s="134"/>
      <c r="GUQ32" s="134"/>
      <c r="GUT32" s="134"/>
      <c r="GUW32" s="134"/>
      <c r="GUZ32" s="134"/>
      <c r="GVC32" s="134"/>
      <c r="GVF32" s="134"/>
      <c r="GVI32" s="134"/>
      <c r="GVL32" s="134"/>
      <c r="GVO32" s="134"/>
      <c r="GVR32" s="134"/>
      <c r="GVU32" s="134"/>
      <c r="GVX32" s="134"/>
      <c r="GWA32" s="134"/>
      <c r="GWD32" s="134"/>
      <c r="GWG32" s="134"/>
      <c r="GWJ32" s="134"/>
      <c r="GWM32" s="134"/>
      <c r="GWP32" s="134"/>
      <c r="GWS32" s="134"/>
      <c r="GWV32" s="134"/>
      <c r="GWY32" s="134"/>
      <c r="GXB32" s="134"/>
      <c r="GXE32" s="134"/>
      <c r="GXH32" s="134"/>
      <c r="GXK32" s="134"/>
      <c r="GXN32" s="134"/>
      <c r="GXQ32" s="134"/>
      <c r="GXT32" s="134"/>
      <c r="GXW32" s="134"/>
      <c r="GXZ32" s="134"/>
      <c r="GYC32" s="134"/>
      <c r="GYF32" s="134"/>
      <c r="GYI32" s="134"/>
      <c r="GYL32" s="134"/>
      <c r="GYO32" s="134"/>
      <c r="GYR32" s="134"/>
      <c r="GYU32" s="134"/>
      <c r="GYX32" s="134"/>
      <c r="GZA32" s="134"/>
      <c r="GZD32" s="134"/>
      <c r="GZG32" s="134"/>
      <c r="GZJ32" s="134"/>
      <c r="GZM32" s="134"/>
      <c r="GZP32" s="134"/>
      <c r="GZS32" s="134"/>
      <c r="GZV32" s="134"/>
      <c r="GZY32" s="134"/>
      <c r="HAB32" s="134"/>
      <c r="HAE32" s="134"/>
      <c r="HAH32" s="134"/>
      <c r="HAK32" s="134"/>
      <c r="HAN32" s="134"/>
      <c r="HAQ32" s="134"/>
      <c r="HAT32" s="134"/>
      <c r="HAW32" s="134"/>
      <c r="HAZ32" s="134"/>
      <c r="HBC32" s="134"/>
      <c r="HBF32" s="134"/>
      <c r="HBI32" s="134"/>
      <c r="HBL32" s="134"/>
      <c r="HBO32" s="134"/>
      <c r="HBR32" s="134"/>
      <c r="HBU32" s="134"/>
      <c r="HBX32" s="134"/>
      <c r="HCA32" s="134"/>
      <c r="HCD32" s="134"/>
      <c r="HCG32" s="134"/>
      <c r="HCJ32" s="134"/>
      <c r="HCM32" s="134"/>
      <c r="HCP32" s="134"/>
      <c r="HCS32" s="134"/>
      <c r="HCV32" s="134"/>
      <c r="HCY32" s="134"/>
      <c r="HDB32" s="134"/>
      <c r="HDE32" s="134"/>
      <c r="HDH32" s="134"/>
      <c r="HDK32" s="134"/>
      <c r="HDN32" s="134"/>
      <c r="HDQ32" s="134"/>
      <c r="HDT32" s="134"/>
      <c r="HDW32" s="134"/>
      <c r="HDZ32" s="134"/>
      <c r="HEC32" s="134"/>
      <c r="HEF32" s="134"/>
      <c r="HEI32" s="134"/>
      <c r="HEL32" s="134"/>
      <c r="HEO32" s="134"/>
      <c r="HER32" s="134"/>
      <c r="HEU32" s="134"/>
      <c r="HEX32" s="134"/>
      <c r="HFA32" s="134"/>
      <c r="HFD32" s="134"/>
      <c r="HFG32" s="134"/>
      <c r="HFJ32" s="134"/>
      <c r="HFM32" s="134"/>
      <c r="HFP32" s="134"/>
      <c r="HFS32" s="134"/>
      <c r="HFV32" s="134"/>
      <c r="HFY32" s="134"/>
      <c r="HGB32" s="134"/>
      <c r="HGE32" s="134"/>
      <c r="HGH32" s="134"/>
      <c r="HGK32" s="134"/>
      <c r="HGN32" s="134"/>
      <c r="HGQ32" s="134"/>
      <c r="HGT32" s="134"/>
      <c r="HGW32" s="134"/>
      <c r="HGZ32" s="134"/>
      <c r="HHC32" s="134"/>
      <c r="HHF32" s="134"/>
      <c r="HHI32" s="134"/>
      <c r="HHL32" s="134"/>
      <c r="HHO32" s="134"/>
      <c r="HHR32" s="134"/>
      <c r="HHU32" s="134"/>
      <c r="HHX32" s="134"/>
      <c r="HIA32" s="134"/>
      <c r="HID32" s="134"/>
      <c r="HIG32" s="134"/>
      <c r="HIJ32" s="134"/>
      <c r="HIM32" s="134"/>
      <c r="HIP32" s="134"/>
      <c r="HIS32" s="134"/>
      <c r="HIV32" s="134"/>
      <c r="HIY32" s="134"/>
      <c r="HJB32" s="134"/>
      <c r="HJE32" s="134"/>
      <c r="HJH32" s="134"/>
      <c r="HJK32" s="134"/>
      <c r="HJN32" s="134"/>
      <c r="HJQ32" s="134"/>
      <c r="HJT32" s="134"/>
      <c r="HJW32" s="134"/>
      <c r="HJZ32" s="134"/>
      <c r="HKC32" s="134"/>
      <c r="HKF32" s="134"/>
      <c r="HKI32" s="134"/>
      <c r="HKL32" s="134"/>
      <c r="HKO32" s="134"/>
      <c r="HKR32" s="134"/>
      <c r="HKU32" s="134"/>
      <c r="HKX32" s="134"/>
      <c r="HLA32" s="134"/>
      <c r="HLD32" s="134"/>
      <c r="HLG32" s="134"/>
      <c r="HLJ32" s="134"/>
      <c r="HLM32" s="134"/>
      <c r="HLP32" s="134"/>
      <c r="HLS32" s="134"/>
      <c r="HLV32" s="134"/>
      <c r="HLY32" s="134"/>
      <c r="HMB32" s="134"/>
      <c r="HME32" s="134"/>
      <c r="HMH32" s="134"/>
      <c r="HMK32" s="134"/>
      <c r="HMN32" s="134"/>
      <c r="HMQ32" s="134"/>
      <c r="HMT32" s="134"/>
      <c r="HMW32" s="134"/>
      <c r="HMZ32" s="134"/>
      <c r="HNC32" s="134"/>
      <c r="HNF32" s="134"/>
      <c r="HNI32" s="134"/>
      <c r="HNL32" s="134"/>
      <c r="HNO32" s="134"/>
      <c r="HNR32" s="134"/>
      <c r="HNU32" s="134"/>
      <c r="HNX32" s="134"/>
      <c r="HOA32" s="134"/>
      <c r="HOD32" s="134"/>
      <c r="HOG32" s="134"/>
      <c r="HOJ32" s="134"/>
      <c r="HOM32" s="134"/>
      <c r="HOP32" s="134"/>
      <c r="HOS32" s="134"/>
      <c r="HOV32" s="134"/>
      <c r="HOY32" s="134"/>
      <c r="HPB32" s="134"/>
      <c r="HPE32" s="134"/>
      <c r="HPH32" s="134"/>
      <c r="HPK32" s="134"/>
      <c r="HPN32" s="134"/>
      <c r="HPQ32" s="134"/>
      <c r="HPT32" s="134"/>
      <c r="HPW32" s="134"/>
      <c r="HPZ32" s="134"/>
      <c r="HQC32" s="134"/>
      <c r="HQF32" s="134"/>
      <c r="HQI32" s="134"/>
      <c r="HQL32" s="134"/>
      <c r="HQO32" s="134"/>
      <c r="HQR32" s="134"/>
      <c r="HQU32" s="134"/>
      <c r="HQX32" s="134"/>
      <c r="HRA32" s="134"/>
      <c r="HRD32" s="134"/>
      <c r="HRG32" s="134"/>
      <c r="HRJ32" s="134"/>
      <c r="HRM32" s="134"/>
      <c r="HRP32" s="134"/>
      <c r="HRS32" s="134"/>
      <c r="HRV32" s="134"/>
      <c r="HRY32" s="134"/>
      <c r="HSB32" s="134"/>
      <c r="HSE32" s="134"/>
      <c r="HSH32" s="134"/>
      <c r="HSK32" s="134"/>
      <c r="HSN32" s="134"/>
      <c r="HSQ32" s="134"/>
      <c r="HST32" s="134"/>
      <c r="HSW32" s="134"/>
      <c r="HSZ32" s="134"/>
      <c r="HTC32" s="134"/>
      <c r="HTF32" s="134"/>
      <c r="HTI32" s="134"/>
      <c r="HTL32" s="134"/>
      <c r="HTO32" s="134"/>
      <c r="HTR32" s="134"/>
      <c r="HTU32" s="134"/>
      <c r="HTX32" s="134"/>
      <c r="HUA32" s="134"/>
      <c r="HUD32" s="134"/>
      <c r="HUG32" s="134"/>
      <c r="HUJ32" s="134"/>
      <c r="HUM32" s="134"/>
      <c r="HUP32" s="134"/>
      <c r="HUS32" s="134"/>
      <c r="HUV32" s="134"/>
      <c r="HUY32" s="134"/>
      <c r="HVB32" s="134"/>
      <c r="HVE32" s="134"/>
      <c r="HVH32" s="134"/>
      <c r="HVK32" s="134"/>
      <c r="HVN32" s="134"/>
      <c r="HVQ32" s="134"/>
      <c r="HVT32" s="134"/>
      <c r="HVW32" s="134"/>
      <c r="HVZ32" s="134"/>
      <c r="HWC32" s="134"/>
      <c r="HWF32" s="134"/>
      <c r="HWI32" s="134"/>
      <c r="HWL32" s="134"/>
      <c r="HWO32" s="134"/>
      <c r="HWR32" s="134"/>
      <c r="HWU32" s="134"/>
      <c r="HWX32" s="134"/>
      <c r="HXA32" s="134"/>
      <c r="HXD32" s="134"/>
      <c r="HXG32" s="134"/>
      <c r="HXJ32" s="134"/>
      <c r="HXM32" s="134"/>
      <c r="HXP32" s="134"/>
      <c r="HXS32" s="134"/>
      <c r="HXV32" s="134"/>
      <c r="HXY32" s="134"/>
      <c r="HYB32" s="134"/>
      <c r="HYE32" s="134"/>
      <c r="HYH32" s="134"/>
      <c r="HYK32" s="134"/>
      <c r="HYN32" s="134"/>
      <c r="HYQ32" s="134"/>
      <c r="HYT32" s="134"/>
      <c r="HYW32" s="134"/>
      <c r="HYZ32" s="134"/>
      <c r="HZC32" s="134"/>
      <c r="HZF32" s="134"/>
      <c r="HZI32" s="134"/>
      <c r="HZL32" s="134"/>
      <c r="HZO32" s="134"/>
      <c r="HZR32" s="134"/>
      <c r="HZU32" s="134"/>
      <c r="HZX32" s="134"/>
      <c r="IAA32" s="134"/>
      <c r="IAD32" s="134"/>
      <c r="IAG32" s="134"/>
      <c r="IAJ32" s="134"/>
      <c r="IAM32" s="134"/>
      <c r="IAP32" s="134"/>
      <c r="IAS32" s="134"/>
      <c r="IAV32" s="134"/>
      <c r="IAY32" s="134"/>
      <c r="IBB32" s="134"/>
      <c r="IBE32" s="134"/>
      <c r="IBH32" s="134"/>
      <c r="IBK32" s="134"/>
      <c r="IBN32" s="134"/>
      <c r="IBQ32" s="134"/>
      <c r="IBT32" s="134"/>
      <c r="IBW32" s="134"/>
      <c r="IBZ32" s="134"/>
      <c r="ICC32" s="134"/>
      <c r="ICF32" s="134"/>
      <c r="ICI32" s="134"/>
      <c r="ICL32" s="134"/>
      <c r="ICO32" s="134"/>
      <c r="ICR32" s="134"/>
      <c r="ICU32" s="134"/>
      <c r="ICX32" s="134"/>
      <c r="IDA32" s="134"/>
      <c r="IDD32" s="134"/>
      <c r="IDG32" s="134"/>
      <c r="IDJ32" s="134"/>
      <c r="IDM32" s="134"/>
      <c r="IDP32" s="134"/>
      <c r="IDS32" s="134"/>
      <c r="IDV32" s="134"/>
      <c r="IDY32" s="134"/>
      <c r="IEB32" s="134"/>
      <c r="IEE32" s="134"/>
      <c r="IEH32" s="134"/>
      <c r="IEK32" s="134"/>
      <c r="IEN32" s="134"/>
      <c r="IEQ32" s="134"/>
      <c r="IET32" s="134"/>
      <c r="IEW32" s="134"/>
      <c r="IEZ32" s="134"/>
      <c r="IFC32" s="134"/>
      <c r="IFF32" s="134"/>
      <c r="IFI32" s="134"/>
      <c r="IFL32" s="134"/>
      <c r="IFO32" s="134"/>
      <c r="IFR32" s="134"/>
      <c r="IFU32" s="134"/>
      <c r="IFX32" s="134"/>
      <c r="IGA32" s="134"/>
      <c r="IGD32" s="134"/>
      <c r="IGG32" s="134"/>
      <c r="IGJ32" s="134"/>
      <c r="IGM32" s="134"/>
      <c r="IGP32" s="134"/>
      <c r="IGS32" s="134"/>
      <c r="IGV32" s="134"/>
      <c r="IGY32" s="134"/>
      <c r="IHB32" s="134"/>
      <c r="IHE32" s="134"/>
      <c r="IHH32" s="134"/>
      <c r="IHK32" s="134"/>
      <c r="IHN32" s="134"/>
      <c r="IHQ32" s="134"/>
      <c r="IHT32" s="134"/>
      <c r="IHW32" s="134"/>
      <c r="IHZ32" s="134"/>
      <c r="IIC32" s="134"/>
      <c r="IIF32" s="134"/>
      <c r="III32" s="134"/>
      <c r="IIL32" s="134"/>
      <c r="IIO32" s="134"/>
      <c r="IIR32" s="134"/>
      <c r="IIU32" s="134"/>
      <c r="IIX32" s="134"/>
      <c r="IJA32" s="134"/>
      <c r="IJD32" s="134"/>
      <c r="IJG32" s="134"/>
      <c r="IJJ32" s="134"/>
      <c r="IJM32" s="134"/>
      <c r="IJP32" s="134"/>
      <c r="IJS32" s="134"/>
      <c r="IJV32" s="134"/>
      <c r="IJY32" s="134"/>
      <c r="IKB32" s="134"/>
      <c r="IKE32" s="134"/>
      <c r="IKH32" s="134"/>
      <c r="IKK32" s="134"/>
      <c r="IKN32" s="134"/>
      <c r="IKQ32" s="134"/>
      <c r="IKT32" s="134"/>
      <c r="IKW32" s="134"/>
      <c r="IKZ32" s="134"/>
      <c r="ILC32" s="134"/>
      <c r="ILF32" s="134"/>
      <c r="ILI32" s="134"/>
      <c r="ILL32" s="134"/>
      <c r="ILO32" s="134"/>
      <c r="ILR32" s="134"/>
      <c r="ILU32" s="134"/>
      <c r="ILX32" s="134"/>
      <c r="IMA32" s="134"/>
      <c r="IMD32" s="134"/>
      <c r="IMG32" s="134"/>
      <c r="IMJ32" s="134"/>
      <c r="IMM32" s="134"/>
      <c r="IMP32" s="134"/>
      <c r="IMS32" s="134"/>
      <c r="IMV32" s="134"/>
      <c r="IMY32" s="134"/>
      <c r="INB32" s="134"/>
      <c r="INE32" s="134"/>
      <c r="INH32" s="134"/>
      <c r="INK32" s="134"/>
      <c r="INN32" s="134"/>
      <c r="INQ32" s="134"/>
      <c r="INT32" s="134"/>
      <c r="INW32" s="134"/>
      <c r="INZ32" s="134"/>
      <c r="IOC32" s="134"/>
      <c r="IOF32" s="134"/>
      <c r="IOI32" s="134"/>
      <c r="IOL32" s="134"/>
      <c r="IOO32" s="134"/>
      <c r="IOR32" s="134"/>
      <c r="IOU32" s="134"/>
      <c r="IOX32" s="134"/>
      <c r="IPA32" s="134"/>
      <c r="IPD32" s="134"/>
      <c r="IPG32" s="134"/>
      <c r="IPJ32" s="134"/>
      <c r="IPM32" s="134"/>
      <c r="IPP32" s="134"/>
      <c r="IPS32" s="134"/>
      <c r="IPV32" s="134"/>
      <c r="IPY32" s="134"/>
      <c r="IQB32" s="134"/>
      <c r="IQE32" s="134"/>
      <c r="IQH32" s="134"/>
      <c r="IQK32" s="134"/>
      <c r="IQN32" s="134"/>
      <c r="IQQ32" s="134"/>
      <c r="IQT32" s="134"/>
      <c r="IQW32" s="134"/>
      <c r="IQZ32" s="134"/>
      <c r="IRC32" s="134"/>
      <c r="IRF32" s="134"/>
      <c r="IRI32" s="134"/>
      <c r="IRL32" s="134"/>
      <c r="IRO32" s="134"/>
      <c r="IRR32" s="134"/>
      <c r="IRU32" s="134"/>
      <c r="IRX32" s="134"/>
      <c r="ISA32" s="134"/>
      <c r="ISD32" s="134"/>
      <c r="ISG32" s="134"/>
      <c r="ISJ32" s="134"/>
      <c r="ISM32" s="134"/>
      <c r="ISP32" s="134"/>
      <c r="ISS32" s="134"/>
      <c r="ISV32" s="134"/>
      <c r="ISY32" s="134"/>
      <c r="ITB32" s="134"/>
      <c r="ITE32" s="134"/>
      <c r="ITH32" s="134"/>
      <c r="ITK32" s="134"/>
      <c r="ITN32" s="134"/>
      <c r="ITQ32" s="134"/>
      <c r="ITT32" s="134"/>
      <c r="ITW32" s="134"/>
      <c r="ITZ32" s="134"/>
      <c r="IUC32" s="134"/>
      <c r="IUF32" s="134"/>
      <c r="IUI32" s="134"/>
      <c r="IUL32" s="134"/>
      <c r="IUO32" s="134"/>
      <c r="IUR32" s="134"/>
      <c r="IUU32" s="134"/>
      <c r="IUX32" s="134"/>
      <c r="IVA32" s="134"/>
      <c r="IVD32" s="134"/>
      <c r="IVG32" s="134"/>
      <c r="IVJ32" s="134"/>
      <c r="IVM32" s="134"/>
      <c r="IVP32" s="134"/>
      <c r="IVS32" s="134"/>
      <c r="IVV32" s="134"/>
      <c r="IVY32" s="134"/>
      <c r="IWB32" s="134"/>
      <c r="IWE32" s="134"/>
      <c r="IWH32" s="134"/>
      <c r="IWK32" s="134"/>
      <c r="IWN32" s="134"/>
      <c r="IWQ32" s="134"/>
      <c r="IWT32" s="134"/>
      <c r="IWW32" s="134"/>
      <c r="IWZ32" s="134"/>
      <c r="IXC32" s="134"/>
      <c r="IXF32" s="134"/>
      <c r="IXI32" s="134"/>
      <c r="IXL32" s="134"/>
      <c r="IXO32" s="134"/>
      <c r="IXR32" s="134"/>
      <c r="IXU32" s="134"/>
      <c r="IXX32" s="134"/>
      <c r="IYA32" s="134"/>
      <c r="IYD32" s="134"/>
      <c r="IYG32" s="134"/>
      <c r="IYJ32" s="134"/>
      <c r="IYM32" s="134"/>
      <c r="IYP32" s="134"/>
      <c r="IYS32" s="134"/>
      <c r="IYV32" s="134"/>
      <c r="IYY32" s="134"/>
      <c r="IZB32" s="134"/>
      <c r="IZE32" s="134"/>
      <c r="IZH32" s="134"/>
      <c r="IZK32" s="134"/>
      <c r="IZN32" s="134"/>
      <c r="IZQ32" s="134"/>
      <c r="IZT32" s="134"/>
      <c r="IZW32" s="134"/>
      <c r="IZZ32" s="134"/>
      <c r="JAC32" s="134"/>
      <c r="JAF32" s="134"/>
      <c r="JAI32" s="134"/>
      <c r="JAL32" s="134"/>
      <c r="JAO32" s="134"/>
      <c r="JAR32" s="134"/>
      <c r="JAU32" s="134"/>
      <c r="JAX32" s="134"/>
      <c r="JBA32" s="134"/>
      <c r="JBD32" s="134"/>
      <c r="JBG32" s="134"/>
      <c r="JBJ32" s="134"/>
      <c r="JBM32" s="134"/>
      <c r="JBP32" s="134"/>
      <c r="JBS32" s="134"/>
      <c r="JBV32" s="134"/>
      <c r="JBY32" s="134"/>
      <c r="JCB32" s="134"/>
      <c r="JCE32" s="134"/>
      <c r="JCH32" s="134"/>
      <c r="JCK32" s="134"/>
      <c r="JCN32" s="134"/>
      <c r="JCQ32" s="134"/>
      <c r="JCT32" s="134"/>
      <c r="JCW32" s="134"/>
      <c r="JCZ32" s="134"/>
      <c r="JDC32" s="134"/>
      <c r="JDF32" s="134"/>
      <c r="JDI32" s="134"/>
      <c r="JDL32" s="134"/>
      <c r="JDO32" s="134"/>
      <c r="JDR32" s="134"/>
      <c r="JDU32" s="134"/>
      <c r="JDX32" s="134"/>
      <c r="JEA32" s="134"/>
      <c r="JED32" s="134"/>
      <c r="JEG32" s="134"/>
      <c r="JEJ32" s="134"/>
      <c r="JEM32" s="134"/>
      <c r="JEP32" s="134"/>
      <c r="JES32" s="134"/>
      <c r="JEV32" s="134"/>
      <c r="JEY32" s="134"/>
      <c r="JFB32" s="134"/>
      <c r="JFE32" s="134"/>
      <c r="JFH32" s="134"/>
      <c r="JFK32" s="134"/>
      <c r="JFN32" s="134"/>
      <c r="JFQ32" s="134"/>
      <c r="JFT32" s="134"/>
      <c r="JFW32" s="134"/>
      <c r="JFZ32" s="134"/>
      <c r="JGC32" s="134"/>
      <c r="JGF32" s="134"/>
      <c r="JGI32" s="134"/>
      <c r="JGL32" s="134"/>
      <c r="JGO32" s="134"/>
      <c r="JGR32" s="134"/>
      <c r="JGU32" s="134"/>
      <c r="JGX32" s="134"/>
      <c r="JHA32" s="134"/>
      <c r="JHD32" s="134"/>
      <c r="JHG32" s="134"/>
      <c r="JHJ32" s="134"/>
      <c r="JHM32" s="134"/>
      <c r="JHP32" s="134"/>
      <c r="JHS32" s="134"/>
      <c r="JHV32" s="134"/>
      <c r="JHY32" s="134"/>
      <c r="JIB32" s="134"/>
      <c r="JIE32" s="134"/>
      <c r="JIH32" s="134"/>
      <c r="JIK32" s="134"/>
      <c r="JIN32" s="134"/>
      <c r="JIQ32" s="134"/>
      <c r="JIT32" s="134"/>
      <c r="JIW32" s="134"/>
      <c r="JIZ32" s="134"/>
      <c r="JJC32" s="134"/>
      <c r="JJF32" s="134"/>
      <c r="JJI32" s="134"/>
      <c r="JJL32" s="134"/>
      <c r="JJO32" s="134"/>
      <c r="JJR32" s="134"/>
      <c r="JJU32" s="134"/>
      <c r="JJX32" s="134"/>
      <c r="JKA32" s="134"/>
      <c r="JKD32" s="134"/>
      <c r="JKG32" s="134"/>
      <c r="JKJ32" s="134"/>
      <c r="JKM32" s="134"/>
      <c r="JKP32" s="134"/>
      <c r="JKS32" s="134"/>
      <c r="JKV32" s="134"/>
      <c r="JKY32" s="134"/>
      <c r="JLB32" s="134"/>
      <c r="JLE32" s="134"/>
      <c r="JLH32" s="134"/>
      <c r="JLK32" s="134"/>
      <c r="JLN32" s="134"/>
      <c r="JLQ32" s="134"/>
      <c r="JLT32" s="134"/>
      <c r="JLW32" s="134"/>
      <c r="JLZ32" s="134"/>
      <c r="JMC32" s="134"/>
      <c r="JMF32" s="134"/>
      <c r="JMI32" s="134"/>
      <c r="JML32" s="134"/>
      <c r="JMO32" s="134"/>
      <c r="JMR32" s="134"/>
      <c r="JMU32" s="134"/>
      <c r="JMX32" s="134"/>
      <c r="JNA32" s="134"/>
      <c r="JND32" s="134"/>
      <c r="JNG32" s="134"/>
      <c r="JNJ32" s="134"/>
      <c r="JNM32" s="134"/>
      <c r="JNP32" s="134"/>
      <c r="JNS32" s="134"/>
      <c r="JNV32" s="134"/>
      <c r="JNY32" s="134"/>
      <c r="JOB32" s="134"/>
      <c r="JOE32" s="134"/>
      <c r="JOH32" s="134"/>
      <c r="JOK32" s="134"/>
      <c r="JON32" s="134"/>
      <c r="JOQ32" s="134"/>
      <c r="JOT32" s="134"/>
      <c r="JOW32" s="134"/>
      <c r="JOZ32" s="134"/>
      <c r="JPC32" s="134"/>
      <c r="JPF32" s="134"/>
      <c r="JPI32" s="134"/>
      <c r="JPL32" s="134"/>
      <c r="JPO32" s="134"/>
      <c r="JPR32" s="134"/>
      <c r="JPU32" s="134"/>
      <c r="JPX32" s="134"/>
      <c r="JQA32" s="134"/>
      <c r="JQD32" s="134"/>
      <c r="JQG32" s="134"/>
      <c r="JQJ32" s="134"/>
      <c r="JQM32" s="134"/>
      <c r="JQP32" s="134"/>
      <c r="JQS32" s="134"/>
      <c r="JQV32" s="134"/>
      <c r="JQY32" s="134"/>
      <c r="JRB32" s="134"/>
      <c r="JRE32" s="134"/>
      <c r="JRH32" s="134"/>
      <c r="JRK32" s="134"/>
      <c r="JRN32" s="134"/>
      <c r="JRQ32" s="134"/>
      <c r="JRT32" s="134"/>
      <c r="JRW32" s="134"/>
      <c r="JRZ32" s="134"/>
      <c r="JSC32" s="134"/>
      <c r="JSF32" s="134"/>
      <c r="JSI32" s="134"/>
      <c r="JSL32" s="134"/>
      <c r="JSO32" s="134"/>
      <c r="JSR32" s="134"/>
      <c r="JSU32" s="134"/>
      <c r="JSX32" s="134"/>
      <c r="JTA32" s="134"/>
      <c r="JTD32" s="134"/>
      <c r="JTG32" s="134"/>
      <c r="JTJ32" s="134"/>
      <c r="JTM32" s="134"/>
      <c r="JTP32" s="134"/>
      <c r="JTS32" s="134"/>
      <c r="JTV32" s="134"/>
      <c r="JTY32" s="134"/>
      <c r="JUB32" s="134"/>
      <c r="JUE32" s="134"/>
      <c r="JUH32" s="134"/>
      <c r="JUK32" s="134"/>
      <c r="JUN32" s="134"/>
      <c r="JUQ32" s="134"/>
      <c r="JUT32" s="134"/>
      <c r="JUW32" s="134"/>
      <c r="JUZ32" s="134"/>
      <c r="JVC32" s="134"/>
      <c r="JVF32" s="134"/>
      <c r="JVI32" s="134"/>
      <c r="JVL32" s="134"/>
      <c r="JVO32" s="134"/>
      <c r="JVR32" s="134"/>
      <c r="JVU32" s="134"/>
      <c r="JVX32" s="134"/>
      <c r="JWA32" s="134"/>
      <c r="JWD32" s="134"/>
      <c r="JWG32" s="134"/>
      <c r="JWJ32" s="134"/>
      <c r="JWM32" s="134"/>
      <c r="JWP32" s="134"/>
      <c r="JWS32" s="134"/>
      <c r="JWV32" s="134"/>
      <c r="JWY32" s="134"/>
      <c r="JXB32" s="134"/>
      <c r="JXE32" s="134"/>
      <c r="JXH32" s="134"/>
      <c r="JXK32" s="134"/>
      <c r="JXN32" s="134"/>
      <c r="JXQ32" s="134"/>
      <c r="JXT32" s="134"/>
      <c r="JXW32" s="134"/>
      <c r="JXZ32" s="134"/>
      <c r="JYC32" s="134"/>
      <c r="JYF32" s="134"/>
      <c r="JYI32" s="134"/>
      <c r="JYL32" s="134"/>
      <c r="JYO32" s="134"/>
      <c r="JYR32" s="134"/>
      <c r="JYU32" s="134"/>
      <c r="JYX32" s="134"/>
      <c r="JZA32" s="134"/>
      <c r="JZD32" s="134"/>
      <c r="JZG32" s="134"/>
      <c r="JZJ32" s="134"/>
      <c r="JZM32" s="134"/>
      <c r="JZP32" s="134"/>
      <c r="JZS32" s="134"/>
      <c r="JZV32" s="134"/>
      <c r="JZY32" s="134"/>
      <c r="KAB32" s="134"/>
      <c r="KAE32" s="134"/>
      <c r="KAH32" s="134"/>
      <c r="KAK32" s="134"/>
      <c r="KAN32" s="134"/>
      <c r="KAQ32" s="134"/>
      <c r="KAT32" s="134"/>
      <c r="KAW32" s="134"/>
      <c r="KAZ32" s="134"/>
      <c r="KBC32" s="134"/>
      <c r="KBF32" s="134"/>
      <c r="KBI32" s="134"/>
      <c r="KBL32" s="134"/>
      <c r="KBO32" s="134"/>
      <c r="KBR32" s="134"/>
      <c r="KBU32" s="134"/>
      <c r="KBX32" s="134"/>
      <c r="KCA32" s="134"/>
      <c r="KCD32" s="134"/>
      <c r="KCG32" s="134"/>
      <c r="KCJ32" s="134"/>
      <c r="KCM32" s="134"/>
      <c r="KCP32" s="134"/>
      <c r="KCS32" s="134"/>
      <c r="KCV32" s="134"/>
      <c r="KCY32" s="134"/>
      <c r="KDB32" s="134"/>
      <c r="KDE32" s="134"/>
      <c r="KDH32" s="134"/>
      <c r="KDK32" s="134"/>
      <c r="KDN32" s="134"/>
      <c r="KDQ32" s="134"/>
      <c r="KDT32" s="134"/>
      <c r="KDW32" s="134"/>
      <c r="KDZ32" s="134"/>
      <c r="KEC32" s="134"/>
      <c r="KEF32" s="134"/>
      <c r="KEI32" s="134"/>
      <c r="KEL32" s="134"/>
      <c r="KEO32" s="134"/>
      <c r="KER32" s="134"/>
      <c r="KEU32" s="134"/>
      <c r="KEX32" s="134"/>
      <c r="KFA32" s="134"/>
      <c r="KFD32" s="134"/>
      <c r="KFG32" s="134"/>
      <c r="KFJ32" s="134"/>
      <c r="KFM32" s="134"/>
      <c r="KFP32" s="134"/>
      <c r="KFS32" s="134"/>
      <c r="KFV32" s="134"/>
      <c r="KFY32" s="134"/>
      <c r="KGB32" s="134"/>
      <c r="KGE32" s="134"/>
      <c r="KGH32" s="134"/>
      <c r="KGK32" s="134"/>
      <c r="KGN32" s="134"/>
      <c r="KGQ32" s="134"/>
      <c r="KGT32" s="134"/>
      <c r="KGW32" s="134"/>
      <c r="KGZ32" s="134"/>
      <c r="KHC32" s="134"/>
      <c r="KHF32" s="134"/>
      <c r="KHI32" s="134"/>
      <c r="KHL32" s="134"/>
      <c r="KHO32" s="134"/>
      <c r="KHR32" s="134"/>
      <c r="KHU32" s="134"/>
      <c r="KHX32" s="134"/>
      <c r="KIA32" s="134"/>
      <c r="KID32" s="134"/>
      <c r="KIG32" s="134"/>
      <c r="KIJ32" s="134"/>
      <c r="KIM32" s="134"/>
      <c r="KIP32" s="134"/>
      <c r="KIS32" s="134"/>
      <c r="KIV32" s="134"/>
      <c r="KIY32" s="134"/>
      <c r="KJB32" s="134"/>
      <c r="KJE32" s="134"/>
      <c r="KJH32" s="134"/>
      <c r="KJK32" s="134"/>
      <c r="KJN32" s="134"/>
      <c r="KJQ32" s="134"/>
      <c r="KJT32" s="134"/>
      <c r="KJW32" s="134"/>
      <c r="KJZ32" s="134"/>
      <c r="KKC32" s="134"/>
      <c r="KKF32" s="134"/>
      <c r="KKI32" s="134"/>
      <c r="KKL32" s="134"/>
      <c r="KKO32" s="134"/>
      <c r="KKR32" s="134"/>
      <c r="KKU32" s="134"/>
      <c r="KKX32" s="134"/>
      <c r="KLA32" s="134"/>
      <c r="KLD32" s="134"/>
      <c r="KLG32" s="134"/>
      <c r="KLJ32" s="134"/>
      <c r="KLM32" s="134"/>
      <c r="KLP32" s="134"/>
      <c r="KLS32" s="134"/>
      <c r="KLV32" s="134"/>
      <c r="KLY32" s="134"/>
      <c r="KMB32" s="134"/>
      <c r="KME32" s="134"/>
      <c r="KMH32" s="134"/>
      <c r="KMK32" s="134"/>
      <c r="KMN32" s="134"/>
      <c r="KMQ32" s="134"/>
      <c r="KMT32" s="134"/>
      <c r="KMW32" s="134"/>
      <c r="KMZ32" s="134"/>
      <c r="KNC32" s="134"/>
      <c r="KNF32" s="134"/>
      <c r="KNI32" s="134"/>
      <c r="KNL32" s="134"/>
      <c r="KNO32" s="134"/>
      <c r="KNR32" s="134"/>
      <c r="KNU32" s="134"/>
      <c r="KNX32" s="134"/>
      <c r="KOA32" s="134"/>
      <c r="KOD32" s="134"/>
      <c r="KOG32" s="134"/>
      <c r="KOJ32" s="134"/>
      <c r="KOM32" s="134"/>
      <c r="KOP32" s="134"/>
      <c r="KOS32" s="134"/>
      <c r="KOV32" s="134"/>
      <c r="KOY32" s="134"/>
      <c r="KPB32" s="134"/>
      <c r="KPE32" s="134"/>
      <c r="KPH32" s="134"/>
      <c r="KPK32" s="134"/>
      <c r="KPN32" s="134"/>
      <c r="KPQ32" s="134"/>
      <c r="KPT32" s="134"/>
      <c r="KPW32" s="134"/>
      <c r="KPZ32" s="134"/>
      <c r="KQC32" s="134"/>
      <c r="KQF32" s="134"/>
      <c r="KQI32" s="134"/>
      <c r="KQL32" s="134"/>
      <c r="KQO32" s="134"/>
      <c r="KQR32" s="134"/>
      <c r="KQU32" s="134"/>
      <c r="KQX32" s="134"/>
      <c r="KRA32" s="134"/>
      <c r="KRD32" s="134"/>
      <c r="KRG32" s="134"/>
      <c r="KRJ32" s="134"/>
      <c r="KRM32" s="134"/>
      <c r="KRP32" s="134"/>
      <c r="KRS32" s="134"/>
      <c r="KRV32" s="134"/>
      <c r="KRY32" s="134"/>
      <c r="KSB32" s="134"/>
      <c r="KSE32" s="134"/>
      <c r="KSH32" s="134"/>
      <c r="KSK32" s="134"/>
      <c r="KSN32" s="134"/>
      <c r="KSQ32" s="134"/>
      <c r="KST32" s="134"/>
      <c r="KSW32" s="134"/>
      <c r="KSZ32" s="134"/>
      <c r="KTC32" s="134"/>
      <c r="KTF32" s="134"/>
      <c r="KTI32" s="134"/>
      <c r="KTL32" s="134"/>
      <c r="KTO32" s="134"/>
      <c r="KTR32" s="134"/>
      <c r="KTU32" s="134"/>
      <c r="KTX32" s="134"/>
      <c r="KUA32" s="134"/>
      <c r="KUD32" s="134"/>
      <c r="KUG32" s="134"/>
      <c r="KUJ32" s="134"/>
      <c r="KUM32" s="134"/>
      <c r="KUP32" s="134"/>
      <c r="KUS32" s="134"/>
      <c r="KUV32" s="134"/>
      <c r="KUY32" s="134"/>
      <c r="KVB32" s="134"/>
      <c r="KVE32" s="134"/>
      <c r="KVH32" s="134"/>
      <c r="KVK32" s="134"/>
      <c r="KVN32" s="134"/>
      <c r="KVQ32" s="134"/>
      <c r="KVT32" s="134"/>
      <c r="KVW32" s="134"/>
      <c r="KVZ32" s="134"/>
      <c r="KWC32" s="134"/>
      <c r="KWF32" s="134"/>
      <c r="KWI32" s="134"/>
      <c r="KWL32" s="134"/>
      <c r="KWO32" s="134"/>
      <c r="KWR32" s="134"/>
      <c r="KWU32" s="134"/>
      <c r="KWX32" s="134"/>
      <c r="KXA32" s="134"/>
      <c r="KXD32" s="134"/>
      <c r="KXG32" s="134"/>
      <c r="KXJ32" s="134"/>
      <c r="KXM32" s="134"/>
      <c r="KXP32" s="134"/>
      <c r="KXS32" s="134"/>
      <c r="KXV32" s="134"/>
      <c r="KXY32" s="134"/>
      <c r="KYB32" s="134"/>
      <c r="KYE32" s="134"/>
      <c r="KYH32" s="134"/>
      <c r="KYK32" s="134"/>
      <c r="KYN32" s="134"/>
      <c r="KYQ32" s="134"/>
      <c r="KYT32" s="134"/>
      <c r="KYW32" s="134"/>
      <c r="KYZ32" s="134"/>
      <c r="KZC32" s="134"/>
      <c r="KZF32" s="134"/>
      <c r="KZI32" s="134"/>
      <c r="KZL32" s="134"/>
      <c r="KZO32" s="134"/>
      <c r="KZR32" s="134"/>
      <c r="KZU32" s="134"/>
      <c r="KZX32" s="134"/>
      <c r="LAA32" s="134"/>
      <c r="LAD32" s="134"/>
      <c r="LAG32" s="134"/>
      <c r="LAJ32" s="134"/>
      <c r="LAM32" s="134"/>
      <c r="LAP32" s="134"/>
      <c r="LAS32" s="134"/>
      <c r="LAV32" s="134"/>
      <c r="LAY32" s="134"/>
      <c r="LBB32" s="134"/>
      <c r="LBE32" s="134"/>
      <c r="LBH32" s="134"/>
      <c r="LBK32" s="134"/>
      <c r="LBN32" s="134"/>
      <c r="LBQ32" s="134"/>
      <c r="LBT32" s="134"/>
      <c r="LBW32" s="134"/>
      <c r="LBZ32" s="134"/>
      <c r="LCC32" s="134"/>
      <c r="LCF32" s="134"/>
      <c r="LCI32" s="134"/>
      <c r="LCL32" s="134"/>
      <c r="LCO32" s="134"/>
      <c r="LCR32" s="134"/>
      <c r="LCU32" s="134"/>
      <c r="LCX32" s="134"/>
      <c r="LDA32" s="134"/>
      <c r="LDD32" s="134"/>
      <c r="LDG32" s="134"/>
      <c r="LDJ32" s="134"/>
      <c r="LDM32" s="134"/>
      <c r="LDP32" s="134"/>
      <c r="LDS32" s="134"/>
      <c r="LDV32" s="134"/>
      <c r="LDY32" s="134"/>
      <c r="LEB32" s="134"/>
      <c r="LEE32" s="134"/>
      <c r="LEH32" s="134"/>
      <c r="LEK32" s="134"/>
      <c r="LEN32" s="134"/>
      <c r="LEQ32" s="134"/>
      <c r="LET32" s="134"/>
      <c r="LEW32" s="134"/>
      <c r="LEZ32" s="134"/>
      <c r="LFC32" s="134"/>
      <c r="LFF32" s="134"/>
      <c r="LFI32" s="134"/>
      <c r="LFL32" s="134"/>
      <c r="LFO32" s="134"/>
      <c r="LFR32" s="134"/>
      <c r="LFU32" s="134"/>
      <c r="LFX32" s="134"/>
      <c r="LGA32" s="134"/>
      <c r="LGD32" s="134"/>
      <c r="LGG32" s="134"/>
      <c r="LGJ32" s="134"/>
      <c r="LGM32" s="134"/>
      <c r="LGP32" s="134"/>
      <c r="LGS32" s="134"/>
      <c r="LGV32" s="134"/>
      <c r="LGY32" s="134"/>
      <c r="LHB32" s="134"/>
      <c r="LHE32" s="134"/>
      <c r="LHH32" s="134"/>
      <c r="LHK32" s="134"/>
      <c r="LHN32" s="134"/>
      <c r="LHQ32" s="134"/>
      <c r="LHT32" s="134"/>
      <c r="LHW32" s="134"/>
      <c r="LHZ32" s="134"/>
      <c r="LIC32" s="134"/>
      <c r="LIF32" s="134"/>
      <c r="LII32" s="134"/>
      <c r="LIL32" s="134"/>
      <c r="LIO32" s="134"/>
      <c r="LIR32" s="134"/>
      <c r="LIU32" s="134"/>
      <c r="LIX32" s="134"/>
      <c r="LJA32" s="134"/>
      <c r="LJD32" s="134"/>
      <c r="LJG32" s="134"/>
      <c r="LJJ32" s="134"/>
      <c r="LJM32" s="134"/>
      <c r="LJP32" s="134"/>
      <c r="LJS32" s="134"/>
      <c r="LJV32" s="134"/>
      <c r="LJY32" s="134"/>
      <c r="LKB32" s="134"/>
      <c r="LKE32" s="134"/>
      <c r="LKH32" s="134"/>
      <c r="LKK32" s="134"/>
      <c r="LKN32" s="134"/>
      <c r="LKQ32" s="134"/>
      <c r="LKT32" s="134"/>
      <c r="LKW32" s="134"/>
      <c r="LKZ32" s="134"/>
      <c r="LLC32" s="134"/>
      <c r="LLF32" s="134"/>
      <c r="LLI32" s="134"/>
      <c r="LLL32" s="134"/>
      <c r="LLO32" s="134"/>
      <c r="LLR32" s="134"/>
      <c r="LLU32" s="134"/>
      <c r="LLX32" s="134"/>
      <c r="LMA32" s="134"/>
      <c r="LMD32" s="134"/>
      <c r="LMG32" s="134"/>
      <c r="LMJ32" s="134"/>
      <c r="LMM32" s="134"/>
      <c r="LMP32" s="134"/>
      <c r="LMS32" s="134"/>
      <c r="LMV32" s="134"/>
      <c r="LMY32" s="134"/>
      <c r="LNB32" s="134"/>
      <c r="LNE32" s="134"/>
      <c r="LNH32" s="134"/>
      <c r="LNK32" s="134"/>
      <c r="LNN32" s="134"/>
      <c r="LNQ32" s="134"/>
      <c r="LNT32" s="134"/>
      <c r="LNW32" s="134"/>
      <c r="LNZ32" s="134"/>
      <c r="LOC32" s="134"/>
      <c r="LOF32" s="134"/>
      <c r="LOI32" s="134"/>
      <c r="LOL32" s="134"/>
      <c r="LOO32" s="134"/>
      <c r="LOR32" s="134"/>
      <c r="LOU32" s="134"/>
      <c r="LOX32" s="134"/>
      <c r="LPA32" s="134"/>
      <c r="LPD32" s="134"/>
      <c r="LPG32" s="134"/>
      <c r="LPJ32" s="134"/>
      <c r="LPM32" s="134"/>
      <c r="LPP32" s="134"/>
      <c r="LPS32" s="134"/>
      <c r="LPV32" s="134"/>
      <c r="LPY32" s="134"/>
      <c r="LQB32" s="134"/>
      <c r="LQE32" s="134"/>
      <c r="LQH32" s="134"/>
      <c r="LQK32" s="134"/>
      <c r="LQN32" s="134"/>
      <c r="LQQ32" s="134"/>
      <c r="LQT32" s="134"/>
      <c r="LQW32" s="134"/>
      <c r="LQZ32" s="134"/>
      <c r="LRC32" s="134"/>
      <c r="LRF32" s="134"/>
      <c r="LRI32" s="134"/>
      <c r="LRL32" s="134"/>
      <c r="LRO32" s="134"/>
      <c r="LRR32" s="134"/>
      <c r="LRU32" s="134"/>
      <c r="LRX32" s="134"/>
      <c r="LSA32" s="134"/>
      <c r="LSD32" s="134"/>
      <c r="LSG32" s="134"/>
      <c r="LSJ32" s="134"/>
      <c r="LSM32" s="134"/>
      <c r="LSP32" s="134"/>
      <c r="LSS32" s="134"/>
      <c r="LSV32" s="134"/>
      <c r="LSY32" s="134"/>
      <c r="LTB32" s="134"/>
      <c r="LTE32" s="134"/>
      <c r="LTH32" s="134"/>
      <c r="LTK32" s="134"/>
      <c r="LTN32" s="134"/>
      <c r="LTQ32" s="134"/>
      <c r="LTT32" s="134"/>
      <c r="LTW32" s="134"/>
      <c r="LTZ32" s="134"/>
      <c r="LUC32" s="134"/>
      <c r="LUF32" s="134"/>
      <c r="LUI32" s="134"/>
      <c r="LUL32" s="134"/>
      <c r="LUO32" s="134"/>
      <c r="LUR32" s="134"/>
      <c r="LUU32" s="134"/>
      <c r="LUX32" s="134"/>
      <c r="LVA32" s="134"/>
      <c r="LVD32" s="134"/>
      <c r="LVG32" s="134"/>
      <c r="LVJ32" s="134"/>
      <c r="LVM32" s="134"/>
      <c r="LVP32" s="134"/>
      <c r="LVS32" s="134"/>
      <c r="LVV32" s="134"/>
      <c r="LVY32" s="134"/>
      <c r="LWB32" s="134"/>
      <c r="LWE32" s="134"/>
      <c r="LWH32" s="134"/>
      <c r="LWK32" s="134"/>
      <c r="LWN32" s="134"/>
      <c r="LWQ32" s="134"/>
      <c r="LWT32" s="134"/>
      <c r="LWW32" s="134"/>
      <c r="LWZ32" s="134"/>
      <c r="LXC32" s="134"/>
      <c r="LXF32" s="134"/>
      <c r="LXI32" s="134"/>
      <c r="LXL32" s="134"/>
      <c r="LXO32" s="134"/>
      <c r="LXR32" s="134"/>
      <c r="LXU32" s="134"/>
      <c r="LXX32" s="134"/>
      <c r="LYA32" s="134"/>
      <c r="LYD32" s="134"/>
      <c r="LYG32" s="134"/>
      <c r="LYJ32" s="134"/>
      <c r="LYM32" s="134"/>
      <c r="LYP32" s="134"/>
      <c r="LYS32" s="134"/>
      <c r="LYV32" s="134"/>
      <c r="LYY32" s="134"/>
      <c r="LZB32" s="134"/>
      <c r="LZE32" s="134"/>
      <c r="LZH32" s="134"/>
      <c r="LZK32" s="134"/>
      <c r="LZN32" s="134"/>
      <c r="LZQ32" s="134"/>
      <c r="LZT32" s="134"/>
      <c r="LZW32" s="134"/>
      <c r="LZZ32" s="134"/>
      <c r="MAC32" s="134"/>
      <c r="MAF32" s="134"/>
      <c r="MAI32" s="134"/>
      <c r="MAL32" s="134"/>
      <c r="MAO32" s="134"/>
      <c r="MAR32" s="134"/>
      <c r="MAU32" s="134"/>
      <c r="MAX32" s="134"/>
      <c r="MBA32" s="134"/>
      <c r="MBD32" s="134"/>
      <c r="MBG32" s="134"/>
      <c r="MBJ32" s="134"/>
      <c r="MBM32" s="134"/>
      <c r="MBP32" s="134"/>
      <c r="MBS32" s="134"/>
      <c r="MBV32" s="134"/>
      <c r="MBY32" s="134"/>
      <c r="MCB32" s="134"/>
      <c r="MCE32" s="134"/>
      <c r="MCH32" s="134"/>
      <c r="MCK32" s="134"/>
      <c r="MCN32" s="134"/>
      <c r="MCQ32" s="134"/>
      <c r="MCT32" s="134"/>
      <c r="MCW32" s="134"/>
      <c r="MCZ32" s="134"/>
      <c r="MDC32" s="134"/>
      <c r="MDF32" s="134"/>
      <c r="MDI32" s="134"/>
      <c r="MDL32" s="134"/>
      <c r="MDO32" s="134"/>
      <c r="MDR32" s="134"/>
      <c r="MDU32" s="134"/>
      <c r="MDX32" s="134"/>
      <c r="MEA32" s="134"/>
      <c r="MED32" s="134"/>
      <c r="MEG32" s="134"/>
      <c r="MEJ32" s="134"/>
      <c r="MEM32" s="134"/>
      <c r="MEP32" s="134"/>
      <c r="MES32" s="134"/>
      <c r="MEV32" s="134"/>
      <c r="MEY32" s="134"/>
      <c r="MFB32" s="134"/>
      <c r="MFE32" s="134"/>
      <c r="MFH32" s="134"/>
      <c r="MFK32" s="134"/>
      <c r="MFN32" s="134"/>
      <c r="MFQ32" s="134"/>
      <c r="MFT32" s="134"/>
      <c r="MFW32" s="134"/>
      <c r="MFZ32" s="134"/>
      <c r="MGC32" s="134"/>
      <c r="MGF32" s="134"/>
      <c r="MGI32" s="134"/>
      <c r="MGL32" s="134"/>
      <c r="MGO32" s="134"/>
      <c r="MGR32" s="134"/>
      <c r="MGU32" s="134"/>
      <c r="MGX32" s="134"/>
      <c r="MHA32" s="134"/>
      <c r="MHD32" s="134"/>
      <c r="MHG32" s="134"/>
      <c r="MHJ32" s="134"/>
      <c r="MHM32" s="134"/>
      <c r="MHP32" s="134"/>
      <c r="MHS32" s="134"/>
      <c r="MHV32" s="134"/>
      <c r="MHY32" s="134"/>
      <c r="MIB32" s="134"/>
      <c r="MIE32" s="134"/>
      <c r="MIH32" s="134"/>
      <c r="MIK32" s="134"/>
      <c r="MIN32" s="134"/>
      <c r="MIQ32" s="134"/>
      <c r="MIT32" s="134"/>
      <c r="MIW32" s="134"/>
      <c r="MIZ32" s="134"/>
      <c r="MJC32" s="134"/>
      <c r="MJF32" s="134"/>
      <c r="MJI32" s="134"/>
      <c r="MJL32" s="134"/>
      <c r="MJO32" s="134"/>
      <c r="MJR32" s="134"/>
      <c r="MJU32" s="134"/>
      <c r="MJX32" s="134"/>
      <c r="MKA32" s="134"/>
      <c r="MKD32" s="134"/>
      <c r="MKG32" s="134"/>
      <c r="MKJ32" s="134"/>
      <c r="MKM32" s="134"/>
      <c r="MKP32" s="134"/>
      <c r="MKS32" s="134"/>
      <c r="MKV32" s="134"/>
      <c r="MKY32" s="134"/>
      <c r="MLB32" s="134"/>
      <c r="MLE32" s="134"/>
      <c r="MLH32" s="134"/>
      <c r="MLK32" s="134"/>
      <c r="MLN32" s="134"/>
      <c r="MLQ32" s="134"/>
      <c r="MLT32" s="134"/>
      <c r="MLW32" s="134"/>
      <c r="MLZ32" s="134"/>
      <c r="MMC32" s="134"/>
      <c r="MMF32" s="134"/>
      <c r="MMI32" s="134"/>
      <c r="MML32" s="134"/>
      <c r="MMO32" s="134"/>
      <c r="MMR32" s="134"/>
      <c r="MMU32" s="134"/>
      <c r="MMX32" s="134"/>
      <c r="MNA32" s="134"/>
      <c r="MND32" s="134"/>
      <c r="MNG32" s="134"/>
      <c r="MNJ32" s="134"/>
      <c r="MNM32" s="134"/>
      <c r="MNP32" s="134"/>
      <c r="MNS32" s="134"/>
      <c r="MNV32" s="134"/>
      <c r="MNY32" s="134"/>
      <c r="MOB32" s="134"/>
      <c r="MOE32" s="134"/>
      <c r="MOH32" s="134"/>
      <c r="MOK32" s="134"/>
      <c r="MON32" s="134"/>
      <c r="MOQ32" s="134"/>
      <c r="MOT32" s="134"/>
      <c r="MOW32" s="134"/>
      <c r="MOZ32" s="134"/>
      <c r="MPC32" s="134"/>
      <c r="MPF32" s="134"/>
      <c r="MPI32" s="134"/>
      <c r="MPL32" s="134"/>
      <c r="MPO32" s="134"/>
      <c r="MPR32" s="134"/>
      <c r="MPU32" s="134"/>
      <c r="MPX32" s="134"/>
      <c r="MQA32" s="134"/>
      <c r="MQD32" s="134"/>
      <c r="MQG32" s="134"/>
      <c r="MQJ32" s="134"/>
      <c r="MQM32" s="134"/>
      <c r="MQP32" s="134"/>
      <c r="MQS32" s="134"/>
      <c r="MQV32" s="134"/>
      <c r="MQY32" s="134"/>
      <c r="MRB32" s="134"/>
      <c r="MRE32" s="134"/>
      <c r="MRH32" s="134"/>
      <c r="MRK32" s="134"/>
      <c r="MRN32" s="134"/>
      <c r="MRQ32" s="134"/>
      <c r="MRT32" s="134"/>
      <c r="MRW32" s="134"/>
      <c r="MRZ32" s="134"/>
      <c r="MSC32" s="134"/>
      <c r="MSF32" s="134"/>
      <c r="MSI32" s="134"/>
      <c r="MSL32" s="134"/>
      <c r="MSO32" s="134"/>
      <c r="MSR32" s="134"/>
      <c r="MSU32" s="134"/>
      <c r="MSX32" s="134"/>
      <c r="MTA32" s="134"/>
      <c r="MTD32" s="134"/>
      <c r="MTG32" s="134"/>
      <c r="MTJ32" s="134"/>
      <c r="MTM32" s="134"/>
      <c r="MTP32" s="134"/>
      <c r="MTS32" s="134"/>
      <c r="MTV32" s="134"/>
      <c r="MTY32" s="134"/>
      <c r="MUB32" s="134"/>
      <c r="MUE32" s="134"/>
      <c r="MUH32" s="134"/>
      <c r="MUK32" s="134"/>
      <c r="MUN32" s="134"/>
      <c r="MUQ32" s="134"/>
      <c r="MUT32" s="134"/>
      <c r="MUW32" s="134"/>
      <c r="MUZ32" s="134"/>
      <c r="MVC32" s="134"/>
      <c r="MVF32" s="134"/>
      <c r="MVI32" s="134"/>
      <c r="MVL32" s="134"/>
      <c r="MVO32" s="134"/>
      <c r="MVR32" s="134"/>
      <c r="MVU32" s="134"/>
      <c r="MVX32" s="134"/>
      <c r="MWA32" s="134"/>
      <c r="MWD32" s="134"/>
      <c r="MWG32" s="134"/>
      <c r="MWJ32" s="134"/>
      <c r="MWM32" s="134"/>
      <c r="MWP32" s="134"/>
      <c r="MWS32" s="134"/>
      <c r="MWV32" s="134"/>
      <c r="MWY32" s="134"/>
      <c r="MXB32" s="134"/>
      <c r="MXE32" s="134"/>
      <c r="MXH32" s="134"/>
      <c r="MXK32" s="134"/>
      <c r="MXN32" s="134"/>
      <c r="MXQ32" s="134"/>
      <c r="MXT32" s="134"/>
      <c r="MXW32" s="134"/>
      <c r="MXZ32" s="134"/>
      <c r="MYC32" s="134"/>
      <c r="MYF32" s="134"/>
      <c r="MYI32" s="134"/>
      <c r="MYL32" s="134"/>
      <c r="MYO32" s="134"/>
      <c r="MYR32" s="134"/>
      <c r="MYU32" s="134"/>
      <c r="MYX32" s="134"/>
      <c r="MZA32" s="134"/>
      <c r="MZD32" s="134"/>
      <c r="MZG32" s="134"/>
      <c r="MZJ32" s="134"/>
      <c r="MZM32" s="134"/>
      <c r="MZP32" s="134"/>
      <c r="MZS32" s="134"/>
      <c r="MZV32" s="134"/>
      <c r="MZY32" s="134"/>
      <c r="NAB32" s="134"/>
      <c r="NAE32" s="134"/>
      <c r="NAH32" s="134"/>
      <c r="NAK32" s="134"/>
      <c r="NAN32" s="134"/>
      <c r="NAQ32" s="134"/>
      <c r="NAT32" s="134"/>
      <c r="NAW32" s="134"/>
      <c r="NAZ32" s="134"/>
      <c r="NBC32" s="134"/>
      <c r="NBF32" s="134"/>
      <c r="NBI32" s="134"/>
      <c r="NBL32" s="134"/>
      <c r="NBO32" s="134"/>
      <c r="NBR32" s="134"/>
      <c r="NBU32" s="134"/>
      <c r="NBX32" s="134"/>
      <c r="NCA32" s="134"/>
      <c r="NCD32" s="134"/>
      <c r="NCG32" s="134"/>
      <c r="NCJ32" s="134"/>
      <c r="NCM32" s="134"/>
      <c r="NCP32" s="134"/>
      <c r="NCS32" s="134"/>
      <c r="NCV32" s="134"/>
      <c r="NCY32" s="134"/>
      <c r="NDB32" s="134"/>
      <c r="NDE32" s="134"/>
      <c r="NDH32" s="134"/>
      <c r="NDK32" s="134"/>
      <c r="NDN32" s="134"/>
      <c r="NDQ32" s="134"/>
      <c r="NDT32" s="134"/>
      <c r="NDW32" s="134"/>
      <c r="NDZ32" s="134"/>
      <c r="NEC32" s="134"/>
      <c r="NEF32" s="134"/>
      <c r="NEI32" s="134"/>
      <c r="NEL32" s="134"/>
      <c r="NEO32" s="134"/>
      <c r="NER32" s="134"/>
      <c r="NEU32" s="134"/>
      <c r="NEX32" s="134"/>
      <c r="NFA32" s="134"/>
      <c r="NFD32" s="134"/>
      <c r="NFG32" s="134"/>
      <c r="NFJ32" s="134"/>
      <c r="NFM32" s="134"/>
      <c r="NFP32" s="134"/>
      <c r="NFS32" s="134"/>
      <c r="NFV32" s="134"/>
      <c r="NFY32" s="134"/>
      <c r="NGB32" s="134"/>
      <c r="NGE32" s="134"/>
      <c r="NGH32" s="134"/>
      <c r="NGK32" s="134"/>
      <c r="NGN32" s="134"/>
      <c r="NGQ32" s="134"/>
      <c r="NGT32" s="134"/>
      <c r="NGW32" s="134"/>
      <c r="NGZ32" s="134"/>
      <c r="NHC32" s="134"/>
      <c r="NHF32" s="134"/>
      <c r="NHI32" s="134"/>
      <c r="NHL32" s="134"/>
      <c r="NHO32" s="134"/>
      <c r="NHR32" s="134"/>
      <c r="NHU32" s="134"/>
      <c r="NHX32" s="134"/>
      <c r="NIA32" s="134"/>
      <c r="NID32" s="134"/>
      <c r="NIG32" s="134"/>
      <c r="NIJ32" s="134"/>
      <c r="NIM32" s="134"/>
      <c r="NIP32" s="134"/>
      <c r="NIS32" s="134"/>
      <c r="NIV32" s="134"/>
      <c r="NIY32" s="134"/>
      <c r="NJB32" s="134"/>
      <c r="NJE32" s="134"/>
      <c r="NJH32" s="134"/>
      <c r="NJK32" s="134"/>
      <c r="NJN32" s="134"/>
      <c r="NJQ32" s="134"/>
      <c r="NJT32" s="134"/>
      <c r="NJW32" s="134"/>
      <c r="NJZ32" s="134"/>
      <c r="NKC32" s="134"/>
      <c r="NKF32" s="134"/>
      <c r="NKI32" s="134"/>
      <c r="NKL32" s="134"/>
      <c r="NKO32" s="134"/>
      <c r="NKR32" s="134"/>
      <c r="NKU32" s="134"/>
      <c r="NKX32" s="134"/>
      <c r="NLA32" s="134"/>
      <c r="NLD32" s="134"/>
      <c r="NLG32" s="134"/>
      <c r="NLJ32" s="134"/>
      <c r="NLM32" s="134"/>
      <c r="NLP32" s="134"/>
      <c r="NLS32" s="134"/>
      <c r="NLV32" s="134"/>
      <c r="NLY32" s="134"/>
      <c r="NMB32" s="134"/>
      <c r="NME32" s="134"/>
      <c r="NMH32" s="134"/>
      <c r="NMK32" s="134"/>
      <c r="NMN32" s="134"/>
      <c r="NMQ32" s="134"/>
      <c r="NMT32" s="134"/>
      <c r="NMW32" s="134"/>
      <c r="NMZ32" s="134"/>
      <c r="NNC32" s="134"/>
      <c r="NNF32" s="134"/>
      <c r="NNI32" s="134"/>
      <c r="NNL32" s="134"/>
      <c r="NNO32" s="134"/>
      <c r="NNR32" s="134"/>
      <c r="NNU32" s="134"/>
      <c r="NNX32" s="134"/>
      <c r="NOA32" s="134"/>
      <c r="NOD32" s="134"/>
      <c r="NOG32" s="134"/>
      <c r="NOJ32" s="134"/>
      <c r="NOM32" s="134"/>
      <c r="NOP32" s="134"/>
      <c r="NOS32" s="134"/>
      <c r="NOV32" s="134"/>
      <c r="NOY32" s="134"/>
      <c r="NPB32" s="134"/>
      <c r="NPE32" s="134"/>
      <c r="NPH32" s="134"/>
      <c r="NPK32" s="134"/>
      <c r="NPN32" s="134"/>
      <c r="NPQ32" s="134"/>
      <c r="NPT32" s="134"/>
      <c r="NPW32" s="134"/>
      <c r="NPZ32" s="134"/>
      <c r="NQC32" s="134"/>
      <c r="NQF32" s="134"/>
      <c r="NQI32" s="134"/>
      <c r="NQL32" s="134"/>
      <c r="NQO32" s="134"/>
      <c r="NQR32" s="134"/>
      <c r="NQU32" s="134"/>
      <c r="NQX32" s="134"/>
      <c r="NRA32" s="134"/>
      <c r="NRD32" s="134"/>
      <c r="NRG32" s="134"/>
      <c r="NRJ32" s="134"/>
      <c r="NRM32" s="134"/>
      <c r="NRP32" s="134"/>
      <c r="NRS32" s="134"/>
      <c r="NRV32" s="134"/>
      <c r="NRY32" s="134"/>
      <c r="NSB32" s="134"/>
      <c r="NSE32" s="134"/>
      <c r="NSH32" s="134"/>
      <c r="NSK32" s="134"/>
      <c r="NSN32" s="134"/>
      <c r="NSQ32" s="134"/>
      <c r="NST32" s="134"/>
      <c r="NSW32" s="134"/>
      <c r="NSZ32" s="134"/>
      <c r="NTC32" s="134"/>
      <c r="NTF32" s="134"/>
      <c r="NTI32" s="134"/>
      <c r="NTL32" s="134"/>
      <c r="NTO32" s="134"/>
      <c r="NTR32" s="134"/>
      <c r="NTU32" s="134"/>
      <c r="NTX32" s="134"/>
      <c r="NUA32" s="134"/>
      <c r="NUD32" s="134"/>
      <c r="NUG32" s="134"/>
      <c r="NUJ32" s="134"/>
      <c r="NUM32" s="134"/>
      <c r="NUP32" s="134"/>
      <c r="NUS32" s="134"/>
      <c r="NUV32" s="134"/>
      <c r="NUY32" s="134"/>
      <c r="NVB32" s="134"/>
      <c r="NVE32" s="134"/>
      <c r="NVH32" s="134"/>
      <c r="NVK32" s="134"/>
      <c r="NVN32" s="134"/>
      <c r="NVQ32" s="134"/>
      <c r="NVT32" s="134"/>
      <c r="NVW32" s="134"/>
      <c r="NVZ32" s="134"/>
      <c r="NWC32" s="134"/>
      <c r="NWF32" s="134"/>
      <c r="NWI32" s="134"/>
      <c r="NWL32" s="134"/>
      <c r="NWO32" s="134"/>
      <c r="NWR32" s="134"/>
      <c r="NWU32" s="134"/>
      <c r="NWX32" s="134"/>
      <c r="NXA32" s="134"/>
      <c r="NXD32" s="134"/>
      <c r="NXG32" s="134"/>
      <c r="NXJ32" s="134"/>
      <c r="NXM32" s="134"/>
      <c r="NXP32" s="134"/>
      <c r="NXS32" s="134"/>
      <c r="NXV32" s="134"/>
      <c r="NXY32" s="134"/>
      <c r="NYB32" s="134"/>
      <c r="NYE32" s="134"/>
      <c r="NYH32" s="134"/>
      <c r="NYK32" s="134"/>
      <c r="NYN32" s="134"/>
      <c r="NYQ32" s="134"/>
      <c r="NYT32" s="134"/>
      <c r="NYW32" s="134"/>
      <c r="NYZ32" s="134"/>
      <c r="NZC32" s="134"/>
      <c r="NZF32" s="134"/>
      <c r="NZI32" s="134"/>
      <c r="NZL32" s="134"/>
      <c r="NZO32" s="134"/>
      <c r="NZR32" s="134"/>
      <c r="NZU32" s="134"/>
      <c r="NZX32" s="134"/>
      <c r="OAA32" s="134"/>
      <c r="OAD32" s="134"/>
      <c r="OAG32" s="134"/>
      <c r="OAJ32" s="134"/>
      <c r="OAM32" s="134"/>
      <c r="OAP32" s="134"/>
      <c r="OAS32" s="134"/>
      <c r="OAV32" s="134"/>
      <c r="OAY32" s="134"/>
      <c r="OBB32" s="134"/>
      <c r="OBE32" s="134"/>
      <c r="OBH32" s="134"/>
      <c r="OBK32" s="134"/>
      <c r="OBN32" s="134"/>
      <c r="OBQ32" s="134"/>
      <c r="OBT32" s="134"/>
      <c r="OBW32" s="134"/>
      <c r="OBZ32" s="134"/>
      <c r="OCC32" s="134"/>
      <c r="OCF32" s="134"/>
      <c r="OCI32" s="134"/>
      <c r="OCL32" s="134"/>
      <c r="OCO32" s="134"/>
      <c r="OCR32" s="134"/>
      <c r="OCU32" s="134"/>
      <c r="OCX32" s="134"/>
      <c r="ODA32" s="134"/>
      <c r="ODD32" s="134"/>
      <c r="ODG32" s="134"/>
      <c r="ODJ32" s="134"/>
      <c r="ODM32" s="134"/>
      <c r="ODP32" s="134"/>
      <c r="ODS32" s="134"/>
      <c r="ODV32" s="134"/>
      <c r="ODY32" s="134"/>
      <c r="OEB32" s="134"/>
      <c r="OEE32" s="134"/>
      <c r="OEH32" s="134"/>
      <c r="OEK32" s="134"/>
      <c r="OEN32" s="134"/>
      <c r="OEQ32" s="134"/>
      <c r="OET32" s="134"/>
      <c r="OEW32" s="134"/>
      <c r="OEZ32" s="134"/>
      <c r="OFC32" s="134"/>
      <c r="OFF32" s="134"/>
      <c r="OFI32" s="134"/>
      <c r="OFL32" s="134"/>
      <c r="OFO32" s="134"/>
      <c r="OFR32" s="134"/>
      <c r="OFU32" s="134"/>
      <c r="OFX32" s="134"/>
      <c r="OGA32" s="134"/>
      <c r="OGD32" s="134"/>
      <c r="OGG32" s="134"/>
      <c r="OGJ32" s="134"/>
      <c r="OGM32" s="134"/>
      <c r="OGP32" s="134"/>
      <c r="OGS32" s="134"/>
      <c r="OGV32" s="134"/>
      <c r="OGY32" s="134"/>
      <c r="OHB32" s="134"/>
      <c r="OHE32" s="134"/>
      <c r="OHH32" s="134"/>
      <c r="OHK32" s="134"/>
      <c r="OHN32" s="134"/>
      <c r="OHQ32" s="134"/>
      <c r="OHT32" s="134"/>
      <c r="OHW32" s="134"/>
      <c r="OHZ32" s="134"/>
      <c r="OIC32" s="134"/>
      <c r="OIF32" s="134"/>
      <c r="OII32" s="134"/>
      <c r="OIL32" s="134"/>
      <c r="OIO32" s="134"/>
      <c r="OIR32" s="134"/>
      <c r="OIU32" s="134"/>
      <c r="OIX32" s="134"/>
      <c r="OJA32" s="134"/>
      <c r="OJD32" s="134"/>
      <c r="OJG32" s="134"/>
      <c r="OJJ32" s="134"/>
      <c r="OJM32" s="134"/>
      <c r="OJP32" s="134"/>
      <c r="OJS32" s="134"/>
      <c r="OJV32" s="134"/>
      <c r="OJY32" s="134"/>
      <c r="OKB32" s="134"/>
      <c r="OKE32" s="134"/>
      <c r="OKH32" s="134"/>
      <c r="OKK32" s="134"/>
      <c r="OKN32" s="134"/>
      <c r="OKQ32" s="134"/>
      <c r="OKT32" s="134"/>
      <c r="OKW32" s="134"/>
      <c r="OKZ32" s="134"/>
      <c r="OLC32" s="134"/>
      <c r="OLF32" s="134"/>
      <c r="OLI32" s="134"/>
      <c r="OLL32" s="134"/>
      <c r="OLO32" s="134"/>
      <c r="OLR32" s="134"/>
      <c r="OLU32" s="134"/>
      <c r="OLX32" s="134"/>
      <c r="OMA32" s="134"/>
      <c r="OMD32" s="134"/>
      <c r="OMG32" s="134"/>
      <c r="OMJ32" s="134"/>
      <c r="OMM32" s="134"/>
      <c r="OMP32" s="134"/>
      <c r="OMS32" s="134"/>
      <c r="OMV32" s="134"/>
      <c r="OMY32" s="134"/>
      <c r="ONB32" s="134"/>
      <c r="ONE32" s="134"/>
      <c r="ONH32" s="134"/>
      <c r="ONK32" s="134"/>
      <c r="ONN32" s="134"/>
      <c r="ONQ32" s="134"/>
      <c r="ONT32" s="134"/>
      <c r="ONW32" s="134"/>
      <c r="ONZ32" s="134"/>
      <c r="OOC32" s="134"/>
      <c r="OOF32" s="134"/>
      <c r="OOI32" s="134"/>
      <c r="OOL32" s="134"/>
      <c r="OOO32" s="134"/>
      <c r="OOR32" s="134"/>
      <c r="OOU32" s="134"/>
      <c r="OOX32" s="134"/>
      <c r="OPA32" s="134"/>
      <c r="OPD32" s="134"/>
      <c r="OPG32" s="134"/>
      <c r="OPJ32" s="134"/>
      <c r="OPM32" s="134"/>
      <c r="OPP32" s="134"/>
      <c r="OPS32" s="134"/>
      <c r="OPV32" s="134"/>
      <c r="OPY32" s="134"/>
      <c r="OQB32" s="134"/>
      <c r="OQE32" s="134"/>
      <c r="OQH32" s="134"/>
      <c r="OQK32" s="134"/>
      <c r="OQN32" s="134"/>
      <c r="OQQ32" s="134"/>
      <c r="OQT32" s="134"/>
      <c r="OQW32" s="134"/>
      <c r="OQZ32" s="134"/>
      <c r="ORC32" s="134"/>
      <c r="ORF32" s="134"/>
      <c r="ORI32" s="134"/>
      <c r="ORL32" s="134"/>
      <c r="ORO32" s="134"/>
      <c r="ORR32" s="134"/>
      <c r="ORU32" s="134"/>
      <c r="ORX32" s="134"/>
      <c r="OSA32" s="134"/>
      <c r="OSD32" s="134"/>
      <c r="OSG32" s="134"/>
      <c r="OSJ32" s="134"/>
      <c r="OSM32" s="134"/>
      <c r="OSP32" s="134"/>
      <c r="OSS32" s="134"/>
      <c r="OSV32" s="134"/>
      <c r="OSY32" s="134"/>
      <c r="OTB32" s="134"/>
      <c r="OTE32" s="134"/>
      <c r="OTH32" s="134"/>
      <c r="OTK32" s="134"/>
      <c r="OTN32" s="134"/>
      <c r="OTQ32" s="134"/>
      <c r="OTT32" s="134"/>
      <c r="OTW32" s="134"/>
      <c r="OTZ32" s="134"/>
      <c r="OUC32" s="134"/>
      <c r="OUF32" s="134"/>
      <c r="OUI32" s="134"/>
      <c r="OUL32" s="134"/>
      <c r="OUO32" s="134"/>
      <c r="OUR32" s="134"/>
      <c r="OUU32" s="134"/>
      <c r="OUX32" s="134"/>
      <c r="OVA32" s="134"/>
      <c r="OVD32" s="134"/>
      <c r="OVG32" s="134"/>
      <c r="OVJ32" s="134"/>
      <c r="OVM32" s="134"/>
      <c r="OVP32" s="134"/>
      <c r="OVS32" s="134"/>
      <c r="OVV32" s="134"/>
      <c r="OVY32" s="134"/>
      <c r="OWB32" s="134"/>
      <c r="OWE32" s="134"/>
      <c r="OWH32" s="134"/>
      <c r="OWK32" s="134"/>
      <c r="OWN32" s="134"/>
      <c r="OWQ32" s="134"/>
      <c r="OWT32" s="134"/>
      <c r="OWW32" s="134"/>
      <c r="OWZ32" s="134"/>
      <c r="OXC32" s="134"/>
      <c r="OXF32" s="134"/>
      <c r="OXI32" s="134"/>
      <c r="OXL32" s="134"/>
      <c r="OXO32" s="134"/>
      <c r="OXR32" s="134"/>
      <c r="OXU32" s="134"/>
      <c r="OXX32" s="134"/>
      <c r="OYA32" s="134"/>
      <c r="OYD32" s="134"/>
      <c r="OYG32" s="134"/>
      <c r="OYJ32" s="134"/>
      <c r="OYM32" s="134"/>
      <c r="OYP32" s="134"/>
      <c r="OYS32" s="134"/>
      <c r="OYV32" s="134"/>
      <c r="OYY32" s="134"/>
      <c r="OZB32" s="134"/>
      <c r="OZE32" s="134"/>
      <c r="OZH32" s="134"/>
      <c r="OZK32" s="134"/>
      <c r="OZN32" s="134"/>
      <c r="OZQ32" s="134"/>
      <c r="OZT32" s="134"/>
      <c r="OZW32" s="134"/>
      <c r="OZZ32" s="134"/>
      <c r="PAC32" s="134"/>
      <c r="PAF32" s="134"/>
      <c r="PAI32" s="134"/>
      <c r="PAL32" s="134"/>
      <c r="PAO32" s="134"/>
      <c r="PAR32" s="134"/>
      <c r="PAU32" s="134"/>
      <c r="PAX32" s="134"/>
      <c r="PBA32" s="134"/>
      <c r="PBD32" s="134"/>
      <c r="PBG32" s="134"/>
      <c r="PBJ32" s="134"/>
      <c r="PBM32" s="134"/>
      <c r="PBP32" s="134"/>
      <c r="PBS32" s="134"/>
      <c r="PBV32" s="134"/>
      <c r="PBY32" s="134"/>
      <c r="PCB32" s="134"/>
      <c r="PCE32" s="134"/>
      <c r="PCH32" s="134"/>
      <c r="PCK32" s="134"/>
      <c r="PCN32" s="134"/>
      <c r="PCQ32" s="134"/>
      <c r="PCT32" s="134"/>
      <c r="PCW32" s="134"/>
      <c r="PCZ32" s="134"/>
      <c r="PDC32" s="134"/>
      <c r="PDF32" s="134"/>
      <c r="PDI32" s="134"/>
      <c r="PDL32" s="134"/>
      <c r="PDO32" s="134"/>
      <c r="PDR32" s="134"/>
      <c r="PDU32" s="134"/>
      <c r="PDX32" s="134"/>
      <c r="PEA32" s="134"/>
      <c r="PED32" s="134"/>
      <c r="PEG32" s="134"/>
      <c r="PEJ32" s="134"/>
      <c r="PEM32" s="134"/>
      <c r="PEP32" s="134"/>
      <c r="PES32" s="134"/>
      <c r="PEV32" s="134"/>
      <c r="PEY32" s="134"/>
      <c r="PFB32" s="134"/>
      <c r="PFE32" s="134"/>
      <c r="PFH32" s="134"/>
      <c r="PFK32" s="134"/>
      <c r="PFN32" s="134"/>
      <c r="PFQ32" s="134"/>
      <c r="PFT32" s="134"/>
      <c r="PFW32" s="134"/>
      <c r="PFZ32" s="134"/>
      <c r="PGC32" s="134"/>
      <c r="PGF32" s="134"/>
      <c r="PGI32" s="134"/>
      <c r="PGL32" s="134"/>
      <c r="PGO32" s="134"/>
      <c r="PGR32" s="134"/>
      <c r="PGU32" s="134"/>
      <c r="PGX32" s="134"/>
      <c r="PHA32" s="134"/>
      <c r="PHD32" s="134"/>
      <c r="PHG32" s="134"/>
      <c r="PHJ32" s="134"/>
      <c r="PHM32" s="134"/>
      <c r="PHP32" s="134"/>
      <c r="PHS32" s="134"/>
      <c r="PHV32" s="134"/>
      <c r="PHY32" s="134"/>
      <c r="PIB32" s="134"/>
      <c r="PIE32" s="134"/>
      <c r="PIH32" s="134"/>
      <c r="PIK32" s="134"/>
      <c r="PIN32" s="134"/>
      <c r="PIQ32" s="134"/>
      <c r="PIT32" s="134"/>
      <c r="PIW32" s="134"/>
      <c r="PIZ32" s="134"/>
      <c r="PJC32" s="134"/>
      <c r="PJF32" s="134"/>
      <c r="PJI32" s="134"/>
      <c r="PJL32" s="134"/>
      <c r="PJO32" s="134"/>
      <c r="PJR32" s="134"/>
      <c r="PJU32" s="134"/>
      <c r="PJX32" s="134"/>
      <c r="PKA32" s="134"/>
      <c r="PKD32" s="134"/>
      <c r="PKG32" s="134"/>
      <c r="PKJ32" s="134"/>
      <c r="PKM32" s="134"/>
      <c r="PKP32" s="134"/>
      <c r="PKS32" s="134"/>
      <c r="PKV32" s="134"/>
      <c r="PKY32" s="134"/>
      <c r="PLB32" s="134"/>
      <c r="PLE32" s="134"/>
      <c r="PLH32" s="134"/>
      <c r="PLK32" s="134"/>
      <c r="PLN32" s="134"/>
      <c r="PLQ32" s="134"/>
      <c r="PLT32" s="134"/>
      <c r="PLW32" s="134"/>
      <c r="PLZ32" s="134"/>
      <c r="PMC32" s="134"/>
      <c r="PMF32" s="134"/>
      <c r="PMI32" s="134"/>
      <c r="PML32" s="134"/>
      <c r="PMO32" s="134"/>
      <c r="PMR32" s="134"/>
      <c r="PMU32" s="134"/>
      <c r="PMX32" s="134"/>
      <c r="PNA32" s="134"/>
      <c r="PND32" s="134"/>
      <c r="PNG32" s="134"/>
      <c r="PNJ32" s="134"/>
      <c r="PNM32" s="134"/>
      <c r="PNP32" s="134"/>
      <c r="PNS32" s="134"/>
      <c r="PNV32" s="134"/>
      <c r="PNY32" s="134"/>
      <c r="POB32" s="134"/>
      <c r="POE32" s="134"/>
      <c r="POH32" s="134"/>
      <c r="POK32" s="134"/>
      <c r="PON32" s="134"/>
      <c r="POQ32" s="134"/>
      <c r="POT32" s="134"/>
      <c r="POW32" s="134"/>
      <c r="POZ32" s="134"/>
      <c r="PPC32" s="134"/>
      <c r="PPF32" s="134"/>
      <c r="PPI32" s="134"/>
      <c r="PPL32" s="134"/>
      <c r="PPO32" s="134"/>
      <c r="PPR32" s="134"/>
      <c r="PPU32" s="134"/>
      <c r="PPX32" s="134"/>
      <c r="PQA32" s="134"/>
      <c r="PQD32" s="134"/>
      <c r="PQG32" s="134"/>
      <c r="PQJ32" s="134"/>
      <c r="PQM32" s="134"/>
      <c r="PQP32" s="134"/>
      <c r="PQS32" s="134"/>
      <c r="PQV32" s="134"/>
      <c r="PQY32" s="134"/>
      <c r="PRB32" s="134"/>
      <c r="PRE32" s="134"/>
      <c r="PRH32" s="134"/>
      <c r="PRK32" s="134"/>
      <c r="PRN32" s="134"/>
      <c r="PRQ32" s="134"/>
      <c r="PRT32" s="134"/>
      <c r="PRW32" s="134"/>
      <c r="PRZ32" s="134"/>
      <c r="PSC32" s="134"/>
      <c r="PSF32" s="134"/>
      <c r="PSI32" s="134"/>
      <c r="PSL32" s="134"/>
      <c r="PSO32" s="134"/>
      <c r="PSR32" s="134"/>
      <c r="PSU32" s="134"/>
      <c r="PSX32" s="134"/>
      <c r="PTA32" s="134"/>
      <c r="PTD32" s="134"/>
      <c r="PTG32" s="134"/>
      <c r="PTJ32" s="134"/>
      <c r="PTM32" s="134"/>
      <c r="PTP32" s="134"/>
      <c r="PTS32" s="134"/>
      <c r="PTV32" s="134"/>
      <c r="PTY32" s="134"/>
      <c r="PUB32" s="134"/>
      <c r="PUE32" s="134"/>
      <c r="PUH32" s="134"/>
      <c r="PUK32" s="134"/>
      <c r="PUN32" s="134"/>
      <c r="PUQ32" s="134"/>
      <c r="PUT32" s="134"/>
      <c r="PUW32" s="134"/>
      <c r="PUZ32" s="134"/>
      <c r="PVC32" s="134"/>
      <c r="PVF32" s="134"/>
      <c r="PVI32" s="134"/>
      <c r="PVL32" s="134"/>
      <c r="PVO32" s="134"/>
      <c r="PVR32" s="134"/>
      <c r="PVU32" s="134"/>
      <c r="PVX32" s="134"/>
      <c r="PWA32" s="134"/>
      <c r="PWD32" s="134"/>
      <c r="PWG32" s="134"/>
      <c r="PWJ32" s="134"/>
      <c r="PWM32" s="134"/>
      <c r="PWP32" s="134"/>
      <c r="PWS32" s="134"/>
      <c r="PWV32" s="134"/>
      <c r="PWY32" s="134"/>
      <c r="PXB32" s="134"/>
      <c r="PXE32" s="134"/>
      <c r="PXH32" s="134"/>
      <c r="PXK32" s="134"/>
      <c r="PXN32" s="134"/>
      <c r="PXQ32" s="134"/>
      <c r="PXT32" s="134"/>
      <c r="PXW32" s="134"/>
      <c r="PXZ32" s="134"/>
      <c r="PYC32" s="134"/>
      <c r="PYF32" s="134"/>
      <c r="PYI32" s="134"/>
      <c r="PYL32" s="134"/>
      <c r="PYO32" s="134"/>
      <c r="PYR32" s="134"/>
      <c r="PYU32" s="134"/>
      <c r="PYX32" s="134"/>
      <c r="PZA32" s="134"/>
      <c r="PZD32" s="134"/>
      <c r="PZG32" s="134"/>
      <c r="PZJ32" s="134"/>
      <c r="PZM32" s="134"/>
      <c r="PZP32" s="134"/>
      <c r="PZS32" s="134"/>
      <c r="PZV32" s="134"/>
      <c r="PZY32" s="134"/>
      <c r="QAB32" s="134"/>
      <c r="QAE32" s="134"/>
      <c r="QAH32" s="134"/>
      <c r="QAK32" s="134"/>
      <c r="QAN32" s="134"/>
      <c r="QAQ32" s="134"/>
      <c r="QAT32" s="134"/>
      <c r="QAW32" s="134"/>
      <c r="QAZ32" s="134"/>
      <c r="QBC32" s="134"/>
      <c r="QBF32" s="134"/>
      <c r="QBI32" s="134"/>
      <c r="QBL32" s="134"/>
      <c r="QBO32" s="134"/>
      <c r="QBR32" s="134"/>
      <c r="QBU32" s="134"/>
      <c r="QBX32" s="134"/>
      <c r="QCA32" s="134"/>
      <c r="QCD32" s="134"/>
      <c r="QCG32" s="134"/>
      <c r="QCJ32" s="134"/>
      <c r="QCM32" s="134"/>
      <c r="QCP32" s="134"/>
      <c r="QCS32" s="134"/>
      <c r="QCV32" s="134"/>
      <c r="QCY32" s="134"/>
      <c r="QDB32" s="134"/>
      <c r="QDE32" s="134"/>
      <c r="QDH32" s="134"/>
      <c r="QDK32" s="134"/>
      <c r="QDN32" s="134"/>
      <c r="QDQ32" s="134"/>
      <c r="QDT32" s="134"/>
      <c r="QDW32" s="134"/>
      <c r="QDZ32" s="134"/>
      <c r="QEC32" s="134"/>
      <c r="QEF32" s="134"/>
      <c r="QEI32" s="134"/>
      <c r="QEL32" s="134"/>
      <c r="QEO32" s="134"/>
      <c r="QER32" s="134"/>
      <c r="QEU32" s="134"/>
      <c r="QEX32" s="134"/>
      <c r="QFA32" s="134"/>
      <c r="QFD32" s="134"/>
      <c r="QFG32" s="134"/>
      <c r="QFJ32" s="134"/>
      <c r="QFM32" s="134"/>
      <c r="QFP32" s="134"/>
      <c r="QFS32" s="134"/>
      <c r="QFV32" s="134"/>
      <c r="QFY32" s="134"/>
      <c r="QGB32" s="134"/>
      <c r="QGE32" s="134"/>
      <c r="QGH32" s="134"/>
      <c r="QGK32" s="134"/>
      <c r="QGN32" s="134"/>
      <c r="QGQ32" s="134"/>
      <c r="QGT32" s="134"/>
      <c r="QGW32" s="134"/>
      <c r="QGZ32" s="134"/>
      <c r="QHC32" s="134"/>
      <c r="QHF32" s="134"/>
      <c r="QHI32" s="134"/>
      <c r="QHL32" s="134"/>
      <c r="QHO32" s="134"/>
      <c r="QHR32" s="134"/>
      <c r="QHU32" s="134"/>
      <c r="QHX32" s="134"/>
      <c r="QIA32" s="134"/>
      <c r="QID32" s="134"/>
      <c r="QIG32" s="134"/>
      <c r="QIJ32" s="134"/>
      <c r="QIM32" s="134"/>
      <c r="QIP32" s="134"/>
      <c r="QIS32" s="134"/>
      <c r="QIV32" s="134"/>
      <c r="QIY32" s="134"/>
      <c r="QJB32" s="134"/>
      <c r="QJE32" s="134"/>
      <c r="QJH32" s="134"/>
      <c r="QJK32" s="134"/>
      <c r="QJN32" s="134"/>
      <c r="QJQ32" s="134"/>
      <c r="QJT32" s="134"/>
      <c r="QJW32" s="134"/>
      <c r="QJZ32" s="134"/>
      <c r="QKC32" s="134"/>
      <c r="QKF32" s="134"/>
      <c r="QKI32" s="134"/>
      <c r="QKL32" s="134"/>
      <c r="QKO32" s="134"/>
      <c r="QKR32" s="134"/>
      <c r="QKU32" s="134"/>
      <c r="QKX32" s="134"/>
      <c r="QLA32" s="134"/>
      <c r="QLD32" s="134"/>
      <c r="QLG32" s="134"/>
      <c r="QLJ32" s="134"/>
      <c r="QLM32" s="134"/>
      <c r="QLP32" s="134"/>
      <c r="QLS32" s="134"/>
      <c r="QLV32" s="134"/>
      <c r="QLY32" s="134"/>
      <c r="QMB32" s="134"/>
      <c r="QME32" s="134"/>
      <c r="QMH32" s="134"/>
      <c r="QMK32" s="134"/>
      <c r="QMN32" s="134"/>
      <c r="QMQ32" s="134"/>
      <c r="QMT32" s="134"/>
      <c r="QMW32" s="134"/>
      <c r="QMZ32" s="134"/>
      <c r="QNC32" s="134"/>
      <c r="QNF32" s="134"/>
      <c r="QNI32" s="134"/>
      <c r="QNL32" s="134"/>
      <c r="QNO32" s="134"/>
      <c r="QNR32" s="134"/>
      <c r="QNU32" s="134"/>
      <c r="QNX32" s="134"/>
      <c r="QOA32" s="134"/>
      <c r="QOD32" s="134"/>
      <c r="QOG32" s="134"/>
      <c r="QOJ32" s="134"/>
      <c r="QOM32" s="134"/>
      <c r="QOP32" s="134"/>
      <c r="QOS32" s="134"/>
      <c r="QOV32" s="134"/>
      <c r="QOY32" s="134"/>
      <c r="QPB32" s="134"/>
      <c r="QPE32" s="134"/>
      <c r="QPH32" s="134"/>
      <c r="QPK32" s="134"/>
      <c r="QPN32" s="134"/>
      <c r="QPQ32" s="134"/>
      <c r="QPT32" s="134"/>
      <c r="QPW32" s="134"/>
      <c r="QPZ32" s="134"/>
      <c r="QQC32" s="134"/>
      <c r="QQF32" s="134"/>
      <c r="QQI32" s="134"/>
      <c r="QQL32" s="134"/>
      <c r="QQO32" s="134"/>
      <c r="QQR32" s="134"/>
      <c r="QQU32" s="134"/>
      <c r="QQX32" s="134"/>
      <c r="QRA32" s="134"/>
      <c r="QRD32" s="134"/>
      <c r="QRG32" s="134"/>
      <c r="QRJ32" s="134"/>
      <c r="QRM32" s="134"/>
      <c r="QRP32" s="134"/>
      <c r="QRS32" s="134"/>
      <c r="QRV32" s="134"/>
      <c r="QRY32" s="134"/>
      <c r="QSB32" s="134"/>
      <c r="QSE32" s="134"/>
      <c r="QSH32" s="134"/>
      <c r="QSK32" s="134"/>
      <c r="QSN32" s="134"/>
      <c r="QSQ32" s="134"/>
      <c r="QST32" s="134"/>
      <c r="QSW32" s="134"/>
      <c r="QSZ32" s="134"/>
      <c r="QTC32" s="134"/>
      <c r="QTF32" s="134"/>
      <c r="QTI32" s="134"/>
      <c r="QTL32" s="134"/>
      <c r="QTO32" s="134"/>
      <c r="QTR32" s="134"/>
      <c r="QTU32" s="134"/>
      <c r="QTX32" s="134"/>
      <c r="QUA32" s="134"/>
      <c r="QUD32" s="134"/>
      <c r="QUG32" s="134"/>
      <c r="QUJ32" s="134"/>
      <c r="QUM32" s="134"/>
      <c r="QUP32" s="134"/>
      <c r="QUS32" s="134"/>
      <c r="QUV32" s="134"/>
      <c r="QUY32" s="134"/>
      <c r="QVB32" s="134"/>
      <c r="QVE32" s="134"/>
      <c r="QVH32" s="134"/>
      <c r="QVK32" s="134"/>
      <c r="QVN32" s="134"/>
      <c r="QVQ32" s="134"/>
      <c r="QVT32" s="134"/>
      <c r="QVW32" s="134"/>
      <c r="QVZ32" s="134"/>
      <c r="QWC32" s="134"/>
      <c r="QWF32" s="134"/>
      <c r="QWI32" s="134"/>
      <c r="QWL32" s="134"/>
      <c r="QWO32" s="134"/>
      <c r="QWR32" s="134"/>
      <c r="QWU32" s="134"/>
      <c r="QWX32" s="134"/>
      <c r="QXA32" s="134"/>
      <c r="QXD32" s="134"/>
      <c r="QXG32" s="134"/>
      <c r="QXJ32" s="134"/>
      <c r="QXM32" s="134"/>
      <c r="QXP32" s="134"/>
      <c r="QXS32" s="134"/>
      <c r="QXV32" s="134"/>
      <c r="QXY32" s="134"/>
      <c r="QYB32" s="134"/>
      <c r="QYE32" s="134"/>
      <c r="QYH32" s="134"/>
      <c r="QYK32" s="134"/>
      <c r="QYN32" s="134"/>
      <c r="QYQ32" s="134"/>
      <c r="QYT32" s="134"/>
      <c r="QYW32" s="134"/>
      <c r="QYZ32" s="134"/>
      <c r="QZC32" s="134"/>
      <c r="QZF32" s="134"/>
      <c r="QZI32" s="134"/>
      <c r="QZL32" s="134"/>
      <c r="QZO32" s="134"/>
      <c r="QZR32" s="134"/>
      <c r="QZU32" s="134"/>
      <c r="QZX32" s="134"/>
      <c r="RAA32" s="134"/>
      <c r="RAD32" s="134"/>
      <c r="RAG32" s="134"/>
      <c r="RAJ32" s="134"/>
      <c r="RAM32" s="134"/>
      <c r="RAP32" s="134"/>
      <c r="RAS32" s="134"/>
      <c r="RAV32" s="134"/>
      <c r="RAY32" s="134"/>
      <c r="RBB32" s="134"/>
      <c r="RBE32" s="134"/>
      <c r="RBH32" s="134"/>
      <c r="RBK32" s="134"/>
      <c r="RBN32" s="134"/>
      <c r="RBQ32" s="134"/>
      <c r="RBT32" s="134"/>
      <c r="RBW32" s="134"/>
      <c r="RBZ32" s="134"/>
      <c r="RCC32" s="134"/>
      <c r="RCF32" s="134"/>
      <c r="RCI32" s="134"/>
      <c r="RCL32" s="134"/>
      <c r="RCO32" s="134"/>
      <c r="RCR32" s="134"/>
      <c r="RCU32" s="134"/>
      <c r="RCX32" s="134"/>
      <c r="RDA32" s="134"/>
      <c r="RDD32" s="134"/>
      <c r="RDG32" s="134"/>
      <c r="RDJ32" s="134"/>
      <c r="RDM32" s="134"/>
      <c r="RDP32" s="134"/>
      <c r="RDS32" s="134"/>
      <c r="RDV32" s="134"/>
      <c r="RDY32" s="134"/>
      <c r="REB32" s="134"/>
      <c r="REE32" s="134"/>
      <c r="REH32" s="134"/>
      <c r="REK32" s="134"/>
      <c r="REN32" s="134"/>
      <c r="REQ32" s="134"/>
      <c r="RET32" s="134"/>
      <c r="REW32" s="134"/>
      <c r="REZ32" s="134"/>
      <c r="RFC32" s="134"/>
      <c r="RFF32" s="134"/>
      <c r="RFI32" s="134"/>
      <c r="RFL32" s="134"/>
      <c r="RFO32" s="134"/>
      <c r="RFR32" s="134"/>
      <c r="RFU32" s="134"/>
      <c r="RFX32" s="134"/>
      <c r="RGA32" s="134"/>
      <c r="RGD32" s="134"/>
      <c r="RGG32" s="134"/>
      <c r="RGJ32" s="134"/>
      <c r="RGM32" s="134"/>
      <c r="RGP32" s="134"/>
      <c r="RGS32" s="134"/>
      <c r="RGV32" s="134"/>
      <c r="RGY32" s="134"/>
      <c r="RHB32" s="134"/>
      <c r="RHE32" s="134"/>
      <c r="RHH32" s="134"/>
      <c r="RHK32" s="134"/>
      <c r="RHN32" s="134"/>
      <c r="RHQ32" s="134"/>
      <c r="RHT32" s="134"/>
      <c r="RHW32" s="134"/>
      <c r="RHZ32" s="134"/>
      <c r="RIC32" s="134"/>
      <c r="RIF32" s="134"/>
      <c r="RII32" s="134"/>
      <c r="RIL32" s="134"/>
      <c r="RIO32" s="134"/>
      <c r="RIR32" s="134"/>
      <c r="RIU32" s="134"/>
      <c r="RIX32" s="134"/>
      <c r="RJA32" s="134"/>
      <c r="RJD32" s="134"/>
      <c r="RJG32" s="134"/>
      <c r="RJJ32" s="134"/>
      <c r="RJM32" s="134"/>
      <c r="RJP32" s="134"/>
      <c r="RJS32" s="134"/>
      <c r="RJV32" s="134"/>
      <c r="RJY32" s="134"/>
      <c r="RKB32" s="134"/>
      <c r="RKE32" s="134"/>
      <c r="RKH32" s="134"/>
      <c r="RKK32" s="134"/>
      <c r="RKN32" s="134"/>
      <c r="RKQ32" s="134"/>
      <c r="RKT32" s="134"/>
      <c r="RKW32" s="134"/>
      <c r="RKZ32" s="134"/>
      <c r="RLC32" s="134"/>
      <c r="RLF32" s="134"/>
      <c r="RLI32" s="134"/>
      <c r="RLL32" s="134"/>
      <c r="RLO32" s="134"/>
      <c r="RLR32" s="134"/>
      <c r="RLU32" s="134"/>
      <c r="RLX32" s="134"/>
      <c r="RMA32" s="134"/>
      <c r="RMD32" s="134"/>
      <c r="RMG32" s="134"/>
      <c r="RMJ32" s="134"/>
      <c r="RMM32" s="134"/>
      <c r="RMP32" s="134"/>
      <c r="RMS32" s="134"/>
      <c r="RMV32" s="134"/>
      <c r="RMY32" s="134"/>
      <c r="RNB32" s="134"/>
      <c r="RNE32" s="134"/>
      <c r="RNH32" s="134"/>
      <c r="RNK32" s="134"/>
      <c r="RNN32" s="134"/>
      <c r="RNQ32" s="134"/>
      <c r="RNT32" s="134"/>
      <c r="RNW32" s="134"/>
      <c r="RNZ32" s="134"/>
      <c r="ROC32" s="134"/>
      <c r="ROF32" s="134"/>
      <c r="ROI32" s="134"/>
      <c r="ROL32" s="134"/>
      <c r="ROO32" s="134"/>
      <c r="ROR32" s="134"/>
      <c r="ROU32" s="134"/>
      <c r="ROX32" s="134"/>
      <c r="RPA32" s="134"/>
      <c r="RPD32" s="134"/>
      <c r="RPG32" s="134"/>
      <c r="RPJ32" s="134"/>
      <c r="RPM32" s="134"/>
      <c r="RPP32" s="134"/>
      <c r="RPS32" s="134"/>
      <c r="RPV32" s="134"/>
      <c r="RPY32" s="134"/>
      <c r="RQB32" s="134"/>
      <c r="RQE32" s="134"/>
      <c r="RQH32" s="134"/>
      <c r="RQK32" s="134"/>
      <c r="RQN32" s="134"/>
      <c r="RQQ32" s="134"/>
      <c r="RQT32" s="134"/>
      <c r="RQW32" s="134"/>
      <c r="RQZ32" s="134"/>
      <c r="RRC32" s="134"/>
      <c r="RRF32" s="134"/>
      <c r="RRI32" s="134"/>
      <c r="RRL32" s="134"/>
      <c r="RRO32" s="134"/>
      <c r="RRR32" s="134"/>
      <c r="RRU32" s="134"/>
      <c r="RRX32" s="134"/>
      <c r="RSA32" s="134"/>
      <c r="RSD32" s="134"/>
      <c r="RSG32" s="134"/>
      <c r="RSJ32" s="134"/>
      <c r="RSM32" s="134"/>
      <c r="RSP32" s="134"/>
      <c r="RSS32" s="134"/>
      <c r="RSV32" s="134"/>
      <c r="RSY32" s="134"/>
      <c r="RTB32" s="134"/>
      <c r="RTE32" s="134"/>
      <c r="RTH32" s="134"/>
      <c r="RTK32" s="134"/>
      <c r="RTN32" s="134"/>
      <c r="RTQ32" s="134"/>
      <c r="RTT32" s="134"/>
      <c r="RTW32" s="134"/>
      <c r="RTZ32" s="134"/>
      <c r="RUC32" s="134"/>
      <c r="RUF32" s="134"/>
      <c r="RUI32" s="134"/>
      <c r="RUL32" s="134"/>
      <c r="RUO32" s="134"/>
      <c r="RUR32" s="134"/>
      <c r="RUU32" s="134"/>
      <c r="RUX32" s="134"/>
      <c r="RVA32" s="134"/>
      <c r="RVD32" s="134"/>
      <c r="RVG32" s="134"/>
      <c r="RVJ32" s="134"/>
      <c r="RVM32" s="134"/>
      <c r="RVP32" s="134"/>
      <c r="RVS32" s="134"/>
      <c r="RVV32" s="134"/>
      <c r="RVY32" s="134"/>
      <c r="RWB32" s="134"/>
      <c r="RWE32" s="134"/>
      <c r="RWH32" s="134"/>
      <c r="RWK32" s="134"/>
      <c r="RWN32" s="134"/>
      <c r="RWQ32" s="134"/>
      <c r="RWT32" s="134"/>
      <c r="RWW32" s="134"/>
      <c r="RWZ32" s="134"/>
      <c r="RXC32" s="134"/>
      <c r="RXF32" s="134"/>
      <c r="RXI32" s="134"/>
      <c r="RXL32" s="134"/>
      <c r="RXO32" s="134"/>
      <c r="RXR32" s="134"/>
      <c r="RXU32" s="134"/>
      <c r="RXX32" s="134"/>
      <c r="RYA32" s="134"/>
      <c r="RYD32" s="134"/>
      <c r="RYG32" s="134"/>
      <c r="RYJ32" s="134"/>
      <c r="RYM32" s="134"/>
      <c r="RYP32" s="134"/>
      <c r="RYS32" s="134"/>
      <c r="RYV32" s="134"/>
      <c r="RYY32" s="134"/>
      <c r="RZB32" s="134"/>
      <c r="RZE32" s="134"/>
      <c r="RZH32" s="134"/>
      <c r="RZK32" s="134"/>
      <c r="RZN32" s="134"/>
      <c r="RZQ32" s="134"/>
      <c r="RZT32" s="134"/>
      <c r="RZW32" s="134"/>
      <c r="RZZ32" s="134"/>
      <c r="SAC32" s="134"/>
      <c r="SAF32" s="134"/>
      <c r="SAI32" s="134"/>
      <c r="SAL32" s="134"/>
      <c r="SAO32" s="134"/>
      <c r="SAR32" s="134"/>
      <c r="SAU32" s="134"/>
      <c r="SAX32" s="134"/>
      <c r="SBA32" s="134"/>
      <c r="SBD32" s="134"/>
      <c r="SBG32" s="134"/>
      <c r="SBJ32" s="134"/>
      <c r="SBM32" s="134"/>
      <c r="SBP32" s="134"/>
      <c r="SBS32" s="134"/>
      <c r="SBV32" s="134"/>
      <c r="SBY32" s="134"/>
      <c r="SCB32" s="134"/>
      <c r="SCE32" s="134"/>
      <c r="SCH32" s="134"/>
      <c r="SCK32" s="134"/>
      <c r="SCN32" s="134"/>
      <c r="SCQ32" s="134"/>
      <c r="SCT32" s="134"/>
      <c r="SCW32" s="134"/>
      <c r="SCZ32" s="134"/>
      <c r="SDC32" s="134"/>
      <c r="SDF32" s="134"/>
      <c r="SDI32" s="134"/>
      <c r="SDL32" s="134"/>
      <c r="SDO32" s="134"/>
      <c r="SDR32" s="134"/>
      <c r="SDU32" s="134"/>
      <c r="SDX32" s="134"/>
      <c r="SEA32" s="134"/>
      <c r="SED32" s="134"/>
      <c r="SEG32" s="134"/>
      <c r="SEJ32" s="134"/>
      <c r="SEM32" s="134"/>
      <c r="SEP32" s="134"/>
      <c r="SES32" s="134"/>
      <c r="SEV32" s="134"/>
      <c r="SEY32" s="134"/>
      <c r="SFB32" s="134"/>
      <c r="SFE32" s="134"/>
      <c r="SFH32" s="134"/>
      <c r="SFK32" s="134"/>
      <c r="SFN32" s="134"/>
      <c r="SFQ32" s="134"/>
      <c r="SFT32" s="134"/>
      <c r="SFW32" s="134"/>
      <c r="SFZ32" s="134"/>
      <c r="SGC32" s="134"/>
      <c r="SGF32" s="134"/>
      <c r="SGI32" s="134"/>
      <c r="SGL32" s="134"/>
      <c r="SGO32" s="134"/>
      <c r="SGR32" s="134"/>
      <c r="SGU32" s="134"/>
      <c r="SGX32" s="134"/>
      <c r="SHA32" s="134"/>
      <c r="SHD32" s="134"/>
      <c r="SHG32" s="134"/>
      <c r="SHJ32" s="134"/>
      <c r="SHM32" s="134"/>
      <c r="SHP32" s="134"/>
      <c r="SHS32" s="134"/>
      <c r="SHV32" s="134"/>
      <c r="SHY32" s="134"/>
      <c r="SIB32" s="134"/>
      <c r="SIE32" s="134"/>
      <c r="SIH32" s="134"/>
      <c r="SIK32" s="134"/>
      <c r="SIN32" s="134"/>
      <c r="SIQ32" s="134"/>
      <c r="SIT32" s="134"/>
      <c r="SIW32" s="134"/>
      <c r="SIZ32" s="134"/>
      <c r="SJC32" s="134"/>
      <c r="SJF32" s="134"/>
      <c r="SJI32" s="134"/>
      <c r="SJL32" s="134"/>
      <c r="SJO32" s="134"/>
      <c r="SJR32" s="134"/>
      <c r="SJU32" s="134"/>
      <c r="SJX32" s="134"/>
      <c r="SKA32" s="134"/>
      <c r="SKD32" s="134"/>
      <c r="SKG32" s="134"/>
      <c r="SKJ32" s="134"/>
      <c r="SKM32" s="134"/>
      <c r="SKP32" s="134"/>
      <c r="SKS32" s="134"/>
      <c r="SKV32" s="134"/>
      <c r="SKY32" s="134"/>
      <c r="SLB32" s="134"/>
      <c r="SLE32" s="134"/>
      <c r="SLH32" s="134"/>
      <c r="SLK32" s="134"/>
      <c r="SLN32" s="134"/>
      <c r="SLQ32" s="134"/>
      <c r="SLT32" s="134"/>
      <c r="SLW32" s="134"/>
      <c r="SLZ32" s="134"/>
      <c r="SMC32" s="134"/>
      <c r="SMF32" s="134"/>
      <c r="SMI32" s="134"/>
      <c r="SML32" s="134"/>
      <c r="SMO32" s="134"/>
      <c r="SMR32" s="134"/>
      <c r="SMU32" s="134"/>
      <c r="SMX32" s="134"/>
      <c r="SNA32" s="134"/>
      <c r="SND32" s="134"/>
      <c r="SNG32" s="134"/>
      <c r="SNJ32" s="134"/>
      <c r="SNM32" s="134"/>
      <c r="SNP32" s="134"/>
      <c r="SNS32" s="134"/>
      <c r="SNV32" s="134"/>
      <c r="SNY32" s="134"/>
      <c r="SOB32" s="134"/>
      <c r="SOE32" s="134"/>
      <c r="SOH32" s="134"/>
      <c r="SOK32" s="134"/>
      <c r="SON32" s="134"/>
      <c r="SOQ32" s="134"/>
      <c r="SOT32" s="134"/>
      <c r="SOW32" s="134"/>
      <c r="SOZ32" s="134"/>
      <c r="SPC32" s="134"/>
      <c r="SPF32" s="134"/>
      <c r="SPI32" s="134"/>
      <c r="SPL32" s="134"/>
      <c r="SPO32" s="134"/>
      <c r="SPR32" s="134"/>
      <c r="SPU32" s="134"/>
      <c r="SPX32" s="134"/>
      <c r="SQA32" s="134"/>
      <c r="SQD32" s="134"/>
      <c r="SQG32" s="134"/>
      <c r="SQJ32" s="134"/>
      <c r="SQM32" s="134"/>
      <c r="SQP32" s="134"/>
      <c r="SQS32" s="134"/>
      <c r="SQV32" s="134"/>
      <c r="SQY32" s="134"/>
      <c r="SRB32" s="134"/>
      <c r="SRE32" s="134"/>
      <c r="SRH32" s="134"/>
      <c r="SRK32" s="134"/>
      <c r="SRN32" s="134"/>
      <c r="SRQ32" s="134"/>
      <c r="SRT32" s="134"/>
      <c r="SRW32" s="134"/>
      <c r="SRZ32" s="134"/>
      <c r="SSC32" s="134"/>
      <c r="SSF32" s="134"/>
      <c r="SSI32" s="134"/>
      <c r="SSL32" s="134"/>
      <c r="SSO32" s="134"/>
      <c r="SSR32" s="134"/>
      <c r="SSU32" s="134"/>
      <c r="SSX32" s="134"/>
      <c r="STA32" s="134"/>
      <c r="STD32" s="134"/>
      <c r="STG32" s="134"/>
      <c r="STJ32" s="134"/>
      <c r="STM32" s="134"/>
      <c r="STP32" s="134"/>
      <c r="STS32" s="134"/>
      <c r="STV32" s="134"/>
      <c r="STY32" s="134"/>
      <c r="SUB32" s="134"/>
      <c r="SUE32" s="134"/>
      <c r="SUH32" s="134"/>
      <c r="SUK32" s="134"/>
      <c r="SUN32" s="134"/>
      <c r="SUQ32" s="134"/>
      <c r="SUT32" s="134"/>
      <c r="SUW32" s="134"/>
      <c r="SUZ32" s="134"/>
      <c r="SVC32" s="134"/>
      <c r="SVF32" s="134"/>
      <c r="SVI32" s="134"/>
      <c r="SVL32" s="134"/>
      <c r="SVO32" s="134"/>
      <c r="SVR32" s="134"/>
      <c r="SVU32" s="134"/>
      <c r="SVX32" s="134"/>
      <c r="SWA32" s="134"/>
      <c r="SWD32" s="134"/>
      <c r="SWG32" s="134"/>
      <c r="SWJ32" s="134"/>
      <c r="SWM32" s="134"/>
      <c r="SWP32" s="134"/>
      <c r="SWS32" s="134"/>
      <c r="SWV32" s="134"/>
      <c r="SWY32" s="134"/>
      <c r="SXB32" s="134"/>
      <c r="SXE32" s="134"/>
      <c r="SXH32" s="134"/>
      <c r="SXK32" s="134"/>
      <c r="SXN32" s="134"/>
      <c r="SXQ32" s="134"/>
      <c r="SXT32" s="134"/>
      <c r="SXW32" s="134"/>
      <c r="SXZ32" s="134"/>
      <c r="SYC32" s="134"/>
      <c r="SYF32" s="134"/>
      <c r="SYI32" s="134"/>
      <c r="SYL32" s="134"/>
      <c r="SYO32" s="134"/>
      <c r="SYR32" s="134"/>
      <c r="SYU32" s="134"/>
      <c r="SYX32" s="134"/>
      <c r="SZA32" s="134"/>
      <c r="SZD32" s="134"/>
      <c r="SZG32" s="134"/>
      <c r="SZJ32" s="134"/>
      <c r="SZM32" s="134"/>
      <c r="SZP32" s="134"/>
      <c r="SZS32" s="134"/>
      <c r="SZV32" s="134"/>
      <c r="SZY32" s="134"/>
      <c r="TAB32" s="134"/>
      <c r="TAE32" s="134"/>
      <c r="TAH32" s="134"/>
      <c r="TAK32" s="134"/>
      <c r="TAN32" s="134"/>
      <c r="TAQ32" s="134"/>
      <c r="TAT32" s="134"/>
      <c r="TAW32" s="134"/>
      <c r="TAZ32" s="134"/>
      <c r="TBC32" s="134"/>
      <c r="TBF32" s="134"/>
      <c r="TBI32" s="134"/>
      <c r="TBL32" s="134"/>
      <c r="TBO32" s="134"/>
      <c r="TBR32" s="134"/>
      <c r="TBU32" s="134"/>
      <c r="TBX32" s="134"/>
      <c r="TCA32" s="134"/>
      <c r="TCD32" s="134"/>
      <c r="TCG32" s="134"/>
      <c r="TCJ32" s="134"/>
      <c r="TCM32" s="134"/>
      <c r="TCP32" s="134"/>
      <c r="TCS32" s="134"/>
      <c r="TCV32" s="134"/>
      <c r="TCY32" s="134"/>
      <c r="TDB32" s="134"/>
      <c r="TDE32" s="134"/>
      <c r="TDH32" s="134"/>
      <c r="TDK32" s="134"/>
      <c r="TDN32" s="134"/>
      <c r="TDQ32" s="134"/>
      <c r="TDT32" s="134"/>
      <c r="TDW32" s="134"/>
      <c r="TDZ32" s="134"/>
      <c r="TEC32" s="134"/>
      <c r="TEF32" s="134"/>
      <c r="TEI32" s="134"/>
      <c r="TEL32" s="134"/>
      <c r="TEO32" s="134"/>
      <c r="TER32" s="134"/>
      <c r="TEU32" s="134"/>
      <c r="TEX32" s="134"/>
      <c r="TFA32" s="134"/>
      <c r="TFD32" s="134"/>
      <c r="TFG32" s="134"/>
      <c r="TFJ32" s="134"/>
      <c r="TFM32" s="134"/>
      <c r="TFP32" s="134"/>
      <c r="TFS32" s="134"/>
      <c r="TFV32" s="134"/>
      <c r="TFY32" s="134"/>
      <c r="TGB32" s="134"/>
      <c r="TGE32" s="134"/>
      <c r="TGH32" s="134"/>
      <c r="TGK32" s="134"/>
      <c r="TGN32" s="134"/>
      <c r="TGQ32" s="134"/>
      <c r="TGT32" s="134"/>
      <c r="TGW32" s="134"/>
      <c r="TGZ32" s="134"/>
      <c r="THC32" s="134"/>
      <c r="THF32" s="134"/>
      <c r="THI32" s="134"/>
      <c r="THL32" s="134"/>
      <c r="THO32" s="134"/>
      <c r="THR32" s="134"/>
      <c r="THU32" s="134"/>
      <c r="THX32" s="134"/>
      <c r="TIA32" s="134"/>
      <c r="TID32" s="134"/>
      <c r="TIG32" s="134"/>
      <c r="TIJ32" s="134"/>
      <c r="TIM32" s="134"/>
      <c r="TIP32" s="134"/>
      <c r="TIS32" s="134"/>
      <c r="TIV32" s="134"/>
      <c r="TIY32" s="134"/>
      <c r="TJB32" s="134"/>
      <c r="TJE32" s="134"/>
      <c r="TJH32" s="134"/>
      <c r="TJK32" s="134"/>
      <c r="TJN32" s="134"/>
      <c r="TJQ32" s="134"/>
      <c r="TJT32" s="134"/>
      <c r="TJW32" s="134"/>
      <c r="TJZ32" s="134"/>
      <c r="TKC32" s="134"/>
      <c r="TKF32" s="134"/>
      <c r="TKI32" s="134"/>
      <c r="TKL32" s="134"/>
      <c r="TKO32" s="134"/>
      <c r="TKR32" s="134"/>
      <c r="TKU32" s="134"/>
      <c r="TKX32" s="134"/>
      <c r="TLA32" s="134"/>
      <c r="TLD32" s="134"/>
      <c r="TLG32" s="134"/>
      <c r="TLJ32" s="134"/>
      <c r="TLM32" s="134"/>
      <c r="TLP32" s="134"/>
      <c r="TLS32" s="134"/>
      <c r="TLV32" s="134"/>
      <c r="TLY32" s="134"/>
      <c r="TMB32" s="134"/>
      <c r="TME32" s="134"/>
      <c r="TMH32" s="134"/>
      <c r="TMK32" s="134"/>
      <c r="TMN32" s="134"/>
      <c r="TMQ32" s="134"/>
      <c r="TMT32" s="134"/>
      <c r="TMW32" s="134"/>
      <c r="TMZ32" s="134"/>
      <c r="TNC32" s="134"/>
      <c r="TNF32" s="134"/>
      <c r="TNI32" s="134"/>
      <c r="TNL32" s="134"/>
      <c r="TNO32" s="134"/>
      <c r="TNR32" s="134"/>
      <c r="TNU32" s="134"/>
      <c r="TNX32" s="134"/>
      <c r="TOA32" s="134"/>
      <c r="TOD32" s="134"/>
      <c r="TOG32" s="134"/>
      <c r="TOJ32" s="134"/>
      <c r="TOM32" s="134"/>
      <c r="TOP32" s="134"/>
      <c r="TOS32" s="134"/>
      <c r="TOV32" s="134"/>
      <c r="TOY32" s="134"/>
      <c r="TPB32" s="134"/>
      <c r="TPE32" s="134"/>
      <c r="TPH32" s="134"/>
      <c r="TPK32" s="134"/>
      <c r="TPN32" s="134"/>
      <c r="TPQ32" s="134"/>
      <c r="TPT32" s="134"/>
      <c r="TPW32" s="134"/>
      <c r="TPZ32" s="134"/>
      <c r="TQC32" s="134"/>
      <c r="TQF32" s="134"/>
      <c r="TQI32" s="134"/>
      <c r="TQL32" s="134"/>
      <c r="TQO32" s="134"/>
      <c r="TQR32" s="134"/>
      <c r="TQU32" s="134"/>
      <c r="TQX32" s="134"/>
      <c r="TRA32" s="134"/>
      <c r="TRD32" s="134"/>
      <c r="TRG32" s="134"/>
      <c r="TRJ32" s="134"/>
      <c r="TRM32" s="134"/>
      <c r="TRP32" s="134"/>
      <c r="TRS32" s="134"/>
      <c r="TRV32" s="134"/>
      <c r="TRY32" s="134"/>
      <c r="TSB32" s="134"/>
      <c r="TSE32" s="134"/>
      <c r="TSH32" s="134"/>
      <c r="TSK32" s="134"/>
      <c r="TSN32" s="134"/>
      <c r="TSQ32" s="134"/>
      <c r="TST32" s="134"/>
      <c r="TSW32" s="134"/>
      <c r="TSZ32" s="134"/>
      <c r="TTC32" s="134"/>
      <c r="TTF32" s="134"/>
      <c r="TTI32" s="134"/>
      <c r="TTL32" s="134"/>
      <c r="TTO32" s="134"/>
      <c r="TTR32" s="134"/>
      <c r="TTU32" s="134"/>
      <c r="TTX32" s="134"/>
      <c r="TUA32" s="134"/>
      <c r="TUD32" s="134"/>
      <c r="TUG32" s="134"/>
      <c r="TUJ32" s="134"/>
      <c r="TUM32" s="134"/>
      <c r="TUP32" s="134"/>
      <c r="TUS32" s="134"/>
      <c r="TUV32" s="134"/>
      <c r="TUY32" s="134"/>
      <c r="TVB32" s="134"/>
      <c r="TVE32" s="134"/>
      <c r="TVH32" s="134"/>
      <c r="TVK32" s="134"/>
      <c r="TVN32" s="134"/>
      <c r="TVQ32" s="134"/>
      <c r="TVT32" s="134"/>
      <c r="TVW32" s="134"/>
      <c r="TVZ32" s="134"/>
      <c r="TWC32" s="134"/>
      <c r="TWF32" s="134"/>
      <c r="TWI32" s="134"/>
      <c r="TWL32" s="134"/>
      <c r="TWO32" s="134"/>
      <c r="TWR32" s="134"/>
      <c r="TWU32" s="134"/>
      <c r="TWX32" s="134"/>
      <c r="TXA32" s="134"/>
      <c r="TXD32" s="134"/>
      <c r="TXG32" s="134"/>
      <c r="TXJ32" s="134"/>
      <c r="TXM32" s="134"/>
      <c r="TXP32" s="134"/>
      <c r="TXS32" s="134"/>
      <c r="TXV32" s="134"/>
      <c r="TXY32" s="134"/>
      <c r="TYB32" s="134"/>
      <c r="TYE32" s="134"/>
      <c r="TYH32" s="134"/>
      <c r="TYK32" s="134"/>
      <c r="TYN32" s="134"/>
      <c r="TYQ32" s="134"/>
      <c r="TYT32" s="134"/>
      <c r="TYW32" s="134"/>
      <c r="TYZ32" s="134"/>
      <c r="TZC32" s="134"/>
      <c r="TZF32" s="134"/>
      <c r="TZI32" s="134"/>
      <c r="TZL32" s="134"/>
      <c r="TZO32" s="134"/>
      <c r="TZR32" s="134"/>
      <c r="TZU32" s="134"/>
      <c r="TZX32" s="134"/>
      <c r="UAA32" s="134"/>
      <c r="UAD32" s="134"/>
      <c r="UAG32" s="134"/>
      <c r="UAJ32" s="134"/>
      <c r="UAM32" s="134"/>
      <c r="UAP32" s="134"/>
      <c r="UAS32" s="134"/>
      <c r="UAV32" s="134"/>
      <c r="UAY32" s="134"/>
      <c r="UBB32" s="134"/>
      <c r="UBE32" s="134"/>
      <c r="UBH32" s="134"/>
      <c r="UBK32" s="134"/>
      <c r="UBN32" s="134"/>
      <c r="UBQ32" s="134"/>
      <c r="UBT32" s="134"/>
      <c r="UBW32" s="134"/>
      <c r="UBZ32" s="134"/>
      <c r="UCC32" s="134"/>
      <c r="UCF32" s="134"/>
      <c r="UCI32" s="134"/>
      <c r="UCL32" s="134"/>
      <c r="UCO32" s="134"/>
      <c r="UCR32" s="134"/>
      <c r="UCU32" s="134"/>
      <c r="UCX32" s="134"/>
      <c r="UDA32" s="134"/>
      <c r="UDD32" s="134"/>
      <c r="UDG32" s="134"/>
      <c r="UDJ32" s="134"/>
      <c r="UDM32" s="134"/>
      <c r="UDP32" s="134"/>
      <c r="UDS32" s="134"/>
      <c r="UDV32" s="134"/>
      <c r="UDY32" s="134"/>
      <c r="UEB32" s="134"/>
      <c r="UEE32" s="134"/>
      <c r="UEH32" s="134"/>
      <c r="UEK32" s="134"/>
      <c r="UEN32" s="134"/>
      <c r="UEQ32" s="134"/>
      <c r="UET32" s="134"/>
      <c r="UEW32" s="134"/>
      <c r="UEZ32" s="134"/>
      <c r="UFC32" s="134"/>
      <c r="UFF32" s="134"/>
      <c r="UFI32" s="134"/>
      <c r="UFL32" s="134"/>
      <c r="UFO32" s="134"/>
      <c r="UFR32" s="134"/>
      <c r="UFU32" s="134"/>
      <c r="UFX32" s="134"/>
      <c r="UGA32" s="134"/>
      <c r="UGD32" s="134"/>
      <c r="UGG32" s="134"/>
      <c r="UGJ32" s="134"/>
      <c r="UGM32" s="134"/>
      <c r="UGP32" s="134"/>
      <c r="UGS32" s="134"/>
      <c r="UGV32" s="134"/>
      <c r="UGY32" s="134"/>
      <c r="UHB32" s="134"/>
      <c r="UHE32" s="134"/>
      <c r="UHH32" s="134"/>
      <c r="UHK32" s="134"/>
      <c r="UHN32" s="134"/>
      <c r="UHQ32" s="134"/>
      <c r="UHT32" s="134"/>
      <c r="UHW32" s="134"/>
      <c r="UHZ32" s="134"/>
      <c r="UIC32" s="134"/>
      <c r="UIF32" s="134"/>
      <c r="UII32" s="134"/>
      <c r="UIL32" s="134"/>
      <c r="UIO32" s="134"/>
      <c r="UIR32" s="134"/>
      <c r="UIU32" s="134"/>
      <c r="UIX32" s="134"/>
      <c r="UJA32" s="134"/>
      <c r="UJD32" s="134"/>
      <c r="UJG32" s="134"/>
      <c r="UJJ32" s="134"/>
      <c r="UJM32" s="134"/>
      <c r="UJP32" s="134"/>
      <c r="UJS32" s="134"/>
      <c r="UJV32" s="134"/>
      <c r="UJY32" s="134"/>
      <c r="UKB32" s="134"/>
      <c r="UKE32" s="134"/>
      <c r="UKH32" s="134"/>
      <c r="UKK32" s="134"/>
      <c r="UKN32" s="134"/>
      <c r="UKQ32" s="134"/>
      <c r="UKT32" s="134"/>
      <c r="UKW32" s="134"/>
      <c r="UKZ32" s="134"/>
      <c r="ULC32" s="134"/>
      <c r="ULF32" s="134"/>
      <c r="ULI32" s="134"/>
      <c r="ULL32" s="134"/>
      <c r="ULO32" s="134"/>
      <c r="ULR32" s="134"/>
      <c r="ULU32" s="134"/>
      <c r="ULX32" s="134"/>
      <c r="UMA32" s="134"/>
      <c r="UMD32" s="134"/>
      <c r="UMG32" s="134"/>
      <c r="UMJ32" s="134"/>
      <c r="UMM32" s="134"/>
      <c r="UMP32" s="134"/>
      <c r="UMS32" s="134"/>
      <c r="UMV32" s="134"/>
      <c r="UMY32" s="134"/>
      <c r="UNB32" s="134"/>
      <c r="UNE32" s="134"/>
      <c r="UNH32" s="134"/>
      <c r="UNK32" s="134"/>
      <c r="UNN32" s="134"/>
      <c r="UNQ32" s="134"/>
      <c r="UNT32" s="134"/>
      <c r="UNW32" s="134"/>
      <c r="UNZ32" s="134"/>
      <c r="UOC32" s="134"/>
      <c r="UOF32" s="134"/>
      <c r="UOI32" s="134"/>
      <c r="UOL32" s="134"/>
      <c r="UOO32" s="134"/>
      <c r="UOR32" s="134"/>
      <c r="UOU32" s="134"/>
      <c r="UOX32" s="134"/>
      <c r="UPA32" s="134"/>
      <c r="UPD32" s="134"/>
      <c r="UPG32" s="134"/>
      <c r="UPJ32" s="134"/>
      <c r="UPM32" s="134"/>
      <c r="UPP32" s="134"/>
      <c r="UPS32" s="134"/>
      <c r="UPV32" s="134"/>
      <c r="UPY32" s="134"/>
      <c r="UQB32" s="134"/>
      <c r="UQE32" s="134"/>
      <c r="UQH32" s="134"/>
      <c r="UQK32" s="134"/>
      <c r="UQN32" s="134"/>
      <c r="UQQ32" s="134"/>
      <c r="UQT32" s="134"/>
      <c r="UQW32" s="134"/>
      <c r="UQZ32" s="134"/>
      <c r="URC32" s="134"/>
      <c r="URF32" s="134"/>
      <c r="URI32" s="134"/>
      <c r="URL32" s="134"/>
      <c r="URO32" s="134"/>
      <c r="URR32" s="134"/>
      <c r="URU32" s="134"/>
      <c r="URX32" s="134"/>
      <c r="USA32" s="134"/>
      <c r="USD32" s="134"/>
      <c r="USG32" s="134"/>
      <c r="USJ32" s="134"/>
      <c r="USM32" s="134"/>
      <c r="USP32" s="134"/>
      <c r="USS32" s="134"/>
      <c r="USV32" s="134"/>
      <c r="USY32" s="134"/>
      <c r="UTB32" s="134"/>
      <c r="UTE32" s="134"/>
      <c r="UTH32" s="134"/>
      <c r="UTK32" s="134"/>
      <c r="UTN32" s="134"/>
      <c r="UTQ32" s="134"/>
      <c r="UTT32" s="134"/>
      <c r="UTW32" s="134"/>
      <c r="UTZ32" s="134"/>
      <c r="UUC32" s="134"/>
      <c r="UUF32" s="134"/>
      <c r="UUI32" s="134"/>
      <c r="UUL32" s="134"/>
      <c r="UUO32" s="134"/>
      <c r="UUR32" s="134"/>
      <c r="UUU32" s="134"/>
      <c r="UUX32" s="134"/>
      <c r="UVA32" s="134"/>
      <c r="UVD32" s="134"/>
      <c r="UVG32" s="134"/>
      <c r="UVJ32" s="134"/>
      <c r="UVM32" s="134"/>
      <c r="UVP32" s="134"/>
      <c r="UVS32" s="134"/>
      <c r="UVV32" s="134"/>
      <c r="UVY32" s="134"/>
      <c r="UWB32" s="134"/>
      <c r="UWE32" s="134"/>
      <c r="UWH32" s="134"/>
      <c r="UWK32" s="134"/>
      <c r="UWN32" s="134"/>
      <c r="UWQ32" s="134"/>
      <c r="UWT32" s="134"/>
      <c r="UWW32" s="134"/>
      <c r="UWZ32" s="134"/>
      <c r="UXC32" s="134"/>
      <c r="UXF32" s="134"/>
      <c r="UXI32" s="134"/>
      <c r="UXL32" s="134"/>
      <c r="UXO32" s="134"/>
      <c r="UXR32" s="134"/>
      <c r="UXU32" s="134"/>
      <c r="UXX32" s="134"/>
      <c r="UYA32" s="134"/>
      <c r="UYD32" s="134"/>
      <c r="UYG32" s="134"/>
      <c r="UYJ32" s="134"/>
      <c r="UYM32" s="134"/>
      <c r="UYP32" s="134"/>
      <c r="UYS32" s="134"/>
      <c r="UYV32" s="134"/>
      <c r="UYY32" s="134"/>
      <c r="UZB32" s="134"/>
      <c r="UZE32" s="134"/>
      <c r="UZH32" s="134"/>
      <c r="UZK32" s="134"/>
      <c r="UZN32" s="134"/>
      <c r="UZQ32" s="134"/>
      <c r="UZT32" s="134"/>
      <c r="UZW32" s="134"/>
      <c r="UZZ32" s="134"/>
      <c r="VAC32" s="134"/>
      <c r="VAF32" s="134"/>
      <c r="VAI32" s="134"/>
      <c r="VAL32" s="134"/>
      <c r="VAO32" s="134"/>
      <c r="VAR32" s="134"/>
      <c r="VAU32" s="134"/>
      <c r="VAX32" s="134"/>
      <c r="VBA32" s="134"/>
      <c r="VBD32" s="134"/>
      <c r="VBG32" s="134"/>
      <c r="VBJ32" s="134"/>
      <c r="VBM32" s="134"/>
      <c r="VBP32" s="134"/>
      <c r="VBS32" s="134"/>
      <c r="VBV32" s="134"/>
      <c r="VBY32" s="134"/>
      <c r="VCB32" s="134"/>
      <c r="VCE32" s="134"/>
      <c r="VCH32" s="134"/>
      <c r="VCK32" s="134"/>
      <c r="VCN32" s="134"/>
      <c r="VCQ32" s="134"/>
      <c r="VCT32" s="134"/>
      <c r="VCW32" s="134"/>
      <c r="VCZ32" s="134"/>
      <c r="VDC32" s="134"/>
      <c r="VDF32" s="134"/>
      <c r="VDI32" s="134"/>
      <c r="VDL32" s="134"/>
      <c r="VDO32" s="134"/>
      <c r="VDR32" s="134"/>
      <c r="VDU32" s="134"/>
      <c r="VDX32" s="134"/>
      <c r="VEA32" s="134"/>
      <c r="VED32" s="134"/>
      <c r="VEG32" s="134"/>
      <c r="VEJ32" s="134"/>
      <c r="VEM32" s="134"/>
      <c r="VEP32" s="134"/>
      <c r="VES32" s="134"/>
      <c r="VEV32" s="134"/>
      <c r="VEY32" s="134"/>
      <c r="VFB32" s="134"/>
      <c r="VFE32" s="134"/>
      <c r="VFH32" s="134"/>
      <c r="VFK32" s="134"/>
      <c r="VFN32" s="134"/>
      <c r="VFQ32" s="134"/>
      <c r="VFT32" s="134"/>
      <c r="VFW32" s="134"/>
      <c r="VFZ32" s="134"/>
      <c r="VGC32" s="134"/>
      <c r="VGF32" s="134"/>
      <c r="VGI32" s="134"/>
      <c r="VGL32" s="134"/>
      <c r="VGO32" s="134"/>
      <c r="VGR32" s="134"/>
      <c r="VGU32" s="134"/>
      <c r="VGX32" s="134"/>
      <c r="VHA32" s="134"/>
      <c r="VHD32" s="134"/>
      <c r="VHG32" s="134"/>
      <c r="VHJ32" s="134"/>
      <c r="VHM32" s="134"/>
      <c r="VHP32" s="134"/>
      <c r="VHS32" s="134"/>
      <c r="VHV32" s="134"/>
      <c r="VHY32" s="134"/>
      <c r="VIB32" s="134"/>
      <c r="VIE32" s="134"/>
      <c r="VIH32" s="134"/>
      <c r="VIK32" s="134"/>
      <c r="VIN32" s="134"/>
      <c r="VIQ32" s="134"/>
      <c r="VIT32" s="134"/>
      <c r="VIW32" s="134"/>
      <c r="VIZ32" s="134"/>
      <c r="VJC32" s="134"/>
      <c r="VJF32" s="134"/>
      <c r="VJI32" s="134"/>
      <c r="VJL32" s="134"/>
      <c r="VJO32" s="134"/>
      <c r="VJR32" s="134"/>
      <c r="VJU32" s="134"/>
      <c r="VJX32" s="134"/>
      <c r="VKA32" s="134"/>
      <c r="VKD32" s="134"/>
      <c r="VKG32" s="134"/>
      <c r="VKJ32" s="134"/>
      <c r="VKM32" s="134"/>
      <c r="VKP32" s="134"/>
      <c r="VKS32" s="134"/>
      <c r="VKV32" s="134"/>
      <c r="VKY32" s="134"/>
      <c r="VLB32" s="134"/>
      <c r="VLE32" s="134"/>
      <c r="VLH32" s="134"/>
      <c r="VLK32" s="134"/>
      <c r="VLN32" s="134"/>
      <c r="VLQ32" s="134"/>
      <c r="VLT32" s="134"/>
      <c r="VLW32" s="134"/>
      <c r="VLZ32" s="134"/>
      <c r="VMC32" s="134"/>
      <c r="VMF32" s="134"/>
      <c r="VMI32" s="134"/>
      <c r="VML32" s="134"/>
      <c r="VMO32" s="134"/>
      <c r="VMR32" s="134"/>
      <c r="VMU32" s="134"/>
      <c r="VMX32" s="134"/>
      <c r="VNA32" s="134"/>
      <c r="VND32" s="134"/>
      <c r="VNG32" s="134"/>
      <c r="VNJ32" s="134"/>
      <c r="VNM32" s="134"/>
      <c r="VNP32" s="134"/>
      <c r="VNS32" s="134"/>
      <c r="VNV32" s="134"/>
      <c r="VNY32" s="134"/>
      <c r="VOB32" s="134"/>
      <c r="VOE32" s="134"/>
      <c r="VOH32" s="134"/>
      <c r="VOK32" s="134"/>
      <c r="VON32" s="134"/>
      <c r="VOQ32" s="134"/>
      <c r="VOT32" s="134"/>
      <c r="VOW32" s="134"/>
      <c r="VOZ32" s="134"/>
      <c r="VPC32" s="134"/>
      <c r="VPF32" s="134"/>
      <c r="VPI32" s="134"/>
      <c r="VPL32" s="134"/>
      <c r="VPO32" s="134"/>
      <c r="VPR32" s="134"/>
      <c r="VPU32" s="134"/>
      <c r="VPX32" s="134"/>
      <c r="VQA32" s="134"/>
      <c r="VQD32" s="134"/>
      <c r="VQG32" s="134"/>
      <c r="VQJ32" s="134"/>
      <c r="VQM32" s="134"/>
      <c r="VQP32" s="134"/>
      <c r="VQS32" s="134"/>
      <c r="VQV32" s="134"/>
      <c r="VQY32" s="134"/>
      <c r="VRB32" s="134"/>
      <c r="VRE32" s="134"/>
      <c r="VRH32" s="134"/>
      <c r="VRK32" s="134"/>
      <c r="VRN32" s="134"/>
      <c r="VRQ32" s="134"/>
      <c r="VRT32" s="134"/>
      <c r="VRW32" s="134"/>
      <c r="VRZ32" s="134"/>
      <c r="VSC32" s="134"/>
      <c r="VSF32" s="134"/>
      <c r="VSI32" s="134"/>
      <c r="VSL32" s="134"/>
      <c r="VSO32" s="134"/>
      <c r="VSR32" s="134"/>
      <c r="VSU32" s="134"/>
      <c r="VSX32" s="134"/>
      <c r="VTA32" s="134"/>
      <c r="VTD32" s="134"/>
      <c r="VTG32" s="134"/>
      <c r="VTJ32" s="134"/>
      <c r="VTM32" s="134"/>
      <c r="VTP32" s="134"/>
      <c r="VTS32" s="134"/>
      <c r="VTV32" s="134"/>
      <c r="VTY32" s="134"/>
      <c r="VUB32" s="134"/>
      <c r="VUE32" s="134"/>
      <c r="VUH32" s="134"/>
      <c r="VUK32" s="134"/>
      <c r="VUN32" s="134"/>
      <c r="VUQ32" s="134"/>
      <c r="VUT32" s="134"/>
      <c r="VUW32" s="134"/>
      <c r="VUZ32" s="134"/>
      <c r="VVC32" s="134"/>
      <c r="VVF32" s="134"/>
      <c r="VVI32" s="134"/>
      <c r="VVL32" s="134"/>
      <c r="VVO32" s="134"/>
      <c r="VVR32" s="134"/>
      <c r="VVU32" s="134"/>
      <c r="VVX32" s="134"/>
      <c r="VWA32" s="134"/>
      <c r="VWD32" s="134"/>
      <c r="VWG32" s="134"/>
      <c r="VWJ32" s="134"/>
      <c r="VWM32" s="134"/>
      <c r="VWP32" s="134"/>
      <c r="VWS32" s="134"/>
      <c r="VWV32" s="134"/>
      <c r="VWY32" s="134"/>
      <c r="VXB32" s="134"/>
      <c r="VXE32" s="134"/>
      <c r="VXH32" s="134"/>
      <c r="VXK32" s="134"/>
      <c r="VXN32" s="134"/>
      <c r="VXQ32" s="134"/>
      <c r="VXT32" s="134"/>
      <c r="VXW32" s="134"/>
      <c r="VXZ32" s="134"/>
      <c r="VYC32" s="134"/>
      <c r="VYF32" s="134"/>
      <c r="VYI32" s="134"/>
      <c r="VYL32" s="134"/>
      <c r="VYO32" s="134"/>
      <c r="VYR32" s="134"/>
      <c r="VYU32" s="134"/>
      <c r="VYX32" s="134"/>
      <c r="VZA32" s="134"/>
      <c r="VZD32" s="134"/>
      <c r="VZG32" s="134"/>
      <c r="VZJ32" s="134"/>
      <c r="VZM32" s="134"/>
      <c r="VZP32" s="134"/>
      <c r="VZS32" s="134"/>
      <c r="VZV32" s="134"/>
      <c r="VZY32" s="134"/>
      <c r="WAB32" s="134"/>
      <c r="WAE32" s="134"/>
      <c r="WAH32" s="134"/>
      <c r="WAK32" s="134"/>
      <c r="WAN32" s="134"/>
      <c r="WAQ32" s="134"/>
      <c r="WAT32" s="134"/>
      <c r="WAW32" s="134"/>
      <c r="WAZ32" s="134"/>
      <c r="WBC32" s="134"/>
      <c r="WBF32" s="134"/>
      <c r="WBI32" s="134"/>
      <c r="WBL32" s="134"/>
      <c r="WBO32" s="134"/>
      <c r="WBR32" s="134"/>
      <c r="WBU32" s="134"/>
      <c r="WBX32" s="134"/>
      <c r="WCA32" s="134"/>
      <c r="WCD32" s="134"/>
      <c r="WCG32" s="134"/>
      <c r="WCJ32" s="134"/>
      <c r="WCM32" s="134"/>
      <c r="WCP32" s="134"/>
      <c r="WCS32" s="134"/>
      <c r="WCV32" s="134"/>
      <c r="WCY32" s="134"/>
      <c r="WDB32" s="134"/>
      <c r="WDE32" s="134"/>
      <c r="WDH32" s="134"/>
      <c r="WDK32" s="134"/>
      <c r="WDN32" s="134"/>
      <c r="WDQ32" s="134"/>
      <c r="WDT32" s="134"/>
      <c r="WDW32" s="134"/>
      <c r="WDZ32" s="134"/>
      <c r="WEC32" s="134"/>
      <c r="WEF32" s="134"/>
      <c r="WEI32" s="134"/>
      <c r="WEL32" s="134"/>
      <c r="WEO32" s="134"/>
      <c r="WER32" s="134"/>
      <c r="WEU32" s="134"/>
      <c r="WEX32" s="134"/>
      <c r="WFA32" s="134"/>
      <c r="WFD32" s="134"/>
      <c r="WFG32" s="134"/>
      <c r="WFJ32" s="134"/>
      <c r="WFM32" s="134"/>
      <c r="WFP32" s="134"/>
      <c r="WFS32" s="134"/>
      <c r="WFV32" s="134"/>
      <c r="WFY32" s="134"/>
      <c r="WGB32" s="134"/>
      <c r="WGE32" s="134"/>
      <c r="WGH32" s="134"/>
      <c r="WGK32" s="134"/>
      <c r="WGN32" s="134"/>
      <c r="WGQ32" s="134"/>
      <c r="WGT32" s="134"/>
      <c r="WGW32" s="134"/>
      <c r="WGZ32" s="134"/>
      <c r="WHC32" s="134"/>
      <c r="WHF32" s="134"/>
      <c r="WHI32" s="134"/>
      <c r="WHL32" s="134"/>
      <c r="WHO32" s="134"/>
      <c r="WHR32" s="134"/>
      <c r="WHU32" s="134"/>
      <c r="WHX32" s="134"/>
      <c r="WIA32" s="134"/>
      <c r="WID32" s="134"/>
      <c r="WIG32" s="134"/>
      <c r="WIJ32" s="134"/>
      <c r="WIM32" s="134"/>
      <c r="WIP32" s="134"/>
      <c r="WIS32" s="134"/>
      <c r="WIV32" s="134"/>
      <c r="WIY32" s="134"/>
      <c r="WJB32" s="134"/>
      <c r="WJE32" s="134"/>
      <c r="WJH32" s="134"/>
      <c r="WJK32" s="134"/>
      <c r="WJN32" s="134"/>
      <c r="WJQ32" s="134"/>
      <c r="WJT32" s="134"/>
      <c r="WJW32" s="134"/>
      <c r="WJZ32" s="134"/>
      <c r="WKC32" s="134"/>
      <c r="WKF32" s="134"/>
      <c r="WKI32" s="134"/>
      <c r="WKL32" s="134"/>
      <c r="WKO32" s="134"/>
      <c r="WKR32" s="134"/>
      <c r="WKU32" s="134"/>
      <c r="WKX32" s="134"/>
      <c r="WLA32" s="134"/>
      <c r="WLD32" s="134"/>
      <c r="WLG32" s="134"/>
      <c r="WLJ32" s="134"/>
      <c r="WLM32" s="134"/>
      <c r="WLP32" s="134"/>
      <c r="WLS32" s="134"/>
      <c r="WLV32" s="134"/>
      <c r="WLY32" s="134"/>
      <c r="WMB32" s="134"/>
      <c r="WME32" s="134"/>
      <c r="WMH32" s="134"/>
      <c r="WMK32" s="134"/>
      <c r="WMN32" s="134"/>
      <c r="WMQ32" s="134"/>
      <c r="WMT32" s="134"/>
      <c r="WMW32" s="134"/>
      <c r="WMZ32" s="134"/>
      <c r="WNC32" s="134"/>
      <c r="WNF32" s="134"/>
      <c r="WNI32" s="134"/>
      <c r="WNL32" s="134"/>
      <c r="WNO32" s="134"/>
      <c r="WNR32" s="134"/>
      <c r="WNU32" s="134"/>
      <c r="WNX32" s="134"/>
      <c r="WOA32" s="134"/>
      <c r="WOD32" s="134"/>
      <c r="WOG32" s="134"/>
      <c r="WOJ32" s="134"/>
      <c r="WOM32" s="134"/>
      <c r="WOP32" s="134"/>
      <c r="WOS32" s="134"/>
      <c r="WOV32" s="134"/>
      <c r="WOY32" s="134"/>
      <c r="WPB32" s="134"/>
      <c r="WPE32" s="134"/>
      <c r="WPH32" s="134"/>
      <c r="WPK32" s="134"/>
      <c r="WPN32" s="134"/>
      <c r="WPQ32" s="134"/>
      <c r="WPT32" s="134"/>
      <c r="WPW32" s="134"/>
      <c r="WPZ32" s="134"/>
      <c r="WQC32" s="134"/>
      <c r="WQF32" s="134"/>
      <c r="WQI32" s="134"/>
      <c r="WQL32" s="134"/>
      <c r="WQO32" s="134"/>
      <c r="WQR32" s="134"/>
      <c r="WQU32" s="134"/>
      <c r="WQX32" s="134"/>
      <c r="WRA32" s="134"/>
      <c r="WRD32" s="134"/>
      <c r="WRG32" s="134"/>
      <c r="WRJ32" s="134"/>
      <c r="WRM32" s="134"/>
      <c r="WRP32" s="134"/>
      <c r="WRS32" s="134"/>
      <c r="WRV32" s="134"/>
      <c r="WRY32" s="134"/>
      <c r="WSB32" s="134"/>
      <c r="WSE32" s="134"/>
      <c r="WSH32" s="134"/>
      <c r="WSK32" s="134"/>
      <c r="WSN32" s="134"/>
      <c r="WSQ32" s="134"/>
      <c r="WST32" s="134"/>
      <c r="WSW32" s="134"/>
      <c r="WSZ32" s="134"/>
      <c r="WTC32" s="134"/>
      <c r="WTF32" s="134"/>
      <c r="WTI32" s="134"/>
      <c r="WTL32" s="134"/>
      <c r="WTO32" s="134"/>
      <c r="WTR32" s="134"/>
      <c r="WTU32" s="134"/>
      <c r="WTX32" s="134"/>
      <c r="WUA32" s="134"/>
      <c r="WUD32" s="134"/>
      <c r="WUG32" s="134"/>
      <c r="WUJ32" s="134"/>
      <c r="WUM32" s="134"/>
      <c r="WUP32" s="134"/>
      <c r="WUS32" s="134"/>
      <c r="WUV32" s="134"/>
      <c r="WUY32" s="134"/>
      <c r="WVB32" s="134"/>
      <c r="WVE32" s="134"/>
      <c r="WVH32" s="134"/>
      <c r="WVK32" s="134"/>
      <c r="WVN32" s="134"/>
      <c r="WVQ32" s="134"/>
      <c r="WVT32" s="134"/>
      <c r="WVW32" s="134"/>
      <c r="WVZ32" s="134"/>
      <c r="WWC32" s="134"/>
      <c r="WWF32" s="134"/>
      <c r="WWI32" s="134"/>
      <c r="WWL32" s="134"/>
      <c r="WWO32" s="134"/>
      <c r="WWR32" s="134"/>
      <c r="WWU32" s="134"/>
      <c r="WWX32" s="134"/>
      <c r="WXA32" s="134"/>
      <c r="WXD32" s="134"/>
      <c r="WXG32" s="134"/>
      <c r="WXJ32" s="134"/>
      <c r="WXM32" s="134"/>
      <c r="WXP32" s="134"/>
      <c r="WXS32" s="134"/>
      <c r="WXV32" s="134"/>
      <c r="WXY32" s="134"/>
      <c r="WYB32" s="134"/>
      <c r="WYE32" s="134"/>
      <c r="WYH32" s="134"/>
      <c r="WYK32" s="134"/>
      <c r="WYN32" s="134"/>
      <c r="WYQ32" s="134"/>
      <c r="WYT32" s="134"/>
      <c r="WYW32" s="134"/>
      <c r="WYZ32" s="134"/>
      <c r="WZC32" s="134"/>
      <c r="WZF32" s="134"/>
      <c r="WZI32" s="134"/>
      <c r="WZL32" s="134"/>
      <c r="WZO32" s="134"/>
      <c r="WZR32" s="134"/>
      <c r="WZU32" s="134"/>
      <c r="WZX32" s="134"/>
      <c r="XAA32" s="134"/>
      <c r="XAD32" s="134"/>
      <c r="XAG32" s="134"/>
      <c r="XAJ32" s="134"/>
      <c r="XAM32" s="134"/>
      <c r="XAP32" s="134"/>
      <c r="XAS32" s="134"/>
      <c r="XAV32" s="134"/>
      <c r="XAY32" s="134"/>
      <c r="XBB32" s="134"/>
      <c r="XBE32" s="134"/>
      <c r="XBH32" s="134"/>
      <c r="XBK32" s="134"/>
      <c r="XBN32" s="134"/>
      <c r="XBQ32" s="134"/>
      <c r="XBT32" s="134"/>
      <c r="XBW32" s="134"/>
      <c r="XBZ32" s="134"/>
      <c r="XCC32" s="134"/>
      <c r="XCF32" s="134"/>
      <c r="XCI32" s="134"/>
      <c r="XCL32" s="134"/>
      <c r="XCO32" s="134"/>
      <c r="XCR32" s="134"/>
      <c r="XCU32" s="134"/>
      <c r="XCX32" s="134"/>
      <c r="XDA32" s="134"/>
      <c r="XDD32" s="134"/>
      <c r="XDG32" s="134"/>
      <c r="XDJ32" s="134"/>
      <c r="XDM32" s="134"/>
      <c r="XDP32" s="134"/>
      <c r="XDS32" s="134"/>
      <c r="XDV32" s="134"/>
      <c r="XDY32" s="134"/>
      <c r="XEB32" s="134"/>
      <c r="XEE32" s="134"/>
      <c r="XEH32" s="134"/>
      <c r="XEK32" s="134"/>
      <c r="XEN32" s="134"/>
      <c r="XEQ32" s="134"/>
      <c r="XET32" s="134"/>
      <c r="XEW32" s="134"/>
    </row>
    <row r="33" spans="1:1023 1026:2046 2049:3072 3075:4095 4098:5118 5121:6144 6147:7167 7170:8190 8193:9216 9219:10239 10242:11262 11265:12288 12291:13311 13314:14334 14337:15360 15363:16377" x14ac:dyDescent="0.35">
      <c r="A33" s="129">
        <v>6</v>
      </c>
      <c r="B33" s="130" t="s">
        <v>41</v>
      </c>
      <c r="C33" s="170">
        <v>5775</v>
      </c>
      <c r="F33" s="134"/>
      <c r="I33" s="134"/>
      <c r="L33" s="134"/>
      <c r="O33" s="134"/>
      <c r="R33" s="134"/>
      <c r="U33" s="134"/>
      <c r="X33" s="134"/>
      <c r="AA33" s="134"/>
      <c r="AD33" s="134"/>
      <c r="AG33" s="134"/>
      <c r="AJ33" s="134"/>
      <c r="AM33" s="134"/>
      <c r="AP33" s="134"/>
      <c r="AS33" s="134"/>
      <c r="AV33" s="134"/>
      <c r="AY33" s="134"/>
      <c r="BB33" s="134"/>
      <c r="BE33" s="134"/>
      <c r="BH33" s="134"/>
      <c r="BK33" s="134"/>
      <c r="BN33" s="134"/>
      <c r="BQ33" s="134"/>
      <c r="BT33" s="134"/>
      <c r="BW33" s="134"/>
      <c r="BZ33" s="134"/>
      <c r="CC33" s="134"/>
      <c r="CF33" s="134"/>
      <c r="CI33" s="134"/>
      <c r="CL33" s="134"/>
      <c r="CO33" s="134"/>
      <c r="CR33" s="134"/>
      <c r="CU33" s="134"/>
      <c r="CX33" s="134"/>
      <c r="DA33" s="134"/>
      <c r="DD33" s="134"/>
      <c r="DG33" s="134"/>
      <c r="DJ33" s="134"/>
      <c r="DM33" s="134"/>
      <c r="DP33" s="134"/>
      <c r="DS33" s="134"/>
      <c r="DV33" s="134"/>
      <c r="DY33" s="134"/>
      <c r="EB33" s="134"/>
      <c r="EE33" s="134"/>
      <c r="EH33" s="134"/>
      <c r="EK33" s="134"/>
      <c r="EN33" s="134"/>
      <c r="EQ33" s="134"/>
      <c r="ET33" s="134"/>
      <c r="EW33" s="134"/>
      <c r="EZ33" s="134"/>
      <c r="FC33" s="134"/>
      <c r="FF33" s="134"/>
      <c r="FI33" s="134"/>
      <c r="FL33" s="134"/>
      <c r="FO33" s="134"/>
      <c r="FR33" s="134"/>
      <c r="FU33" s="134"/>
      <c r="FX33" s="134"/>
      <c r="GA33" s="134"/>
      <c r="GD33" s="134"/>
      <c r="GG33" s="134"/>
      <c r="GJ33" s="134"/>
      <c r="GM33" s="134"/>
      <c r="GP33" s="134"/>
      <c r="GS33" s="134"/>
      <c r="GV33" s="134"/>
      <c r="GY33" s="134"/>
      <c r="HB33" s="134"/>
      <c r="HE33" s="134"/>
      <c r="HH33" s="134"/>
      <c r="HK33" s="134"/>
      <c r="HN33" s="134"/>
      <c r="HQ33" s="134"/>
      <c r="HT33" s="134"/>
      <c r="HW33" s="134"/>
      <c r="HZ33" s="134"/>
      <c r="IC33" s="134"/>
      <c r="IF33" s="134"/>
      <c r="II33" s="134"/>
      <c r="IL33" s="134"/>
      <c r="IO33" s="134"/>
      <c r="IR33" s="134"/>
      <c r="IU33" s="134"/>
      <c r="IX33" s="134"/>
      <c r="JA33" s="134"/>
      <c r="JD33" s="134"/>
      <c r="JG33" s="134"/>
      <c r="JJ33" s="134"/>
      <c r="JM33" s="134"/>
      <c r="JP33" s="134"/>
      <c r="JS33" s="134"/>
      <c r="JV33" s="134"/>
      <c r="JY33" s="134"/>
      <c r="KB33" s="134"/>
      <c r="KE33" s="134"/>
      <c r="KH33" s="134"/>
      <c r="KK33" s="134"/>
      <c r="KN33" s="134"/>
      <c r="KQ33" s="134"/>
      <c r="KT33" s="134"/>
      <c r="KW33" s="134"/>
      <c r="KZ33" s="134"/>
      <c r="LC33" s="134"/>
      <c r="LF33" s="134"/>
      <c r="LI33" s="134"/>
      <c r="LL33" s="134"/>
      <c r="LO33" s="134"/>
      <c r="LR33" s="134"/>
      <c r="LU33" s="134"/>
      <c r="LX33" s="134"/>
      <c r="MA33" s="134"/>
      <c r="MD33" s="134"/>
      <c r="MG33" s="134"/>
      <c r="MJ33" s="134"/>
      <c r="MM33" s="134"/>
      <c r="MP33" s="134"/>
      <c r="MS33" s="134"/>
      <c r="MV33" s="134"/>
      <c r="MY33" s="134"/>
      <c r="NB33" s="134"/>
      <c r="NE33" s="134"/>
      <c r="NH33" s="134"/>
      <c r="NK33" s="134"/>
      <c r="NN33" s="134"/>
      <c r="NQ33" s="134"/>
      <c r="NT33" s="134"/>
      <c r="NW33" s="134"/>
      <c r="NZ33" s="134"/>
      <c r="OC33" s="134"/>
      <c r="OF33" s="134"/>
      <c r="OI33" s="134"/>
      <c r="OL33" s="134"/>
      <c r="OO33" s="134"/>
      <c r="OR33" s="134"/>
      <c r="OU33" s="134"/>
      <c r="OX33" s="134"/>
      <c r="PA33" s="134"/>
      <c r="PD33" s="134"/>
      <c r="PG33" s="134"/>
      <c r="PJ33" s="134"/>
      <c r="PM33" s="134"/>
      <c r="PP33" s="134"/>
      <c r="PS33" s="134"/>
      <c r="PV33" s="134"/>
      <c r="PY33" s="134"/>
      <c r="QB33" s="134"/>
      <c r="QE33" s="134"/>
      <c r="QH33" s="134"/>
      <c r="QK33" s="134"/>
      <c r="QN33" s="134"/>
      <c r="QQ33" s="134"/>
      <c r="QT33" s="134"/>
      <c r="QW33" s="134"/>
      <c r="QZ33" s="134"/>
      <c r="RC33" s="134"/>
      <c r="RF33" s="134"/>
      <c r="RI33" s="134"/>
      <c r="RL33" s="134"/>
      <c r="RO33" s="134"/>
      <c r="RR33" s="134"/>
      <c r="RU33" s="134"/>
      <c r="RX33" s="134"/>
      <c r="SA33" s="134"/>
      <c r="SD33" s="134"/>
      <c r="SG33" s="134"/>
      <c r="SJ33" s="134"/>
      <c r="SM33" s="134"/>
      <c r="SP33" s="134"/>
      <c r="SS33" s="134"/>
      <c r="SV33" s="134"/>
      <c r="SY33" s="134"/>
      <c r="TB33" s="134"/>
      <c r="TE33" s="134"/>
      <c r="TH33" s="134"/>
      <c r="TK33" s="134"/>
      <c r="TN33" s="134"/>
      <c r="TQ33" s="134"/>
      <c r="TT33" s="134"/>
      <c r="TW33" s="134"/>
      <c r="TZ33" s="134"/>
      <c r="UC33" s="134"/>
      <c r="UF33" s="134"/>
      <c r="UI33" s="134"/>
      <c r="UL33" s="134"/>
      <c r="UO33" s="134"/>
      <c r="UR33" s="134"/>
      <c r="UU33" s="134"/>
      <c r="UX33" s="134"/>
      <c r="VA33" s="134"/>
      <c r="VD33" s="134"/>
      <c r="VG33" s="134"/>
      <c r="VJ33" s="134"/>
      <c r="VM33" s="134"/>
      <c r="VP33" s="134"/>
      <c r="VS33" s="134"/>
      <c r="VV33" s="134"/>
      <c r="VY33" s="134"/>
      <c r="WB33" s="134"/>
      <c r="WE33" s="134"/>
      <c r="WH33" s="134"/>
      <c r="WK33" s="134"/>
      <c r="WN33" s="134"/>
      <c r="WQ33" s="134"/>
      <c r="WT33" s="134"/>
      <c r="WW33" s="134"/>
      <c r="WZ33" s="134"/>
      <c r="XC33" s="134"/>
      <c r="XF33" s="134"/>
      <c r="XI33" s="134"/>
      <c r="XL33" s="134"/>
      <c r="XO33" s="134"/>
      <c r="XR33" s="134"/>
      <c r="XU33" s="134"/>
      <c r="XX33" s="134"/>
      <c r="YA33" s="134"/>
      <c r="YD33" s="134"/>
      <c r="YG33" s="134"/>
      <c r="YJ33" s="134"/>
      <c r="YM33" s="134"/>
      <c r="YP33" s="134"/>
      <c r="YS33" s="134"/>
      <c r="YV33" s="134"/>
      <c r="YY33" s="134"/>
      <c r="ZB33" s="134"/>
      <c r="ZE33" s="134"/>
      <c r="ZH33" s="134"/>
      <c r="ZK33" s="134"/>
      <c r="ZN33" s="134"/>
      <c r="ZQ33" s="134"/>
      <c r="ZT33" s="134"/>
      <c r="ZW33" s="134"/>
      <c r="ZZ33" s="134"/>
      <c r="AAC33" s="134"/>
      <c r="AAF33" s="134"/>
      <c r="AAI33" s="134"/>
      <c r="AAL33" s="134"/>
      <c r="AAO33" s="134"/>
      <c r="AAR33" s="134"/>
      <c r="AAU33" s="134"/>
      <c r="AAX33" s="134"/>
      <c r="ABA33" s="134"/>
      <c r="ABD33" s="134"/>
      <c r="ABG33" s="134"/>
      <c r="ABJ33" s="134"/>
      <c r="ABM33" s="134"/>
      <c r="ABP33" s="134"/>
      <c r="ABS33" s="134"/>
      <c r="ABV33" s="134"/>
      <c r="ABY33" s="134"/>
      <c r="ACB33" s="134"/>
      <c r="ACE33" s="134"/>
      <c r="ACH33" s="134"/>
      <c r="ACK33" s="134"/>
      <c r="ACN33" s="134"/>
      <c r="ACQ33" s="134"/>
      <c r="ACT33" s="134"/>
      <c r="ACW33" s="134"/>
      <c r="ACZ33" s="134"/>
      <c r="ADC33" s="134"/>
      <c r="ADF33" s="134"/>
      <c r="ADI33" s="134"/>
      <c r="ADL33" s="134"/>
      <c r="ADO33" s="134"/>
      <c r="ADR33" s="134"/>
      <c r="ADU33" s="134"/>
      <c r="ADX33" s="134"/>
      <c r="AEA33" s="134"/>
      <c r="AED33" s="134"/>
      <c r="AEG33" s="134"/>
      <c r="AEJ33" s="134"/>
      <c r="AEM33" s="134"/>
      <c r="AEP33" s="134"/>
      <c r="AES33" s="134"/>
      <c r="AEV33" s="134"/>
      <c r="AEY33" s="134"/>
      <c r="AFB33" s="134"/>
      <c r="AFE33" s="134"/>
      <c r="AFH33" s="134"/>
      <c r="AFK33" s="134"/>
      <c r="AFN33" s="134"/>
      <c r="AFQ33" s="134"/>
      <c r="AFT33" s="134"/>
      <c r="AFW33" s="134"/>
      <c r="AFZ33" s="134"/>
      <c r="AGC33" s="134"/>
      <c r="AGF33" s="134"/>
      <c r="AGI33" s="134"/>
      <c r="AGL33" s="134"/>
      <c r="AGO33" s="134"/>
      <c r="AGR33" s="134"/>
      <c r="AGU33" s="134"/>
      <c r="AGX33" s="134"/>
      <c r="AHA33" s="134"/>
      <c r="AHD33" s="134"/>
      <c r="AHG33" s="134"/>
      <c r="AHJ33" s="134"/>
      <c r="AHM33" s="134"/>
      <c r="AHP33" s="134"/>
      <c r="AHS33" s="134"/>
      <c r="AHV33" s="134"/>
      <c r="AHY33" s="134"/>
      <c r="AIB33" s="134"/>
      <c r="AIE33" s="134"/>
      <c r="AIH33" s="134"/>
      <c r="AIK33" s="134"/>
      <c r="AIN33" s="134"/>
      <c r="AIQ33" s="134"/>
      <c r="AIT33" s="134"/>
      <c r="AIW33" s="134"/>
      <c r="AIZ33" s="134"/>
      <c r="AJC33" s="134"/>
      <c r="AJF33" s="134"/>
      <c r="AJI33" s="134"/>
      <c r="AJL33" s="134"/>
      <c r="AJO33" s="134"/>
      <c r="AJR33" s="134"/>
      <c r="AJU33" s="134"/>
      <c r="AJX33" s="134"/>
      <c r="AKA33" s="134"/>
      <c r="AKD33" s="134"/>
      <c r="AKG33" s="134"/>
      <c r="AKJ33" s="134"/>
      <c r="AKM33" s="134"/>
      <c r="AKP33" s="134"/>
      <c r="AKS33" s="134"/>
      <c r="AKV33" s="134"/>
      <c r="AKY33" s="134"/>
      <c r="ALB33" s="134"/>
      <c r="ALE33" s="134"/>
      <c r="ALH33" s="134"/>
      <c r="ALK33" s="134"/>
      <c r="ALN33" s="134"/>
      <c r="ALQ33" s="134"/>
      <c r="ALT33" s="134"/>
      <c r="ALW33" s="134"/>
      <c r="ALZ33" s="134"/>
      <c r="AMC33" s="134"/>
      <c r="AMF33" s="134"/>
      <c r="AMI33" s="134"/>
      <c r="AML33" s="134"/>
      <c r="AMO33" s="134"/>
      <c r="AMR33" s="134"/>
      <c r="AMU33" s="134"/>
      <c r="AMX33" s="134"/>
      <c r="ANA33" s="134"/>
      <c r="AND33" s="134"/>
      <c r="ANG33" s="134"/>
      <c r="ANJ33" s="134"/>
      <c r="ANM33" s="134"/>
      <c r="ANP33" s="134"/>
      <c r="ANS33" s="134"/>
      <c r="ANV33" s="134"/>
      <c r="ANY33" s="134"/>
      <c r="AOB33" s="134"/>
      <c r="AOE33" s="134"/>
      <c r="AOH33" s="134"/>
      <c r="AOK33" s="134"/>
      <c r="AON33" s="134"/>
      <c r="AOQ33" s="134"/>
      <c r="AOT33" s="134"/>
      <c r="AOW33" s="134"/>
      <c r="AOZ33" s="134"/>
      <c r="APC33" s="134"/>
      <c r="APF33" s="134"/>
      <c r="API33" s="134"/>
      <c r="APL33" s="134"/>
      <c r="APO33" s="134"/>
      <c r="APR33" s="134"/>
      <c r="APU33" s="134"/>
      <c r="APX33" s="134"/>
      <c r="AQA33" s="134"/>
      <c r="AQD33" s="134"/>
      <c r="AQG33" s="134"/>
      <c r="AQJ33" s="134"/>
      <c r="AQM33" s="134"/>
      <c r="AQP33" s="134"/>
      <c r="AQS33" s="134"/>
      <c r="AQV33" s="134"/>
      <c r="AQY33" s="134"/>
      <c r="ARB33" s="134"/>
      <c r="ARE33" s="134"/>
      <c r="ARH33" s="134"/>
      <c r="ARK33" s="134"/>
      <c r="ARN33" s="134"/>
      <c r="ARQ33" s="134"/>
      <c r="ART33" s="134"/>
      <c r="ARW33" s="134"/>
      <c r="ARZ33" s="134"/>
      <c r="ASC33" s="134"/>
      <c r="ASF33" s="134"/>
      <c r="ASI33" s="134"/>
      <c r="ASL33" s="134"/>
      <c r="ASO33" s="134"/>
      <c r="ASR33" s="134"/>
      <c r="ASU33" s="134"/>
      <c r="ASX33" s="134"/>
      <c r="ATA33" s="134"/>
      <c r="ATD33" s="134"/>
      <c r="ATG33" s="134"/>
      <c r="ATJ33" s="134"/>
      <c r="ATM33" s="134"/>
      <c r="ATP33" s="134"/>
      <c r="ATS33" s="134"/>
      <c r="ATV33" s="134"/>
      <c r="ATY33" s="134"/>
      <c r="AUB33" s="134"/>
      <c r="AUE33" s="134"/>
      <c r="AUH33" s="134"/>
      <c r="AUK33" s="134"/>
      <c r="AUN33" s="134"/>
      <c r="AUQ33" s="134"/>
      <c r="AUT33" s="134"/>
      <c r="AUW33" s="134"/>
      <c r="AUZ33" s="134"/>
      <c r="AVC33" s="134"/>
      <c r="AVF33" s="134"/>
      <c r="AVI33" s="134"/>
      <c r="AVL33" s="134"/>
      <c r="AVO33" s="134"/>
      <c r="AVR33" s="134"/>
      <c r="AVU33" s="134"/>
      <c r="AVX33" s="134"/>
      <c r="AWA33" s="134"/>
      <c r="AWD33" s="134"/>
      <c r="AWG33" s="134"/>
      <c r="AWJ33" s="134"/>
      <c r="AWM33" s="134"/>
      <c r="AWP33" s="134"/>
      <c r="AWS33" s="134"/>
      <c r="AWV33" s="134"/>
      <c r="AWY33" s="134"/>
      <c r="AXB33" s="134"/>
      <c r="AXE33" s="134"/>
      <c r="AXH33" s="134"/>
      <c r="AXK33" s="134"/>
      <c r="AXN33" s="134"/>
      <c r="AXQ33" s="134"/>
      <c r="AXT33" s="134"/>
      <c r="AXW33" s="134"/>
      <c r="AXZ33" s="134"/>
      <c r="AYC33" s="134"/>
      <c r="AYF33" s="134"/>
      <c r="AYI33" s="134"/>
      <c r="AYL33" s="134"/>
      <c r="AYO33" s="134"/>
      <c r="AYR33" s="134"/>
      <c r="AYU33" s="134"/>
      <c r="AYX33" s="134"/>
      <c r="AZA33" s="134"/>
      <c r="AZD33" s="134"/>
      <c r="AZG33" s="134"/>
      <c r="AZJ33" s="134"/>
      <c r="AZM33" s="134"/>
      <c r="AZP33" s="134"/>
      <c r="AZS33" s="134"/>
      <c r="AZV33" s="134"/>
      <c r="AZY33" s="134"/>
      <c r="BAB33" s="134"/>
      <c r="BAE33" s="134"/>
      <c r="BAH33" s="134"/>
      <c r="BAK33" s="134"/>
      <c r="BAN33" s="134"/>
      <c r="BAQ33" s="134"/>
      <c r="BAT33" s="134"/>
      <c r="BAW33" s="134"/>
      <c r="BAZ33" s="134"/>
      <c r="BBC33" s="134"/>
      <c r="BBF33" s="134"/>
      <c r="BBI33" s="134"/>
      <c r="BBL33" s="134"/>
      <c r="BBO33" s="134"/>
      <c r="BBR33" s="134"/>
      <c r="BBU33" s="134"/>
      <c r="BBX33" s="134"/>
      <c r="BCA33" s="134"/>
      <c r="BCD33" s="134"/>
      <c r="BCG33" s="134"/>
      <c r="BCJ33" s="134"/>
      <c r="BCM33" s="134"/>
      <c r="BCP33" s="134"/>
      <c r="BCS33" s="134"/>
      <c r="BCV33" s="134"/>
      <c r="BCY33" s="134"/>
      <c r="BDB33" s="134"/>
      <c r="BDE33" s="134"/>
      <c r="BDH33" s="134"/>
      <c r="BDK33" s="134"/>
      <c r="BDN33" s="134"/>
      <c r="BDQ33" s="134"/>
      <c r="BDT33" s="134"/>
      <c r="BDW33" s="134"/>
      <c r="BDZ33" s="134"/>
      <c r="BEC33" s="134"/>
      <c r="BEF33" s="134"/>
      <c r="BEI33" s="134"/>
      <c r="BEL33" s="134"/>
      <c r="BEO33" s="134"/>
      <c r="BER33" s="134"/>
      <c r="BEU33" s="134"/>
      <c r="BEX33" s="134"/>
      <c r="BFA33" s="134"/>
      <c r="BFD33" s="134"/>
      <c r="BFG33" s="134"/>
      <c r="BFJ33" s="134"/>
      <c r="BFM33" s="134"/>
      <c r="BFP33" s="134"/>
      <c r="BFS33" s="134"/>
      <c r="BFV33" s="134"/>
      <c r="BFY33" s="134"/>
      <c r="BGB33" s="134"/>
      <c r="BGE33" s="134"/>
      <c r="BGH33" s="134"/>
      <c r="BGK33" s="134"/>
      <c r="BGN33" s="134"/>
      <c r="BGQ33" s="134"/>
      <c r="BGT33" s="134"/>
      <c r="BGW33" s="134"/>
      <c r="BGZ33" s="134"/>
      <c r="BHC33" s="134"/>
      <c r="BHF33" s="134"/>
      <c r="BHI33" s="134"/>
      <c r="BHL33" s="134"/>
      <c r="BHO33" s="134"/>
      <c r="BHR33" s="134"/>
      <c r="BHU33" s="134"/>
      <c r="BHX33" s="134"/>
      <c r="BIA33" s="134"/>
      <c r="BID33" s="134"/>
      <c r="BIG33" s="134"/>
      <c r="BIJ33" s="134"/>
      <c r="BIM33" s="134"/>
      <c r="BIP33" s="134"/>
      <c r="BIS33" s="134"/>
      <c r="BIV33" s="134"/>
      <c r="BIY33" s="134"/>
      <c r="BJB33" s="134"/>
      <c r="BJE33" s="134"/>
      <c r="BJH33" s="134"/>
      <c r="BJK33" s="134"/>
      <c r="BJN33" s="134"/>
      <c r="BJQ33" s="134"/>
      <c r="BJT33" s="134"/>
      <c r="BJW33" s="134"/>
      <c r="BJZ33" s="134"/>
      <c r="BKC33" s="134"/>
      <c r="BKF33" s="134"/>
      <c r="BKI33" s="134"/>
      <c r="BKL33" s="134"/>
      <c r="BKO33" s="134"/>
      <c r="BKR33" s="134"/>
      <c r="BKU33" s="134"/>
      <c r="BKX33" s="134"/>
      <c r="BLA33" s="134"/>
      <c r="BLD33" s="134"/>
      <c r="BLG33" s="134"/>
      <c r="BLJ33" s="134"/>
      <c r="BLM33" s="134"/>
      <c r="BLP33" s="134"/>
      <c r="BLS33" s="134"/>
      <c r="BLV33" s="134"/>
      <c r="BLY33" s="134"/>
      <c r="BMB33" s="134"/>
      <c r="BME33" s="134"/>
      <c r="BMH33" s="134"/>
      <c r="BMK33" s="134"/>
      <c r="BMN33" s="134"/>
      <c r="BMQ33" s="134"/>
      <c r="BMT33" s="134"/>
      <c r="BMW33" s="134"/>
      <c r="BMZ33" s="134"/>
      <c r="BNC33" s="134"/>
      <c r="BNF33" s="134"/>
      <c r="BNI33" s="134"/>
      <c r="BNL33" s="134"/>
      <c r="BNO33" s="134"/>
      <c r="BNR33" s="134"/>
      <c r="BNU33" s="134"/>
      <c r="BNX33" s="134"/>
      <c r="BOA33" s="134"/>
      <c r="BOD33" s="134"/>
      <c r="BOG33" s="134"/>
      <c r="BOJ33" s="134"/>
      <c r="BOM33" s="134"/>
      <c r="BOP33" s="134"/>
      <c r="BOS33" s="134"/>
      <c r="BOV33" s="134"/>
      <c r="BOY33" s="134"/>
      <c r="BPB33" s="134"/>
      <c r="BPE33" s="134"/>
      <c r="BPH33" s="134"/>
      <c r="BPK33" s="134"/>
      <c r="BPN33" s="134"/>
      <c r="BPQ33" s="134"/>
      <c r="BPT33" s="134"/>
      <c r="BPW33" s="134"/>
      <c r="BPZ33" s="134"/>
      <c r="BQC33" s="134"/>
      <c r="BQF33" s="134"/>
      <c r="BQI33" s="134"/>
      <c r="BQL33" s="134"/>
      <c r="BQO33" s="134"/>
      <c r="BQR33" s="134"/>
      <c r="BQU33" s="134"/>
      <c r="BQX33" s="134"/>
      <c r="BRA33" s="134"/>
      <c r="BRD33" s="134"/>
      <c r="BRG33" s="134"/>
      <c r="BRJ33" s="134"/>
      <c r="BRM33" s="134"/>
      <c r="BRP33" s="134"/>
      <c r="BRS33" s="134"/>
      <c r="BRV33" s="134"/>
      <c r="BRY33" s="134"/>
      <c r="BSB33" s="134"/>
      <c r="BSE33" s="134"/>
      <c r="BSH33" s="134"/>
      <c r="BSK33" s="134"/>
      <c r="BSN33" s="134"/>
      <c r="BSQ33" s="134"/>
      <c r="BST33" s="134"/>
      <c r="BSW33" s="134"/>
      <c r="BSZ33" s="134"/>
      <c r="BTC33" s="134"/>
      <c r="BTF33" s="134"/>
      <c r="BTI33" s="134"/>
      <c r="BTL33" s="134"/>
      <c r="BTO33" s="134"/>
      <c r="BTR33" s="134"/>
      <c r="BTU33" s="134"/>
      <c r="BTX33" s="134"/>
      <c r="BUA33" s="134"/>
      <c r="BUD33" s="134"/>
      <c r="BUG33" s="134"/>
      <c r="BUJ33" s="134"/>
      <c r="BUM33" s="134"/>
      <c r="BUP33" s="134"/>
      <c r="BUS33" s="134"/>
      <c r="BUV33" s="134"/>
      <c r="BUY33" s="134"/>
      <c r="BVB33" s="134"/>
      <c r="BVE33" s="134"/>
      <c r="BVH33" s="134"/>
      <c r="BVK33" s="134"/>
      <c r="BVN33" s="134"/>
      <c r="BVQ33" s="134"/>
      <c r="BVT33" s="134"/>
      <c r="BVW33" s="134"/>
      <c r="BVZ33" s="134"/>
      <c r="BWC33" s="134"/>
      <c r="BWF33" s="134"/>
      <c r="BWI33" s="134"/>
      <c r="BWL33" s="134"/>
      <c r="BWO33" s="134"/>
      <c r="BWR33" s="134"/>
      <c r="BWU33" s="134"/>
      <c r="BWX33" s="134"/>
      <c r="BXA33" s="134"/>
      <c r="BXD33" s="134"/>
      <c r="BXG33" s="134"/>
      <c r="BXJ33" s="134"/>
      <c r="BXM33" s="134"/>
      <c r="BXP33" s="134"/>
      <c r="BXS33" s="134"/>
      <c r="BXV33" s="134"/>
      <c r="BXY33" s="134"/>
      <c r="BYB33" s="134"/>
      <c r="BYE33" s="134"/>
      <c r="BYH33" s="134"/>
      <c r="BYK33" s="134"/>
      <c r="BYN33" s="134"/>
      <c r="BYQ33" s="134"/>
      <c r="BYT33" s="134"/>
      <c r="BYW33" s="134"/>
      <c r="BYZ33" s="134"/>
      <c r="BZC33" s="134"/>
      <c r="BZF33" s="134"/>
      <c r="BZI33" s="134"/>
      <c r="BZL33" s="134"/>
      <c r="BZO33" s="134"/>
      <c r="BZR33" s="134"/>
      <c r="BZU33" s="134"/>
      <c r="BZX33" s="134"/>
      <c r="CAA33" s="134"/>
      <c r="CAD33" s="134"/>
      <c r="CAG33" s="134"/>
      <c r="CAJ33" s="134"/>
      <c r="CAM33" s="134"/>
      <c r="CAP33" s="134"/>
      <c r="CAS33" s="134"/>
      <c r="CAV33" s="134"/>
      <c r="CAY33" s="134"/>
      <c r="CBB33" s="134"/>
      <c r="CBE33" s="134"/>
      <c r="CBH33" s="134"/>
      <c r="CBK33" s="134"/>
      <c r="CBN33" s="134"/>
      <c r="CBQ33" s="134"/>
      <c r="CBT33" s="134"/>
      <c r="CBW33" s="134"/>
      <c r="CBZ33" s="134"/>
      <c r="CCC33" s="134"/>
      <c r="CCF33" s="134"/>
      <c r="CCI33" s="134"/>
      <c r="CCL33" s="134"/>
      <c r="CCO33" s="134"/>
      <c r="CCR33" s="134"/>
      <c r="CCU33" s="134"/>
      <c r="CCX33" s="134"/>
      <c r="CDA33" s="134"/>
      <c r="CDD33" s="134"/>
      <c r="CDG33" s="134"/>
      <c r="CDJ33" s="134"/>
      <c r="CDM33" s="134"/>
      <c r="CDP33" s="134"/>
      <c r="CDS33" s="134"/>
      <c r="CDV33" s="134"/>
      <c r="CDY33" s="134"/>
      <c r="CEB33" s="134"/>
      <c r="CEE33" s="134"/>
      <c r="CEH33" s="134"/>
      <c r="CEK33" s="134"/>
      <c r="CEN33" s="134"/>
      <c r="CEQ33" s="134"/>
      <c r="CET33" s="134"/>
      <c r="CEW33" s="134"/>
      <c r="CEZ33" s="134"/>
      <c r="CFC33" s="134"/>
      <c r="CFF33" s="134"/>
      <c r="CFI33" s="134"/>
      <c r="CFL33" s="134"/>
      <c r="CFO33" s="134"/>
      <c r="CFR33" s="134"/>
      <c r="CFU33" s="134"/>
      <c r="CFX33" s="134"/>
      <c r="CGA33" s="134"/>
      <c r="CGD33" s="134"/>
      <c r="CGG33" s="134"/>
      <c r="CGJ33" s="134"/>
      <c r="CGM33" s="134"/>
      <c r="CGP33" s="134"/>
      <c r="CGS33" s="134"/>
      <c r="CGV33" s="134"/>
      <c r="CGY33" s="134"/>
      <c r="CHB33" s="134"/>
      <c r="CHE33" s="134"/>
      <c r="CHH33" s="134"/>
      <c r="CHK33" s="134"/>
      <c r="CHN33" s="134"/>
      <c r="CHQ33" s="134"/>
      <c r="CHT33" s="134"/>
      <c r="CHW33" s="134"/>
      <c r="CHZ33" s="134"/>
      <c r="CIC33" s="134"/>
      <c r="CIF33" s="134"/>
      <c r="CII33" s="134"/>
      <c r="CIL33" s="134"/>
      <c r="CIO33" s="134"/>
      <c r="CIR33" s="134"/>
      <c r="CIU33" s="134"/>
      <c r="CIX33" s="134"/>
      <c r="CJA33" s="134"/>
      <c r="CJD33" s="134"/>
      <c r="CJG33" s="134"/>
      <c r="CJJ33" s="134"/>
      <c r="CJM33" s="134"/>
      <c r="CJP33" s="134"/>
      <c r="CJS33" s="134"/>
      <c r="CJV33" s="134"/>
      <c r="CJY33" s="134"/>
      <c r="CKB33" s="134"/>
      <c r="CKE33" s="134"/>
      <c r="CKH33" s="134"/>
      <c r="CKK33" s="134"/>
      <c r="CKN33" s="134"/>
      <c r="CKQ33" s="134"/>
      <c r="CKT33" s="134"/>
      <c r="CKW33" s="134"/>
      <c r="CKZ33" s="134"/>
      <c r="CLC33" s="134"/>
      <c r="CLF33" s="134"/>
      <c r="CLI33" s="134"/>
      <c r="CLL33" s="134"/>
      <c r="CLO33" s="134"/>
      <c r="CLR33" s="134"/>
      <c r="CLU33" s="134"/>
      <c r="CLX33" s="134"/>
      <c r="CMA33" s="134"/>
      <c r="CMD33" s="134"/>
      <c r="CMG33" s="134"/>
      <c r="CMJ33" s="134"/>
      <c r="CMM33" s="134"/>
      <c r="CMP33" s="134"/>
      <c r="CMS33" s="134"/>
      <c r="CMV33" s="134"/>
      <c r="CMY33" s="134"/>
      <c r="CNB33" s="134"/>
      <c r="CNE33" s="134"/>
      <c r="CNH33" s="134"/>
      <c r="CNK33" s="134"/>
      <c r="CNN33" s="134"/>
      <c r="CNQ33" s="134"/>
      <c r="CNT33" s="134"/>
      <c r="CNW33" s="134"/>
      <c r="CNZ33" s="134"/>
      <c r="COC33" s="134"/>
      <c r="COF33" s="134"/>
      <c r="COI33" s="134"/>
      <c r="COL33" s="134"/>
      <c r="COO33" s="134"/>
      <c r="COR33" s="134"/>
      <c r="COU33" s="134"/>
      <c r="COX33" s="134"/>
      <c r="CPA33" s="134"/>
      <c r="CPD33" s="134"/>
      <c r="CPG33" s="134"/>
      <c r="CPJ33" s="134"/>
      <c r="CPM33" s="134"/>
      <c r="CPP33" s="134"/>
      <c r="CPS33" s="134"/>
      <c r="CPV33" s="134"/>
      <c r="CPY33" s="134"/>
      <c r="CQB33" s="134"/>
      <c r="CQE33" s="134"/>
      <c r="CQH33" s="134"/>
      <c r="CQK33" s="134"/>
      <c r="CQN33" s="134"/>
      <c r="CQQ33" s="134"/>
      <c r="CQT33" s="134"/>
      <c r="CQW33" s="134"/>
      <c r="CQZ33" s="134"/>
      <c r="CRC33" s="134"/>
      <c r="CRF33" s="134"/>
      <c r="CRI33" s="134"/>
      <c r="CRL33" s="134"/>
      <c r="CRO33" s="134"/>
      <c r="CRR33" s="134"/>
      <c r="CRU33" s="134"/>
      <c r="CRX33" s="134"/>
      <c r="CSA33" s="134"/>
      <c r="CSD33" s="134"/>
      <c r="CSG33" s="134"/>
      <c r="CSJ33" s="134"/>
      <c r="CSM33" s="134"/>
      <c r="CSP33" s="134"/>
      <c r="CSS33" s="134"/>
      <c r="CSV33" s="134"/>
      <c r="CSY33" s="134"/>
      <c r="CTB33" s="134"/>
      <c r="CTE33" s="134"/>
      <c r="CTH33" s="134"/>
      <c r="CTK33" s="134"/>
      <c r="CTN33" s="134"/>
      <c r="CTQ33" s="134"/>
      <c r="CTT33" s="134"/>
      <c r="CTW33" s="134"/>
      <c r="CTZ33" s="134"/>
      <c r="CUC33" s="134"/>
      <c r="CUF33" s="134"/>
      <c r="CUI33" s="134"/>
      <c r="CUL33" s="134"/>
      <c r="CUO33" s="134"/>
      <c r="CUR33" s="134"/>
      <c r="CUU33" s="134"/>
      <c r="CUX33" s="134"/>
      <c r="CVA33" s="134"/>
      <c r="CVD33" s="134"/>
      <c r="CVG33" s="134"/>
      <c r="CVJ33" s="134"/>
      <c r="CVM33" s="134"/>
      <c r="CVP33" s="134"/>
      <c r="CVS33" s="134"/>
      <c r="CVV33" s="134"/>
      <c r="CVY33" s="134"/>
      <c r="CWB33" s="134"/>
      <c r="CWE33" s="134"/>
      <c r="CWH33" s="134"/>
      <c r="CWK33" s="134"/>
      <c r="CWN33" s="134"/>
      <c r="CWQ33" s="134"/>
      <c r="CWT33" s="134"/>
      <c r="CWW33" s="134"/>
      <c r="CWZ33" s="134"/>
      <c r="CXC33" s="134"/>
      <c r="CXF33" s="134"/>
      <c r="CXI33" s="134"/>
      <c r="CXL33" s="134"/>
      <c r="CXO33" s="134"/>
      <c r="CXR33" s="134"/>
      <c r="CXU33" s="134"/>
      <c r="CXX33" s="134"/>
      <c r="CYA33" s="134"/>
      <c r="CYD33" s="134"/>
      <c r="CYG33" s="134"/>
      <c r="CYJ33" s="134"/>
      <c r="CYM33" s="134"/>
      <c r="CYP33" s="134"/>
      <c r="CYS33" s="134"/>
      <c r="CYV33" s="134"/>
      <c r="CYY33" s="134"/>
      <c r="CZB33" s="134"/>
      <c r="CZE33" s="134"/>
      <c r="CZH33" s="134"/>
      <c r="CZK33" s="134"/>
      <c r="CZN33" s="134"/>
      <c r="CZQ33" s="134"/>
      <c r="CZT33" s="134"/>
      <c r="CZW33" s="134"/>
      <c r="CZZ33" s="134"/>
      <c r="DAC33" s="134"/>
      <c r="DAF33" s="134"/>
      <c r="DAI33" s="134"/>
      <c r="DAL33" s="134"/>
      <c r="DAO33" s="134"/>
      <c r="DAR33" s="134"/>
      <c r="DAU33" s="134"/>
      <c r="DAX33" s="134"/>
      <c r="DBA33" s="134"/>
      <c r="DBD33" s="134"/>
      <c r="DBG33" s="134"/>
      <c r="DBJ33" s="134"/>
      <c r="DBM33" s="134"/>
      <c r="DBP33" s="134"/>
      <c r="DBS33" s="134"/>
      <c r="DBV33" s="134"/>
      <c r="DBY33" s="134"/>
      <c r="DCB33" s="134"/>
      <c r="DCE33" s="134"/>
      <c r="DCH33" s="134"/>
      <c r="DCK33" s="134"/>
      <c r="DCN33" s="134"/>
      <c r="DCQ33" s="134"/>
      <c r="DCT33" s="134"/>
      <c r="DCW33" s="134"/>
      <c r="DCZ33" s="134"/>
      <c r="DDC33" s="134"/>
      <c r="DDF33" s="134"/>
      <c r="DDI33" s="134"/>
      <c r="DDL33" s="134"/>
      <c r="DDO33" s="134"/>
      <c r="DDR33" s="134"/>
      <c r="DDU33" s="134"/>
      <c r="DDX33" s="134"/>
      <c r="DEA33" s="134"/>
      <c r="DED33" s="134"/>
      <c r="DEG33" s="134"/>
      <c r="DEJ33" s="134"/>
      <c r="DEM33" s="134"/>
      <c r="DEP33" s="134"/>
      <c r="DES33" s="134"/>
      <c r="DEV33" s="134"/>
      <c r="DEY33" s="134"/>
      <c r="DFB33" s="134"/>
      <c r="DFE33" s="134"/>
      <c r="DFH33" s="134"/>
      <c r="DFK33" s="134"/>
      <c r="DFN33" s="134"/>
      <c r="DFQ33" s="134"/>
      <c r="DFT33" s="134"/>
      <c r="DFW33" s="134"/>
      <c r="DFZ33" s="134"/>
      <c r="DGC33" s="134"/>
      <c r="DGF33" s="134"/>
      <c r="DGI33" s="134"/>
      <c r="DGL33" s="134"/>
      <c r="DGO33" s="134"/>
      <c r="DGR33" s="134"/>
      <c r="DGU33" s="134"/>
      <c r="DGX33" s="134"/>
      <c r="DHA33" s="134"/>
      <c r="DHD33" s="134"/>
      <c r="DHG33" s="134"/>
      <c r="DHJ33" s="134"/>
      <c r="DHM33" s="134"/>
      <c r="DHP33" s="134"/>
      <c r="DHS33" s="134"/>
      <c r="DHV33" s="134"/>
      <c r="DHY33" s="134"/>
      <c r="DIB33" s="134"/>
      <c r="DIE33" s="134"/>
      <c r="DIH33" s="134"/>
      <c r="DIK33" s="134"/>
      <c r="DIN33" s="134"/>
      <c r="DIQ33" s="134"/>
      <c r="DIT33" s="134"/>
      <c r="DIW33" s="134"/>
      <c r="DIZ33" s="134"/>
      <c r="DJC33" s="134"/>
      <c r="DJF33" s="134"/>
      <c r="DJI33" s="134"/>
      <c r="DJL33" s="134"/>
      <c r="DJO33" s="134"/>
      <c r="DJR33" s="134"/>
      <c r="DJU33" s="134"/>
      <c r="DJX33" s="134"/>
      <c r="DKA33" s="134"/>
      <c r="DKD33" s="134"/>
      <c r="DKG33" s="134"/>
      <c r="DKJ33" s="134"/>
      <c r="DKM33" s="134"/>
      <c r="DKP33" s="134"/>
      <c r="DKS33" s="134"/>
      <c r="DKV33" s="134"/>
      <c r="DKY33" s="134"/>
      <c r="DLB33" s="134"/>
      <c r="DLE33" s="134"/>
      <c r="DLH33" s="134"/>
      <c r="DLK33" s="134"/>
      <c r="DLN33" s="134"/>
      <c r="DLQ33" s="134"/>
      <c r="DLT33" s="134"/>
      <c r="DLW33" s="134"/>
      <c r="DLZ33" s="134"/>
      <c r="DMC33" s="134"/>
      <c r="DMF33" s="134"/>
      <c r="DMI33" s="134"/>
      <c r="DML33" s="134"/>
      <c r="DMO33" s="134"/>
      <c r="DMR33" s="134"/>
      <c r="DMU33" s="134"/>
      <c r="DMX33" s="134"/>
      <c r="DNA33" s="134"/>
      <c r="DND33" s="134"/>
      <c r="DNG33" s="134"/>
      <c r="DNJ33" s="134"/>
      <c r="DNM33" s="134"/>
      <c r="DNP33" s="134"/>
      <c r="DNS33" s="134"/>
      <c r="DNV33" s="134"/>
      <c r="DNY33" s="134"/>
      <c r="DOB33" s="134"/>
      <c r="DOE33" s="134"/>
      <c r="DOH33" s="134"/>
      <c r="DOK33" s="134"/>
      <c r="DON33" s="134"/>
      <c r="DOQ33" s="134"/>
      <c r="DOT33" s="134"/>
      <c r="DOW33" s="134"/>
      <c r="DOZ33" s="134"/>
      <c r="DPC33" s="134"/>
      <c r="DPF33" s="134"/>
      <c r="DPI33" s="134"/>
      <c r="DPL33" s="134"/>
      <c r="DPO33" s="134"/>
      <c r="DPR33" s="134"/>
      <c r="DPU33" s="134"/>
      <c r="DPX33" s="134"/>
      <c r="DQA33" s="134"/>
      <c r="DQD33" s="134"/>
      <c r="DQG33" s="134"/>
      <c r="DQJ33" s="134"/>
      <c r="DQM33" s="134"/>
      <c r="DQP33" s="134"/>
      <c r="DQS33" s="134"/>
      <c r="DQV33" s="134"/>
      <c r="DQY33" s="134"/>
      <c r="DRB33" s="134"/>
      <c r="DRE33" s="134"/>
      <c r="DRH33" s="134"/>
      <c r="DRK33" s="134"/>
      <c r="DRN33" s="134"/>
      <c r="DRQ33" s="134"/>
      <c r="DRT33" s="134"/>
      <c r="DRW33" s="134"/>
      <c r="DRZ33" s="134"/>
      <c r="DSC33" s="134"/>
      <c r="DSF33" s="134"/>
      <c r="DSI33" s="134"/>
      <c r="DSL33" s="134"/>
      <c r="DSO33" s="134"/>
      <c r="DSR33" s="134"/>
      <c r="DSU33" s="134"/>
      <c r="DSX33" s="134"/>
      <c r="DTA33" s="134"/>
      <c r="DTD33" s="134"/>
      <c r="DTG33" s="134"/>
      <c r="DTJ33" s="134"/>
      <c r="DTM33" s="134"/>
      <c r="DTP33" s="134"/>
      <c r="DTS33" s="134"/>
      <c r="DTV33" s="134"/>
      <c r="DTY33" s="134"/>
      <c r="DUB33" s="134"/>
      <c r="DUE33" s="134"/>
      <c r="DUH33" s="134"/>
      <c r="DUK33" s="134"/>
      <c r="DUN33" s="134"/>
      <c r="DUQ33" s="134"/>
      <c r="DUT33" s="134"/>
      <c r="DUW33" s="134"/>
      <c r="DUZ33" s="134"/>
      <c r="DVC33" s="134"/>
      <c r="DVF33" s="134"/>
      <c r="DVI33" s="134"/>
      <c r="DVL33" s="134"/>
      <c r="DVO33" s="134"/>
      <c r="DVR33" s="134"/>
      <c r="DVU33" s="134"/>
      <c r="DVX33" s="134"/>
      <c r="DWA33" s="134"/>
      <c r="DWD33" s="134"/>
      <c r="DWG33" s="134"/>
      <c r="DWJ33" s="134"/>
      <c r="DWM33" s="134"/>
      <c r="DWP33" s="134"/>
      <c r="DWS33" s="134"/>
      <c r="DWV33" s="134"/>
      <c r="DWY33" s="134"/>
      <c r="DXB33" s="134"/>
      <c r="DXE33" s="134"/>
      <c r="DXH33" s="134"/>
      <c r="DXK33" s="134"/>
      <c r="DXN33" s="134"/>
      <c r="DXQ33" s="134"/>
      <c r="DXT33" s="134"/>
      <c r="DXW33" s="134"/>
      <c r="DXZ33" s="134"/>
      <c r="DYC33" s="134"/>
      <c r="DYF33" s="134"/>
      <c r="DYI33" s="134"/>
      <c r="DYL33" s="134"/>
      <c r="DYO33" s="134"/>
      <c r="DYR33" s="134"/>
      <c r="DYU33" s="134"/>
      <c r="DYX33" s="134"/>
      <c r="DZA33" s="134"/>
      <c r="DZD33" s="134"/>
      <c r="DZG33" s="134"/>
      <c r="DZJ33" s="134"/>
      <c r="DZM33" s="134"/>
      <c r="DZP33" s="134"/>
      <c r="DZS33" s="134"/>
      <c r="DZV33" s="134"/>
      <c r="DZY33" s="134"/>
      <c r="EAB33" s="134"/>
      <c r="EAE33" s="134"/>
      <c r="EAH33" s="134"/>
      <c r="EAK33" s="134"/>
      <c r="EAN33" s="134"/>
      <c r="EAQ33" s="134"/>
      <c r="EAT33" s="134"/>
      <c r="EAW33" s="134"/>
      <c r="EAZ33" s="134"/>
      <c r="EBC33" s="134"/>
      <c r="EBF33" s="134"/>
      <c r="EBI33" s="134"/>
      <c r="EBL33" s="134"/>
      <c r="EBO33" s="134"/>
      <c r="EBR33" s="134"/>
      <c r="EBU33" s="134"/>
      <c r="EBX33" s="134"/>
      <c r="ECA33" s="134"/>
      <c r="ECD33" s="134"/>
      <c r="ECG33" s="134"/>
      <c r="ECJ33" s="134"/>
      <c r="ECM33" s="134"/>
      <c r="ECP33" s="134"/>
      <c r="ECS33" s="134"/>
      <c r="ECV33" s="134"/>
      <c r="ECY33" s="134"/>
      <c r="EDB33" s="134"/>
      <c r="EDE33" s="134"/>
      <c r="EDH33" s="134"/>
      <c r="EDK33" s="134"/>
      <c r="EDN33" s="134"/>
      <c r="EDQ33" s="134"/>
      <c r="EDT33" s="134"/>
      <c r="EDW33" s="134"/>
      <c r="EDZ33" s="134"/>
      <c r="EEC33" s="134"/>
      <c r="EEF33" s="134"/>
      <c r="EEI33" s="134"/>
      <c r="EEL33" s="134"/>
      <c r="EEO33" s="134"/>
      <c r="EER33" s="134"/>
      <c r="EEU33" s="134"/>
      <c r="EEX33" s="134"/>
      <c r="EFA33" s="134"/>
      <c r="EFD33" s="134"/>
      <c r="EFG33" s="134"/>
      <c r="EFJ33" s="134"/>
      <c r="EFM33" s="134"/>
      <c r="EFP33" s="134"/>
      <c r="EFS33" s="134"/>
      <c r="EFV33" s="134"/>
      <c r="EFY33" s="134"/>
      <c r="EGB33" s="134"/>
      <c r="EGE33" s="134"/>
      <c r="EGH33" s="134"/>
      <c r="EGK33" s="134"/>
      <c r="EGN33" s="134"/>
      <c r="EGQ33" s="134"/>
      <c r="EGT33" s="134"/>
      <c r="EGW33" s="134"/>
      <c r="EGZ33" s="134"/>
      <c r="EHC33" s="134"/>
      <c r="EHF33" s="134"/>
      <c r="EHI33" s="134"/>
      <c r="EHL33" s="134"/>
      <c r="EHO33" s="134"/>
      <c r="EHR33" s="134"/>
      <c r="EHU33" s="134"/>
      <c r="EHX33" s="134"/>
      <c r="EIA33" s="134"/>
      <c r="EID33" s="134"/>
      <c r="EIG33" s="134"/>
      <c r="EIJ33" s="134"/>
      <c r="EIM33" s="134"/>
      <c r="EIP33" s="134"/>
      <c r="EIS33" s="134"/>
      <c r="EIV33" s="134"/>
      <c r="EIY33" s="134"/>
      <c r="EJB33" s="134"/>
      <c r="EJE33" s="134"/>
      <c r="EJH33" s="134"/>
      <c r="EJK33" s="134"/>
      <c r="EJN33" s="134"/>
      <c r="EJQ33" s="134"/>
      <c r="EJT33" s="134"/>
      <c r="EJW33" s="134"/>
      <c r="EJZ33" s="134"/>
      <c r="EKC33" s="134"/>
      <c r="EKF33" s="134"/>
      <c r="EKI33" s="134"/>
      <c r="EKL33" s="134"/>
      <c r="EKO33" s="134"/>
      <c r="EKR33" s="134"/>
      <c r="EKU33" s="134"/>
      <c r="EKX33" s="134"/>
      <c r="ELA33" s="134"/>
      <c r="ELD33" s="134"/>
      <c r="ELG33" s="134"/>
      <c r="ELJ33" s="134"/>
      <c r="ELM33" s="134"/>
      <c r="ELP33" s="134"/>
      <c r="ELS33" s="134"/>
      <c r="ELV33" s="134"/>
      <c r="ELY33" s="134"/>
      <c r="EMB33" s="134"/>
      <c r="EME33" s="134"/>
      <c r="EMH33" s="134"/>
      <c r="EMK33" s="134"/>
      <c r="EMN33" s="134"/>
      <c r="EMQ33" s="134"/>
      <c r="EMT33" s="134"/>
      <c r="EMW33" s="134"/>
      <c r="EMZ33" s="134"/>
      <c r="ENC33" s="134"/>
      <c r="ENF33" s="134"/>
      <c r="ENI33" s="134"/>
      <c r="ENL33" s="134"/>
      <c r="ENO33" s="134"/>
      <c r="ENR33" s="134"/>
      <c r="ENU33" s="134"/>
      <c r="ENX33" s="134"/>
      <c r="EOA33" s="134"/>
      <c r="EOD33" s="134"/>
      <c r="EOG33" s="134"/>
      <c r="EOJ33" s="134"/>
      <c r="EOM33" s="134"/>
      <c r="EOP33" s="134"/>
      <c r="EOS33" s="134"/>
      <c r="EOV33" s="134"/>
      <c r="EOY33" s="134"/>
      <c r="EPB33" s="134"/>
      <c r="EPE33" s="134"/>
      <c r="EPH33" s="134"/>
      <c r="EPK33" s="134"/>
      <c r="EPN33" s="134"/>
      <c r="EPQ33" s="134"/>
      <c r="EPT33" s="134"/>
      <c r="EPW33" s="134"/>
      <c r="EPZ33" s="134"/>
      <c r="EQC33" s="134"/>
      <c r="EQF33" s="134"/>
      <c r="EQI33" s="134"/>
      <c r="EQL33" s="134"/>
      <c r="EQO33" s="134"/>
      <c r="EQR33" s="134"/>
      <c r="EQU33" s="134"/>
      <c r="EQX33" s="134"/>
      <c r="ERA33" s="134"/>
      <c r="ERD33" s="134"/>
      <c r="ERG33" s="134"/>
      <c r="ERJ33" s="134"/>
      <c r="ERM33" s="134"/>
      <c r="ERP33" s="134"/>
      <c r="ERS33" s="134"/>
      <c r="ERV33" s="134"/>
      <c r="ERY33" s="134"/>
      <c r="ESB33" s="134"/>
      <c r="ESE33" s="134"/>
      <c r="ESH33" s="134"/>
      <c r="ESK33" s="134"/>
      <c r="ESN33" s="134"/>
      <c r="ESQ33" s="134"/>
      <c r="EST33" s="134"/>
      <c r="ESW33" s="134"/>
      <c r="ESZ33" s="134"/>
      <c r="ETC33" s="134"/>
      <c r="ETF33" s="134"/>
      <c r="ETI33" s="134"/>
      <c r="ETL33" s="134"/>
      <c r="ETO33" s="134"/>
      <c r="ETR33" s="134"/>
      <c r="ETU33" s="134"/>
      <c r="ETX33" s="134"/>
      <c r="EUA33" s="134"/>
      <c r="EUD33" s="134"/>
      <c r="EUG33" s="134"/>
      <c r="EUJ33" s="134"/>
      <c r="EUM33" s="134"/>
      <c r="EUP33" s="134"/>
      <c r="EUS33" s="134"/>
      <c r="EUV33" s="134"/>
      <c r="EUY33" s="134"/>
      <c r="EVB33" s="134"/>
      <c r="EVE33" s="134"/>
      <c r="EVH33" s="134"/>
      <c r="EVK33" s="134"/>
      <c r="EVN33" s="134"/>
      <c r="EVQ33" s="134"/>
      <c r="EVT33" s="134"/>
      <c r="EVW33" s="134"/>
      <c r="EVZ33" s="134"/>
      <c r="EWC33" s="134"/>
      <c r="EWF33" s="134"/>
      <c r="EWI33" s="134"/>
      <c r="EWL33" s="134"/>
      <c r="EWO33" s="134"/>
      <c r="EWR33" s="134"/>
      <c r="EWU33" s="134"/>
      <c r="EWX33" s="134"/>
      <c r="EXA33" s="134"/>
      <c r="EXD33" s="134"/>
      <c r="EXG33" s="134"/>
      <c r="EXJ33" s="134"/>
      <c r="EXM33" s="134"/>
      <c r="EXP33" s="134"/>
      <c r="EXS33" s="134"/>
      <c r="EXV33" s="134"/>
      <c r="EXY33" s="134"/>
      <c r="EYB33" s="134"/>
      <c r="EYE33" s="134"/>
      <c r="EYH33" s="134"/>
      <c r="EYK33" s="134"/>
      <c r="EYN33" s="134"/>
      <c r="EYQ33" s="134"/>
      <c r="EYT33" s="134"/>
      <c r="EYW33" s="134"/>
      <c r="EYZ33" s="134"/>
      <c r="EZC33" s="134"/>
      <c r="EZF33" s="134"/>
      <c r="EZI33" s="134"/>
      <c r="EZL33" s="134"/>
      <c r="EZO33" s="134"/>
      <c r="EZR33" s="134"/>
      <c r="EZU33" s="134"/>
      <c r="EZX33" s="134"/>
      <c r="FAA33" s="134"/>
      <c r="FAD33" s="134"/>
      <c r="FAG33" s="134"/>
      <c r="FAJ33" s="134"/>
      <c r="FAM33" s="134"/>
      <c r="FAP33" s="134"/>
      <c r="FAS33" s="134"/>
      <c r="FAV33" s="134"/>
      <c r="FAY33" s="134"/>
      <c r="FBB33" s="134"/>
      <c r="FBE33" s="134"/>
      <c r="FBH33" s="134"/>
      <c r="FBK33" s="134"/>
      <c r="FBN33" s="134"/>
      <c r="FBQ33" s="134"/>
      <c r="FBT33" s="134"/>
      <c r="FBW33" s="134"/>
      <c r="FBZ33" s="134"/>
      <c r="FCC33" s="134"/>
      <c r="FCF33" s="134"/>
      <c r="FCI33" s="134"/>
      <c r="FCL33" s="134"/>
      <c r="FCO33" s="134"/>
      <c r="FCR33" s="134"/>
      <c r="FCU33" s="134"/>
      <c r="FCX33" s="134"/>
      <c r="FDA33" s="134"/>
      <c r="FDD33" s="134"/>
      <c r="FDG33" s="134"/>
      <c r="FDJ33" s="134"/>
      <c r="FDM33" s="134"/>
      <c r="FDP33" s="134"/>
      <c r="FDS33" s="134"/>
      <c r="FDV33" s="134"/>
      <c r="FDY33" s="134"/>
      <c r="FEB33" s="134"/>
      <c r="FEE33" s="134"/>
      <c r="FEH33" s="134"/>
      <c r="FEK33" s="134"/>
      <c r="FEN33" s="134"/>
      <c r="FEQ33" s="134"/>
      <c r="FET33" s="134"/>
      <c r="FEW33" s="134"/>
      <c r="FEZ33" s="134"/>
      <c r="FFC33" s="134"/>
      <c r="FFF33" s="134"/>
      <c r="FFI33" s="134"/>
      <c r="FFL33" s="134"/>
      <c r="FFO33" s="134"/>
      <c r="FFR33" s="134"/>
      <c r="FFU33" s="134"/>
      <c r="FFX33" s="134"/>
      <c r="FGA33" s="134"/>
      <c r="FGD33" s="134"/>
      <c r="FGG33" s="134"/>
      <c r="FGJ33" s="134"/>
      <c r="FGM33" s="134"/>
      <c r="FGP33" s="134"/>
      <c r="FGS33" s="134"/>
      <c r="FGV33" s="134"/>
      <c r="FGY33" s="134"/>
      <c r="FHB33" s="134"/>
      <c r="FHE33" s="134"/>
      <c r="FHH33" s="134"/>
      <c r="FHK33" s="134"/>
      <c r="FHN33" s="134"/>
      <c r="FHQ33" s="134"/>
      <c r="FHT33" s="134"/>
      <c r="FHW33" s="134"/>
      <c r="FHZ33" s="134"/>
      <c r="FIC33" s="134"/>
      <c r="FIF33" s="134"/>
      <c r="FII33" s="134"/>
      <c r="FIL33" s="134"/>
      <c r="FIO33" s="134"/>
      <c r="FIR33" s="134"/>
      <c r="FIU33" s="134"/>
      <c r="FIX33" s="134"/>
      <c r="FJA33" s="134"/>
      <c r="FJD33" s="134"/>
      <c r="FJG33" s="134"/>
      <c r="FJJ33" s="134"/>
      <c r="FJM33" s="134"/>
      <c r="FJP33" s="134"/>
      <c r="FJS33" s="134"/>
      <c r="FJV33" s="134"/>
      <c r="FJY33" s="134"/>
      <c r="FKB33" s="134"/>
      <c r="FKE33" s="134"/>
      <c r="FKH33" s="134"/>
      <c r="FKK33" s="134"/>
      <c r="FKN33" s="134"/>
      <c r="FKQ33" s="134"/>
      <c r="FKT33" s="134"/>
      <c r="FKW33" s="134"/>
      <c r="FKZ33" s="134"/>
      <c r="FLC33" s="134"/>
      <c r="FLF33" s="134"/>
      <c r="FLI33" s="134"/>
      <c r="FLL33" s="134"/>
      <c r="FLO33" s="134"/>
      <c r="FLR33" s="134"/>
      <c r="FLU33" s="134"/>
      <c r="FLX33" s="134"/>
      <c r="FMA33" s="134"/>
      <c r="FMD33" s="134"/>
      <c r="FMG33" s="134"/>
      <c r="FMJ33" s="134"/>
      <c r="FMM33" s="134"/>
      <c r="FMP33" s="134"/>
      <c r="FMS33" s="134"/>
      <c r="FMV33" s="134"/>
      <c r="FMY33" s="134"/>
      <c r="FNB33" s="134"/>
      <c r="FNE33" s="134"/>
      <c r="FNH33" s="134"/>
      <c r="FNK33" s="134"/>
      <c r="FNN33" s="134"/>
      <c r="FNQ33" s="134"/>
      <c r="FNT33" s="134"/>
      <c r="FNW33" s="134"/>
      <c r="FNZ33" s="134"/>
      <c r="FOC33" s="134"/>
      <c r="FOF33" s="134"/>
      <c r="FOI33" s="134"/>
      <c r="FOL33" s="134"/>
      <c r="FOO33" s="134"/>
      <c r="FOR33" s="134"/>
      <c r="FOU33" s="134"/>
      <c r="FOX33" s="134"/>
      <c r="FPA33" s="134"/>
      <c r="FPD33" s="134"/>
      <c r="FPG33" s="134"/>
      <c r="FPJ33" s="134"/>
      <c r="FPM33" s="134"/>
      <c r="FPP33" s="134"/>
      <c r="FPS33" s="134"/>
      <c r="FPV33" s="134"/>
      <c r="FPY33" s="134"/>
      <c r="FQB33" s="134"/>
      <c r="FQE33" s="134"/>
      <c r="FQH33" s="134"/>
      <c r="FQK33" s="134"/>
      <c r="FQN33" s="134"/>
      <c r="FQQ33" s="134"/>
      <c r="FQT33" s="134"/>
      <c r="FQW33" s="134"/>
      <c r="FQZ33" s="134"/>
      <c r="FRC33" s="134"/>
      <c r="FRF33" s="134"/>
      <c r="FRI33" s="134"/>
      <c r="FRL33" s="134"/>
      <c r="FRO33" s="134"/>
      <c r="FRR33" s="134"/>
      <c r="FRU33" s="134"/>
      <c r="FRX33" s="134"/>
      <c r="FSA33" s="134"/>
      <c r="FSD33" s="134"/>
      <c r="FSG33" s="134"/>
      <c r="FSJ33" s="134"/>
      <c r="FSM33" s="134"/>
      <c r="FSP33" s="134"/>
      <c r="FSS33" s="134"/>
      <c r="FSV33" s="134"/>
      <c r="FSY33" s="134"/>
      <c r="FTB33" s="134"/>
      <c r="FTE33" s="134"/>
      <c r="FTH33" s="134"/>
      <c r="FTK33" s="134"/>
      <c r="FTN33" s="134"/>
      <c r="FTQ33" s="134"/>
      <c r="FTT33" s="134"/>
      <c r="FTW33" s="134"/>
      <c r="FTZ33" s="134"/>
      <c r="FUC33" s="134"/>
      <c r="FUF33" s="134"/>
      <c r="FUI33" s="134"/>
      <c r="FUL33" s="134"/>
      <c r="FUO33" s="134"/>
      <c r="FUR33" s="134"/>
      <c r="FUU33" s="134"/>
      <c r="FUX33" s="134"/>
      <c r="FVA33" s="134"/>
      <c r="FVD33" s="134"/>
      <c r="FVG33" s="134"/>
      <c r="FVJ33" s="134"/>
      <c r="FVM33" s="134"/>
      <c r="FVP33" s="134"/>
      <c r="FVS33" s="134"/>
      <c r="FVV33" s="134"/>
      <c r="FVY33" s="134"/>
      <c r="FWB33" s="134"/>
      <c r="FWE33" s="134"/>
      <c r="FWH33" s="134"/>
      <c r="FWK33" s="134"/>
      <c r="FWN33" s="134"/>
      <c r="FWQ33" s="134"/>
      <c r="FWT33" s="134"/>
      <c r="FWW33" s="134"/>
      <c r="FWZ33" s="134"/>
      <c r="FXC33" s="134"/>
      <c r="FXF33" s="134"/>
      <c r="FXI33" s="134"/>
      <c r="FXL33" s="134"/>
      <c r="FXO33" s="134"/>
      <c r="FXR33" s="134"/>
      <c r="FXU33" s="134"/>
      <c r="FXX33" s="134"/>
      <c r="FYA33" s="134"/>
      <c r="FYD33" s="134"/>
      <c r="FYG33" s="134"/>
      <c r="FYJ33" s="134"/>
      <c r="FYM33" s="134"/>
      <c r="FYP33" s="134"/>
      <c r="FYS33" s="134"/>
      <c r="FYV33" s="134"/>
      <c r="FYY33" s="134"/>
      <c r="FZB33" s="134"/>
      <c r="FZE33" s="134"/>
      <c r="FZH33" s="134"/>
      <c r="FZK33" s="134"/>
      <c r="FZN33" s="134"/>
      <c r="FZQ33" s="134"/>
      <c r="FZT33" s="134"/>
      <c r="FZW33" s="134"/>
      <c r="FZZ33" s="134"/>
      <c r="GAC33" s="134"/>
      <c r="GAF33" s="134"/>
      <c r="GAI33" s="134"/>
      <c r="GAL33" s="134"/>
      <c r="GAO33" s="134"/>
      <c r="GAR33" s="134"/>
      <c r="GAU33" s="134"/>
      <c r="GAX33" s="134"/>
      <c r="GBA33" s="134"/>
      <c r="GBD33" s="134"/>
      <c r="GBG33" s="134"/>
      <c r="GBJ33" s="134"/>
      <c r="GBM33" s="134"/>
      <c r="GBP33" s="134"/>
      <c r="GBS33" s="134"/>
      <c r="GBV33" s="134"/>
      <c r="GBY33" s="134"/>
      <c r="GCB33" s="134"/>
      <c r="GCE33" s="134"/>
      <c r="GCH33" s="134"/>
      <c r="GCK33" s="134"/>
      <c r="GCN33" s="134"/>
      <c r="GCQ33" s="134"/>
      <c r="GCT33" s="134"/>
      <c r="GCW33" s="134"/>
      <c r="GCZ33" s="134"/>
      <c r="GDC33" s="134"/>
      <c r="GDF33" s="134"/>
      <c r="GDI33" s="134"/>
      <c r="GDL33" s="134"/>
      <c r="GDO33" s="134"/>
      <c r="GDR33" s="134"/>
      <c r="GDU33" s="134"/>
      <c r="GDX33" s="134"/>
      <c r="GEA33" s="134"/>
      <c r="GED33" s="134"/>
      <c r="GEG33" s="134"/>
      <c r="GEJ33" s="134"/>
      <c r="GEM33" s="134"/>
      <c r="GEP33" s="134"/>
      <c r="GES33" s="134"/>
      <c r="GEV33" s="134"/>
      <c r="GEY33" s="134"/>
      <c r="GFB33" s="134"/>
      <c r="GFE33" s="134"/>
      <c r="GFH33" s="134"/>
      <c r="GFK33" s="134"/>
      <c r="GFN33" s="134"/>
      <c r="GFQ33" s="134"/>
      <c r="GFT33" s="134"/>
      <c r="GFW33" s="134"/>
      <c r="GFZ33" s="134"/>
      <c r="GGC33" s="134"/>
      <c r="GGF33" s="134"/>
      <c r="GGI33" s="134"/>
      <c r="GGL33" s="134"/>
      <c r="GGO33" s="134"/>
      <c r="GGR33" s="134"/>
      <c r="GGU33" s="134"/>
      <c r="GGX33" s="134"/>
      <c r="GHA33" s="134"/>
      <c r="GHD33" s="134"/>
      <c r="GHG33" s="134"/>
      <c r="GHJ33" s="134"/>
      <c r="GHM33" s="134"/>
      <c r="GHP33" s="134"/>
      <c r="GHS33" s="134"/>
      <c r="GHV33" s="134"/>
      <c r="GHY33" s="134"/>
      <c r="GIB33" s="134"/>
      <c r="GIE33" s="134"/>
      <c r="GIH33" s="134"/>
      <c r="GIK33" s="134"/>
      <c r="GIN33" s="134"/>
      <c r="GIQ33" s="134"/>
      <c r="GIT33" s="134"/>
      <c r="GIW33" s="134"/>
      <c r="GIZ33" s="134"/>
      <c r="GJC33" s="134"/>
      <c r="GJF33" s="134"/>
      <c r="GJI33" s="134"/>
      <c r="GJL33" s="134"/>
      <c r="GJO33" s="134"/>
      <c r="GJR33" s="134"/>
      <c r="GJU33" s="134"/>
      <c r="GJX33" s="134"/>
      <c r="GKA33" s="134"/>
      <c r="GKD33" s="134"/>
      <c r="GKG33" s="134"/>
      <c r="GKJ33" s="134"/>
      <c r="GKM33" s="134"/>
      <c r="GKP33" s="134"/>
      <c r="GKS33" s="134"/>
      <c r="GKV33" s="134"/>
      <c r="GKY33" s="134"/>
      <c r="GLB33" s="134"/>
      <c r="GLE33" s="134"/>
      <c r="GLH33" s="134"/>
      <c r="GLK33" s="134"/>
      <c r="GLN33" s="134"/>
      <c r="GLQ33" s="134"/>
      <c r="GLT33" s="134"/>
      <c r="GLW33" s="134"/>
      <c r="GLZ33" s="134"/>
      <c r="GMC33" s="134"/>
      <c r="GMF33" s="134"/>
      <c r="GMI33" s="134"/>
      <c r="GML33" s="134"/>
      <c r="GMO33" s="134"/>
      <c r="GMR33" s="134"/>
      <c r="GMU33" s="134"/>
      <c r="GMX33" s="134"/>
      <c r="GNA33" s="134"/>
      <c r="GND33" s="134"/>
      <c r="GNG33" s="134"/>
      <c r="GNJ33" s="134"/>
      <c r="GNM33" s="134"/>
      <c r="GNP33" s="134"/>
      <c r="GNS33" s="134"/>
      <c r="GNV33" s="134"/>
      <c r="GNY33" s="134"/>
      <c r="GOB33" s="134"/>
      <c r="GOE33" s="134"/>
      <c r="GOH33" s="134"/>
      <c r="GOK33" s="134"/>
      <c r="GON33" s="134"/>
      <c r="GOQ33" s="134"/>
      <c r="GOT33" s="134"/>
      <c r="GOW33" s="134"/>
      <c r="GOZ33" s="134"/>
      <c r="GPC33" s="134"/>
      <c r="GPF33" s="134"/>
      <c r="GPI33" s="134"/>
      <c r="GPL33" s="134"/>
      <c r="GPO33" s="134"/>
      <c r="GPR33" s="134"/>
      <c r="GPU33" s="134"/>
      <c r="GPX33" s="134"/>
      <c r="GQA33" s="134"/>
      <c r="GQD33" s="134"/>
      <c r="GQG33" s="134"/>
      <c r="GQJ33" s="134"/>
      <c r="GQM33" s="134"/>
      <c r="GQP33" s="134"/>
      <c r="GQS33" s="134"/>
      <c r="GQV33" s="134"/>
      <c r="GQY33" s="134"/>
      <c r="GRB33" s="134"/>
      <c r="GRE33" s="134"/>
      <c r="GRH33" s="134"/>
      <c r="GRK33" s="134"/>
      <c r="GRN33" s="134"/>
      <c r="GRQ33" s="134"/>
      <c r="GRT33" s="134"/>
      <c r="GRW33" s="134"/>
      <c r="GRZ33" s="134"/>
      <c r="GSC33" s="134"/>
      <c r="GSF33" s="134"/>
      <c r="GSI33" s="134"/>
      <c r="GSL33" s="134"/>
      <c r="GSO33" s="134"/>
      <c r="GSR33" s="134"/>
      <c r="GSU33" s="134"/>
      <c r="GSX33" s="134"/>
      <c r="GTA33" s="134"/>
      <c r="GTD33" s="134"/>
      <c r="GTG33" s="134"/>
      <c r="GTJ33" s="134"/>
      <c r="GTM33" s="134"/>
      <c r="GTP33" s="134"/>
      <c r="GTS33" s="134"/>
      <c r="GTV33" s="134"/>
      <c r="GTY33" s="134"/>
      <c r="GUB33" s="134"/>
      <c r="GUE33" s="134"/>
      <c r="GUH33" s="134"/>
      <c r="GUK33" s="134"/>
      <c r="GUN33" s="134"/>
      <c r="GUQ33" s="134"/>
      <c r="GUT33" s="134"/>
      <c r="GUW33" s="134"/>
      <c r="GUZ33" s="134"/>
      <c r="GVC33" s="134"/>
      <c r="GVF33" s="134"/>
      <c r="GVI33" s="134"/>
      <c r="GVL33" s="134"/>
      <c r="GVO33" s="134"/>
      <c r="GVR33" s="134"/>
      <c r="GVU33" s="134"/>
      <c r="GVX33" s="134"/>
      <c r="GWA33" s="134"/>
      <c r="GWD33" s="134"/>
      <c r="GWG33" s="134"/>
      <c r="GWJ33" s="134"/>
      <c r="GWM33" s="134"/>
      <c r="GWP33" s="134"/>
      <c r="GWS33" s="134"/>
      <c r="GWV33" s="134"/>
      <c r="GWY33" s="134"/>
      <c r="GXB33" s="134"/>
      <c r="GXE33" s="134"/>
      <c r="GXH33" s="134"/>
      <c r="GXK33" s="134"/>
      <c r="GXN33" s="134"/>
      <c r="GXQ33" s="134"/>
      <c r="GXT33" s="134"/>
      <c r="GXW33" s="134"/>
      <c r="GXZ33" s="134"/>
      <c r="GYC33" s="134"/>
      <c r="GYF33" s="134"/>
      <c r="GYI33" s="134"/>
      <c r="GYL33" s="134"/>
      <c r="GYO33" s="134"/>
      <c r="GYR33" s="134"/>
      <c r="GYU33" s="134"/>
      <c r="GYX33" s="134"/>
      <c r="GZA33" s="134"/>
      <c r="GZD33" s="134"/>
      <c r="GZG33" s="134"/>
      <c r="GZJ33" s="134"/>
      <c r="GZM33" s="134"/>
      <c r="GZP33" s="134"/>
      <c r="GZS33" s="134"/>
      <c r="GZV33" s="134"/>
      <c r="GZY33" s="134"/>
      <c r="HAB33" s="134"/>
      <c r="HAE33" s="134"/>
      <c r="HAH33" s="134"/>
      <c r="HAK33" s="134"/>
      <c r="HAN33" s="134"/>
      <c r="HAQ33" s="134"/>
      <c r="HAT33" s="134"/>
      <c r="HAW33" s="134"/>
      <c r="HAZ33" s="134"/>
      <c r="HBC33" s="134"/>
      <c r="HBF33" s="134"/>
      <c r="HBI33" s="134"/>
      <c r="HBL33" s="134"/>
      <c r="HBO33" s="134"/>
      <c r="HBR33" s="134"/>
      <c r="HBU33" s="134"/>
      <c r="HBX33" s="134"/>
      <c r="HCA33" s="134"/>
      <c r="HCD33" s="134"/>
      <c r="HCG33" s="134"/>
      <c r="HCJ33" s="134"/>
      <c r="HCM33" s="134"/>
      <c r="HCP33" s="134"/>
      <c r="HCS33" s="134"/>
      <c r="HCV33" s="134"/>
      <c r="HCY33" s="134"/>
      <c r="HDB33" s="134"/>
      <c r="HDE33" s="134"/>
      <c r="HDH33" s="134"/>
      <c r="HDK33" s="134"/>
      <c r="HDN33" s="134"/>
      <c r="HDQ33" s="134"/>
      <c r="HDT33" s="134"/>
      <c r="HDW33" s="134"/>
      <c r="HDZ33" s="134"/>
      <c r="HEC33" s="134"/>
      <c r="HEF33" s="134"/>
      <c r="HEI33" s="134"/>
      <c r="HEL33" s="134"/>
      <c r="HEO33" s="134"/>
      <c r="HER33" s="134"/>
      <c r="HEU33" s="134"/>
      <c r="HEX33" s="134"/>
      <c r="HFA33" s="134"/>
      <c r="HFD33" s="134"/>
      <c r="HFG33" s="134"/>
      <c r="HFJ33" s="134"/>
      <c r="HFM33" s="134"/>
      <c r="HFP33" s="134"/>
      <c r="HFS33" s="134"/>
      <c r="HFV33" s="134"/>
      <c r="HFY33" s="134"/>
      <c r="HGB33" s="134"/>
      <c r="HGE33" s="134"/>
      <c r="HGH33" s="134"/>
      <c r="HGK33" s="134"/>
      <c r="HGN33" s="134"/>
      <c r="HGQ33" s="134"/>
      <c r="HGT33" s="134"/>
      <c r="HGW33" s="134"/>
      <c r="HGZ33" s="134"/>
      <c r="HHC33" s="134"/>
      <c r="HHF33" s="134"/>
      <c r="HHI33" s="134"/>
      <c r="HHL33" s="134"/>
      <c r="HHO33" s="134"/>
      <c r="HHR33" s="134"/>
      <c r="HHU33" s="134"/>
      <c r="HHX33" s="134"/>
      <c r="HIA33" s="134"/>
      <c r="HID33" s="134"/>
      <c r="HIG33" s="134"/>
      <c r="HIJ33" s="134"/>
      <c r="HIM33" s="134"/>
      <c r="HIP33" s="134"/>
      <c r="HIS33" s="134"/>
      <c r="HIV33" s="134"/>
      <c r="HIY33" s="134"/>
      <c r="HJB33" s="134"/>
      <c r="HJE33" s="134"/>
      <c r="HJH33" s="134"/>
      <c r="HJK33" s="134"/>
      <c r="HJN33" s="134"/>
      <c r="HJQ33" s="134"/>
      <c r="HJT33" s="134"/>
      <c r="HJW33" s="134"/>
      <c r="HJZ33" s="134"/>
      <c r="HKC33" s="134"/>
      <c r="HKF33" s="134"/>
      <c r="HKI33" s="134"/>
      <c r="HKL33" s="134"/>
      <c r="HKO33" s="134"/>
      <c r="HKR33" s="134"/>
      <c r="HKU33" s="134"/>
      <c r="HKX33" s="134"/>
      <c r="HLA33" s="134"/>
      <c r="HLD33" s="134"/>
      <c r="HLG33" s="134"/>
      <c r="HLJ33" s="134"/>
      <c r="HLM33" s="134"/>
      <c r="HLP33" s="134"/>
      <c r="HLS33" s="134"/>
      <c r="HLV33" s="134"/>
      <c r="HLY33" s="134"/>
      <c r="HMB33" s="134"/>
      <c r="HME33" s="134"/>
      <c r="HMH33" s="134"/>
      <c r="HMK33" s="134"/>
      <c r="HMN33" s="134"/>
      <c r="HMQ33" s="134"/>
      <c r="HMT33" s="134"/>
      <c r="HMW33" s="134"/>
      <c r="HMZ33" s="134"/>
      <c r="HNC33" s="134"/>
      <c r="HNF33" s="134"/>
      <c r="HNI33" s="134"/>
      <c r="HNL33" s="134"/>
      <c r="HNO33" s="134"/>
      <c r="HNR33" s="134"/>
      <c r="HNU33" s="134"/>
      <c r="HNX33" s="134"/>
      <c r="HOA33" s="134"/>
      <c r="HOD33" s="134"/>
      <c r="HOG33" s="134"/>
      <c r="HOJ33" s="134"/>
      <c r="HOM33" s="134"/>
      <c r="HOP33" s="134"/>
      <c r="HOS33" s="134"/>
      <c r="HOV33" s="134"/>
      <c r="HOY33" s="134"/>
      <c r="HPB33" s="134"/>
      <c r="HPE33" s="134"/>
      <c r="HPH33" s="134"/>
      <c r="HPK33" s="134"/>
      <c r="HPN33" s="134"/>
      <c r="HPQ33" s="134"/>
      <c r="HPT33" s="134"/>
      <c r="HPW33" s="134"/>
      <c r="HPZ33" s="134"/>
      <c r="HQC33" s="134"/>
      <c r="HQF33" s="134"/>
      <c r="HQI33" s="134"/>
      <c r="HQL33" s="134"/>
      <c r="HQO33" s="134"/>
      <c r="HQR33" s="134"/>
      <c r="HQU33" s="134"/>
      <c r="HQX33" s="134"/>
      <c r="HRA33" s="134"/>
      <c r="HRD33" s="134"/>
      <c r="HRG33" s="134"/>
      <c r="HRJ33" s="134"/>
      <c r="HRM33" s="134"/>
      <c r="HRP33" s="134"/>
      <c r="HRS33" s="134"/>
      <c r="HRV33" s="134"/>
      <c r="HRY33" s="134"/>
      <c r="HSB33" s="134"/>
      <c r="HSE33" s="134"/>
      <c r="HSH33" s="134"/>
      <c r="HSK33" s="134"/>
      <c r="HSN33" s="134"/>
      <c r="HSQ33" s="134"/>
      <c r="HST33" s="134"/>
      <c r="HSW33" s="134"/>
      <c r="HSZ33" s="134"/>
      <c r="HTC33" s="134"/>
      <c r="HTF33" s="134"/>
      <c r="HTI33" s="134"/>
      <c r="HTL33" s="134"/>
      <c r="HTO33" s="134"/>
      <c r="HTR33" s="134"/>
      <c r="HTU33" s="134"/>
      <c r="HTX33" s="134"/>
      <c r="HUA33" s="134"/>
      <c r="HUD33" s="134"/>
      <c r="HUG33" s="134"/>
      <c r="HUJ33" s="134"/>
      <c r="HUM33" s="134"/>
      <c r="HUP33" s="134"/>
      <c r="HUS33" s="134"/>
      <c r="HUV33" s="134"/>
      <c r="HUY33" s="134"/>
      <c r="HVB33" s="134"/>
      <c r="HVE33" s="134"/>
      <c r="HVH33" s="134"/>
      <c r="HVK33" s="134"/>
      <c r="HVN33" s="134"/>
      <c r="HVQ33" s="134"/>
      <c r="HVT33" s="134"/>
      <c r="HVW33" s="134"/>
      <c r="HVZ33" s="134"/>
      <c r="HWC33" s="134"/>
      <c r="HWF33" s="134"/>
      <c r="HWI33" s="134"/>
      <c r="HWL33" s="134"/>
      <c r="HWO33" s="134"/>
      <c r="HWR33" s="134"/>
      <c r="HWU33" s="134"/>
      <c r="HWX33" s="134"/>
      <c r="HXA33" s="134"/>
      <c r="HXD33" s="134"/>
      <c r="HXG33" s="134"/>
      <c r="HXJ33" s="134"/>
      <c r="HXM33" s="134"/>
      <c r="HXP33" s="134"/>
      <c r="HXS33" s="134"/>
      <c r="HXV33" s="134"/>
      <c r="HXY33" s="134"/>
      <c r="HYB33" s="134"/>
      <c r="HYE33" s="134"/>
      <c r="HYH33" s="134"/>
      <c r="HYK33" s="134"/>
      <c r="HYN33" s="134"/>
      <c r="HYQ33" s="134"/>
      <c r="HYT33" s="134"/>
      <c r="HYW33" s="134"/>
      <c r="HYZ33" s="134"/>
      <c r="HZC33" s="134"/>
      <c r="HZF33" s="134"/>
      <c r="HZI33" s="134"/>
      <c r="HZL33" s="134"/>
      <c r="HZO33" s="134"/>
      <c r="HZR33" s="134"/>
      <c r="HZU33" s="134"/>
      <c r="HZX33" s="134"/>
      <c r="IAA33" s="134"/>
      <c r="IAD33" s="134"/>
      <c r="IAG33" s="134"/>
      <c r="IAJ33" s="134"/>
      <c r="IAM33" s="134"/>
      <c r="IAP33" s="134"/>
      <c r="IAS33" s="134"/>
      <c r="IAV33" s="134"/>
      <c r="IAY33" s="134"/>
      <c r="IBB33" s="134"/>
      <c r="IBE33" s="134"/>
      <c r="IBH33" s="134"/>
      <c r="IBK33" s="134"/>
      <c r="IBN33" s="134"/>
      <c r="IBQ33" s="134"/>
      <c r="IBT33" s="134"/>
      <c r="IBW33" s="134"/>
      <c r="IBZ33" s="134"/>
      <c r="ICC33" s="134"/>
      <c r="ICF33" s="134"/>
      <c r="ICI33" s="134"/>
      <c r="ICL33" s="134"/>
      <c r="ICO33" s="134"/>
      <c r="ICR33" s="134"/>
      <c r="ICU33" s="134"/>
      <c r="ICX33" s="134"/>
      <c r="IDA33" s="134"/>
      <c r="IDD33" s="134"/>
      <c r="IDG33" s="134"/>
      <c r="IDJ33" s="134"/>
      <c r="IDM33" s="134"/>
      <c r="IDP33" s="134"/>
      <c r="IDS33" s="134"/>
      <c r="IDV33" s="134"/>
      <c r="IDY33" s="134"/>
      <c r="IEB33" s="134"/>
      <c r="IEE33" s="134"/>
      <c r="IEH33" s="134"/>
      <c r="IEK33" s="134"/>
      <c r="IEN33" s="134"/>
      <c r="IEQ33" s="134"/>
      <c r="IET33" s="134"/>
      <c r="IEW33" s="134"/>
      <c r="IEZ33" s="134"/>
      <c r="IFC33" s="134"/>
      <c r="IFF33" s="134"/>
      <c r="IFI33" s="134"/>
      <c r="IFL33" s="134"/>
      <c r="IFO33" s="134"/>
      <c r="IFR33" s="134"/>
      <c r="IFU33" s="134"/>
      <c r="IFX33" s="134"/>
      <c r="IGA33" s="134"/>
      <c r="IGD33" s="134"/>
      <c r="IGG33" s="134"/>
      <c r="IGJ33" s="134"/>
      <c r="IGM33" s="134"/>
      <c r="IGP33" s="134"/>
      <c r="IGS33" s="134"/>
      <c r="IGV33" s="134"/>
      <c r="IGY33" s="134"/>
      <c r="IHB33" s="134"/>
      <c r="IHE33" s="134"/>
      <c r="IHH33" s="134"/>
      <c r="IHK33" s="134"/>
      <c r="IHN33" s="134"/>
      <c r="IHQ33" s="134"/>
      <c r="IHT33" s="134"/>
      <c r="IHW33" s="134"/>
      <c r="IHZ33" s="134"/>
      <c r="IIC33" s="134"/>
      <c r="IIF33" s="134"/>
      <c r="III33" s="134"/>
      <c r="IIL33" s="134"/>
      <c r="IIO33" s="134"/>
      <c r="IIR33" s="134"/>
      <c r="IIU33" s="134"/>
      <c r="IIX33" s="134"/>
      <c r="IJA33" s="134"/>
      <c r="IJD33" s="134"/>
      <c r="IJG33" s="134"/>
      <c r="IJJ33" s="134"/>
      <c r="IJM33" s="134"/>
      <c r="IJP33" s="134"/>
      <c r="IJS33" s="134"/>
      <c r="IJV33" s="134"/>
      <c r="IJY33" s="134"/>
      <c r="IKB33" s="134"/>
      <c r="IKE33" s="134"/>
      <c r="IKH33" s="134"/>
      <c r="IKK33" s="134"/>
      <c r="IKN33" s="134"/>
      <c r="IKQ33" s="134"/>
      <c r="IKT33" s="134"/>
      <c r="IKW33" s="134"/>
      <c r="IKZ33" s="134"/>
      <c r="ILC33" s="134"/>
      <c r="ILF33" s="134"/>
      <c r="ILI33" s="134"/>
      <c r="ILL33" s="134"/>
      <c r="ILO33" s="134"/>
      <c r="ILR33" s="134"/>
      <c r="ILU33" s="134"/>
      <c r="ILX33" s="134"/>
      <c r="IMA33" s="134"/>
      <c r="IMD33" s="134"/>
      <c r="IMG33" s="134"/>
      <c r="IMJ33" s="134"/>
      <c r="IMM33" s="134"/>
      <c r="IMP33" s="134"/>
      <c r="IMS33" s="134"/>
      <c r="IMV33" s="134"/>
      <c r="IMY33" s="134"/>
      <c r="INB33" s="134"/>
      <c r="INE33" s="134"/>
      <c r="INH33" s="134"/>
      <c r="INK33" s="134"/>
      <c r="INN33" s="134"/>
      <c r="INQ33" s="134"/>
      <c r="INT33" s="134"/>
      <c r="INW33" s="134"/>
      <c r="INZ33" s="134"/>
      <c r="IOC33" s="134"/>
      <c r="IOF33" s="134"/>
      <c r="IOI33" s="134"/>
      <c r="IOL33" s="134"/>
      <c r="IOO33" s="134"/>
      <c r="IOR33" s="134"/>
      <c r="IOU33" s="134"/>
      <c r="IOX33" s="134"/>
      <c r="IPA33" s="134"/>
      <c r="IPD33" s="134"/>
      <c r="IPG33" s="134"/>
      <c r="IPJ33" s="134"/>
      <c r="IPM33" s="134"/>
      <c r="IPP33" s="134"/>
      <c r="IPS33" s="134"/>
      <c r="IPV33" s="134"/>
      <c r="IPY33" s="134"/>
      <c r="IQB33" s="134"/>
      <c r="IQE33" s="134"/>
      <c r="IQH33" s="134"/>
      <c r="IQK33" s="134"/>
      <c r="IQN33" s="134"/>
      <c r="IQQ33" s="134"/>
      <c r="IQT33" s="134"/>
      <c r="IQW33" s="134"/>
      <c r="IQZ33" s="134"/>
      <c r="IRC33" s="134"/>
      <c r="IRF33" s="134"/>
      <c r="IRI33" s="134"/>
      <c r="IRL33" s="134"/>
      <c r="IRO33" s="134"/>
      <c r="IRR33" s="134"/>
      <c r="IRU33" s="134"/>
      <c r="IRX33" s="134"/>
      <c r="ISA33" s="134"/>
      <c r="ISD33" s="134"/>
      <c r="ISG33" s="134"/>
      <c r="ISJ33" s="134"/>
      <c r="ISM33" s="134"/>
      <c r="ISP33" s="134"/>
      <c r="ISS33" s="134"/>
      <c r="ISV33" s="134"/>
      <c r="ISY33" s="134"/>
      <c r="ITB33" s="134"/>
      <c r="ITE33" s="134"/>
      <c r="ITH33" s="134"/>
      <c r="ITK33" s="134"/>
      <c r="ITN33" s="134"/>
      <c r="ITQ33" s="134"/>
      <c r="ITT33" s="134"/>
      <c r="ITW33" s="134"/>
      <c r="ITZ33" s="134"/>
      <c r="IUC33" s="134"/>
      <c r="IUF33" s="134"/>
      <c r="IUI33" s="134"/>
      <c r="IUL33" s="134"/>
      <c r="IUO33" s="134"/>
      <c r="IUR33" s="134"/>
      <c r="IUU33" s="134"/>
      <c r="IUX33" s="134"/>
      <c r="IVA33" s="134"/>
      <c r="IVD33" s="134"/>
      <c r="IVG33" s="134"/>
      <c r="IVJ33" s="134"/>
      <c r="IVM33" s="134"/>
      <c r="IVP33" s="134"/>
      <c r="IVS33" s="134"/>
      <c r="IVV33" s="134"/>
      <c r="IVY33" s="134"/>
      <c r="IWB33" s="134"/>
      <c r="IWE33" s="134"/>
      <c r="IWH33" s="134"/>
      <c r="IWK33" s="134"/>
      <c r="IWN33" s="134"/>
      <c r="IWQ33" s="134"/>
      <c r="IWT33" s="134"/>
      <c r="IWW33" s="134"/>
      <c r="IWZ33" s="134"/>
      <c r="IXC33" s="134"/>
      <c r="IXF33" s="134"/>
      <c r="IXI33" s="134"/>
      <c r="IXL33" s="134"/>
      <c r="IXO33" s="134"/>
      <c r="IXR33" s="134"/>
      <c r="IXU33" s="134"/>
      <c r="IXX33" s="134"/>
      <c r="IYA33" s="134"/>
      <c r="IYD33" s="134"/>
      <c r="IYG33" s="134"/>
      <c r="IYJ33" s="134"/>
      <c r="IYM33" s="134"/>
      <c r="IYP33" s="134"/>
      <c r="IYS33" s="134"/>
      <c r="IYV33" s="134"/>
      <c r="IYY33" s="134"/>
      <c r="IZB33" s="134"/>
      <c r="IZE33" s="134"/>
      <c r="IZH33" s="134"/>
      <c r="IZK33" s="134"/>
      <c r="IZN33" s="134"/>
      <c r="IZQ33" s="134"/>
      <c r="IZT33" s="134"/>
      <c r="IZW33" s="134"/>
      <c r="IZZ33" s="134"/>
      <c r="JAC33" s="134"/>
      <c r="JAF33" s="134"/>
      <c r="JAI33" s="134"/>
      <c r="JAL33" s="134"/>
      <c r="JAO33" s="134"/>
      <c r="JAR33" s="134"/>
      <c r="JAU33" s="134"/>
      <c r="JAX33" s="134"/>
      <c r="JBA33" s="134"/>
      <c r="JBD33" s="134"/>
      <c r="JBG33" s="134"/>
      <c r="JBJ33" s="134"/>
      <c r="JBM33" s="134"/>
      <c r="JBP33" s="134"/>
      <c r="JBS33" s="134"/>
      <c r="JBV33" s="134"/>
      <c r="JBY33" s="134"/>
      <c r="JCB33" s="134"/>
      <c r="JCE33" s="134"/>
      <c r="JCH33" s="134"/>
      <c r="JCK33" s="134"/>
      <c r="JCN33" s="134"/>
      <c r="JCQ33" s="134"/>
      <c r="JCT33" s="134"/>
      <c r="JCW33" s="134"/>
      <c r="JCZ33" s="134"/>
      <c r="JDC33" s="134"/>
      <c r="JDF33" s="134"/>
      <c r="JDI33" s="134"/>
      <c r="JDL33" s="134"/>
      <c r="JDO33" s="134"/>
      <c r="JDR33" s="134"/>
      <c r="JDU33" s="134"/>
      <c r="JDX33" s="134"/>
      <c r="JEA33" s="134"/>
      <c r="JED33" s="134"/>
      <c r="JEG33" s="134"/>
      <c r="JEJ33" s="134"/>
      <c r="JEM33" s="134"/>
      <c r="JEP33" s="134"/>
      <c r="JES33" s="134"/>
      <c r="JEV33" s="134"/>
      <c r="JEY33" s="134"/>
      <c r="JFB33" s="134"/>
      <c r="JFE33" s="134"/>
      <c r="JFH33" s="134"/>
      <c r="JFK33" s="134"/>
      <c r="JFN33" s="134"/>
      <c r="JFQ33" s="134"/>
      <c r="JFT33" s="134"/>
      <c r="JFW33" s="134"/>
      <c r="JFZ33" s="134"/>
      <c r="JGC33" s="134"/>
      <c r="JGF33" s="134"/>
      <c r="JGI33" s="134"/>
      <c r="JGL33" s="134"/>
      <c r="JGO33" s="134"/>
      <c r="JGR33" s="134"/>
      <c r="JGU33" s="134"/>
      <c r="JGX33" s="134"/>
      <c r="JHA33" s="134"/>
      <c r="JHD33" s="134"/>
      <c r="JHG33" s="134"/>
      <c r="JHJ33" s="134"/>
      <c r="JHM33" s="134"/>
      <c r="JHP33" s="134"/>
      <c r="JHS33" s="134"/>
      <c r="JHV33" s="134"/>
      <c r="JHY33" s="134"/>
      <c r="JIB33" s="134"/>
      <c r="JIE33" s="134"/>
      <c r="JIH33" s="134"/>
      <c r="JIK33" s="134"/>
      <c r="JIN33" s="134"/>
      <c r="JIQ33" s="134"/>
      <c r="JIT33" s="134"/>
      <c r="JIW33" s="134"/>
      <c r="JIZ33" s="134"/>
      <c r="JJC33" s="134"/>
      <c r="JJF33" s="134"/>
      <c r="JJI33" s="134"/>
      <c r="JJL33" s="134"/>
      <c r="JJO33" s="134"/>
      <c r="JJR33" s="134"/>
      <c r="JJU33" s="134"/>
      <c r="JJX33" s="134"/>
      <c r="JKA33" s="134"/>
      <c r="JKD33" s="134"/>
      <c r="JKG33" s="134"/>
      <c r="JKJ33" s="134"/>
      <c r="JKM33" s="134"/>
      <c r="JKP33" s="134"/>
      <c r="JKS33" s="134"/>
      <c r="JKV33" s="134"/>
      <c r="JKY33" s="134"/>
      <c r="JLB33" s="134"/>
      <c r="JLE33" s="134"/>
      <c r="JLH33" s="134"/>
      <c r="JLK33" s="134"/>
      <c r="JLN33" s="134"/>
      <c r="JLQ33" s="134"/>
      <c r="JLT33" s="134"/>
      <c r="JLW33" s="134"/>
      <c r="JLZ33" s="134"/>
      <c r="JMC33" s="134"/>
      <c r="JMF33" s="134"/>
      <c r="JMI33" s="134"/>
      <c r="JML33" s="134"/>
      <c r="JMO33" s="134"/>
      <c r="JMR33" s="134"/>
      <c r="JMU33" s="134"/>
      <c r="JMX33" s="134"/>
      <c r="JNA33" s="134"/>
      <c r="JND33" s="134"/>
      <c r="JNG33" s="134"/>
      <c r="JNJ33" s="134"/>
      <c r="JNM33" s="134"/>
      <c r="JNP33" s="134"/>
      <c r="JNS33" s="134"/>
      <c r="JNV33" s="134"/>
      <c r="JNY33" s="134"/>
      <c r="JOB33" s="134"/>
      <c r="JOE33" s="134"/>
      <c r="JOH33" s="134"/>
      <c r="JOK33" s="134"/>
      <c r="JON33" s="134"/>
      <c r="JOQ33" s="134"/>
      <c r="JOT33" s="134"/>
      <c r="JOW33" s="134"/>
      <c r="JOZ33" s="134"/>
      <c r="JPC33" s="134"/>
      <c r="JPF33" s="134"/>
      <c r="JPI33" s="134"/>
      <c r="JPL33" s="134"/>
      <c r="JPO33" s="134"/>
      <c r="JPR33" s="134"/>
      <c r="JPU33" s="134"/>
      <c r="JPX33" s="134"/>
      <c r="JQA33" s="134"/>
      <c r="JQD33" s="134"/>
      <c r="JQG33" s="134"/>
      <c r="JQJ33" s="134"/>
      <c r="JQM33" s="134"/>
      <c r="JQP33" s="134"/>
      <c r="JQS33" s="134"/>
      <c r="JQV33" s="134"/>
      <c r="JQY33" s="134"/>
      <c r="JRB33" s="134"/>
      <c r="JRE33" s="134"/>
      <c r="JRH33" s="134"/>
      <c r="JRK33" s="134"/>
      <c r="JRN33" s="134"/>
      <c r="JRQ33" s="134"/>
      <c r="JRT33" s="134"/>
      <c r="JRW33" s="134"/>
      <c r="JRZ33" s="134"/>
      <c r="JSC33" s="134"/>
      <c r="JSF33" s="134"/>
      <c r="JSI33" s="134"/>
      <c r="JSL33" s="134"/>
      <c r="JSO33" s="134"/>
      <c r="JSR33" s="134"/>
      <c r="JSU33" s="134"/>
      <c r="JSX33" s="134"/>
      <c r="JTA33" s="134"/>
      <c r="JTD33" s="134"/>
      <c r="JTG33" s="134"/>
      <c r="JTJ33" s="134"/>
      <c r="JTM33" s="134"/>
      <c r="JTP33" s="134"/>
      <c r="JTS33" s="134"/>
      <c r="JTV33" s="134"/>
      <c r="JTY33" s="134"/>
      <c r="JUB33" s="134"/>
      <c r="JUE33" s="134"/>
      <c r="JUH33" s="134"/>
      <c r="JUK33" s="134"/>
      <c r="JUN33" s="134"/>
      <c r="JUQ33" s="134"/>
      <c r="JUT33" s="134"/>
      <c r="JUW33" s="134"/>
      <c r="JUZ33" s="134"/>
      <c r="JVC33" s="134"/>
      <c r="JVF33" s="134"/>
      <c r="JVI33" s="134"/>
      <c r="JVL33" s="134"/>
      <c r="JVO33" s="134"/>
      <c r="JVR33" s="134"/>
      <c r="JVU33" s="134"/>
      <c r="JVX33" s="134"/>
      <c r="JWA33" s="134"/>
      <c r="JWD33" s="134"/>
      <c r="JWG33" s="134"/>
      <c r="JWJ33" s="134"/>
      <c r="JWM33" s="134"/>
      <c r="JWP33" s="134"/>
      <c r="JWS33" s="134"/>
      <c r="JWV33" s="134"/>
      <c r="JWY33" s="134"/>
      <c r="JXB33" s="134"/>
      <c r="JXE33" s="134"/>
      <c r="JXH33" s="134"/>
      <c r="JXK33" s="134"/>
      <c r="JXN33" s="134"/>
      <c r="JXQ33" s="134"/>
      <c r="JXT33" s="134"/>
      <c r="JXW33" s="134"/>
      <c r="JXZ33" s="134"/>
      <c r="JYC33" s="134"/>
      <c r="JYF33" s="134"/>
      <c r="JYI33" s="134"/>
      <c r="JYL33" s="134"/>
      <c r="JYO33" s="134"/>
      <c r="JYR33" s="134"/>
      <c r="JYU33" s="134"/>
      <c r="JYX33" s="134"/>
      <c r="JZA33" s="134"/>
      <c r="JZD33" s="134"/>
      <c r="JZG33" s="134"/>
      <c r="JZJ33" s="134"/>
      <c r="JZM33" s="134"/>
      <c r="JZP33" s="134"/>
      <c r="JZS33" s="134"/>
      <c r="JZV33" s="134"/>
      <c r="JZY33" s="134"/>
      <c r="KAB33" s="134"/>
      <c r="KAE33" s="134"/>
      <c r="KAH33" s="134"/>
      <c r="KAK33" s="134"/>
      <c r="KAN33" s="134"/>
      <c r="KAQ33" s="134"/>
      <c r="KAT33" s="134"/>
      <c r="KAW33" s="134"/>
      <c r="KAZ33" s="134"/>
      <c r="KBC33" s="134"/>
      <c r="KBF33" s="134"/>
      <c r="KBI33" s="134"/>
      <c r="KBL33" s="134"/>
      <c r="KBO33" s="134"/>
      <c r="KBR33" s="134"/>
      <c r="KBU33" s="134"/>
      <c r="KBX33" s="134"/>
      <c r="KCA33" s="134"/>
      <c r="KCD33" s="134"/>
      <c r="KCG33" s="134"/>
      <c r="KCJ33" s="134"/>
      <c r="KCM33" s="134"/>
      <c r="KCP33" s="134"/>
      <c r="KCS33" s="134"/>
      <c r="KCV33" s="134"/>
      <c r="KCY33" s="134"/>
      <c r="KDB33" s="134"/>
      <c r="KDE33" s="134"/>
      <c r="KDH33" s="134"/>
      <c r="KDK33" s="134"/>
      <c r="KDN33" s="134"/>
      <c r="KDQ33" s="134"/>
      <c r="KDT33" s="134"/>
      <c r="KDW33" s="134"/>
      <c r="KDZ33" s="134"/>
      <c r="KEC33" s="134"/>
      <c r="KEF33" s="134"/>
      <c r="KEI33" s="134"/>
      <c r="KEL33" s="134"/>
      <c r="KEO33" s="134"/>
      <c r="KER33" s="134"/>
      <c r="KEU33" s="134"/>
      <c r="KEX33" s="134"/>
      <c r="KFA33" s="134"/>
      <c r="KFD33" s="134"/>
      <c r="KFG33" s="134"/>
      <c r="KFJ33" s="134"/>
      <c r="KFM33" s="134"/>
      <c r="KFP33" s="134"/>
      <c r="KFS33" s="134"/>
      <c r="KFV33" s="134"/>
      <c r="KFY33" s="134"/>
      <c r="KGB33" s="134"/>
      <c r="KGE33" s="134"/>
      <c r="KGH33" s="134"/>
      <c r="KGK33" s="134"/>
      <c r="KGN33" s="134"/>
      <c r="KGQ33" s="134"/>
      <c r="KGT33" s="134"/>
      <c r="KGW33" s="134"/>
      <c r="KGZ33" s="134"/>
      <c r="KHC33" s="134"/>
      <c r="KHF33" s="134"/>
      <c r="KHI33" s="134"/>
      <c r="KHL33" s="134"/>
      <c r="KHO33" s="134"/>
      <c r="KHR33" s="134"/>
      <c r="KHU33" s="134"/>
      <c r="KHX33" s="134"/>
      <c r="KIA33" s="134"/>
      <c r="KID33" s="134"/>
      <c r="KIG33" s="134"/>
      <c r="KIJ33" s="134"/>
      <c r="KIM33" s="134"/>
      <c r="KIP33" s="134"/>
      <c r="KIS33" s="134"/>
      <c r="KIV33" s="134"/>
      <c r="KIY33" s="134"/>
      <c r="KJB33" s="134"/>
      <c r="KJE33" s="134"/>
      <c r="KJH33" s="134"/>
      <c r="KJK33" s="134"/>
      <c r="KJN33" s="134"/>
      <c r="KJQ33" s="134"/>
      <c r="KJT33" s="134"/>
      <c r="KJW33" s="134"/>
      <c r="KJZ33" s="134"/>
      <c r="KKC33" s="134"/>
      <c r="KKF33" s="134"/>
      <c r="KKI33" s="134"/>
      <c r="KKL33" s="134"/>
      <c r="KKO33" s="134"/>
      <c r="KKR33" s="134"/>
      <c r="KKU33" s="134"/>
      <c r="KKX33" s="134"/>
      <c r="KLA33" s="134"/>
      <c r="KLD33" s="134"/>
      <c r="KLG33" s="134"/>
      <c r="KLJ33" s="134"/>
      <c r="KLM33" s="134"/>
      <c r="KLP33" s="134"/>
      <c r="KLS33" s="134"/>
      <c r="KLV33" s="134"/>
      <c r="KLY33" s="134"/>
      <c r="KMB33" s="134"/>
      <c r="KME33" s="134"/>
      <c r="KMH33" s="134"/>
      <c r="KMK33" s="134"/>
      <c r="KMN33" s="134"/>
      <c r="KMQ33" s="134"/>
      <c r="KMT33" s="134"/>
      <c r="KMW33" s="134"/>
      <c r="KMZ33" s="134"/>
      <c r="KNC33" s="134"/>
      <c r="KNF33" s="134"/>
      <c r="KNI33" s="134"/>
      <c r="KNL33" s="134"/>
      <c r="KNO33" s="134"/>
      <c r="KNR33" s="134"/>
      <c r="KNU33" s="134"/>
      <c r="KNX33" s="134"/>
      <c r="KOA33" s="134"/>
      <c r="KOD33" s="134"/>
      <c r="KOG33" s="134"/>
      <c r="KOJ33" s="134"/>
      <c r="KOM33" s="134"/>
      <c r="KOP33" s="134"/>
      <c r="KOS33" s="134"/>
      <c r="KOV33" s="134"/>
      <c r="KOY33" s="134"/>
      <c r="KPB33" s="134"/>
      <c r="KPE33" s="134"/>
      <c r="KPH33" s="134"/>
      <c r="KPK33" s="134"/>
      <c r="KPN33" s="134"/>
      <c r="KPQ33" s="134"/>
      <c r="KPT33" s="134"/>
      <c r="KPW33" s="134"/>
      <c r="KPZ33" s="134"/>
      <c r="KQC33" s="134"/>
      <c r="KQF33" s="134"/>
      <c r="KQI33" s="134"/>
      <c r="KQL33" s="134"/>
      <c r="KQO33" s="134"/>
      <c r="KQR33" s="134"/>
      <c r="KQU33" s="134"/>
      <c r="KQX33" s="134"/>
      <c r="KRA33" s="134"/>
      <c r="KRD33" s="134"/>
      <c r="KRG33" s="134"/>
      <c r="KRJ33" s="134"/>
      <c r="KRM33" s="134"/>
      <c r="KRP33" s="134"/>
      <c r="KRS33" s="134"/>
      <c r="KRV33" s="134"/>
      <c r="KRY33" s="134"/>
      <c r="KSB33" s="134"/>
      <c r="KSE33" s="134"/>
      <c r="KSH33" s="134"/>
      <c r="KSK33" s="134"/>
      <c r="KSN33" s="134"/>
      <c r="KSQ33" s="134"/>
      <c r="KST33" s="134"/>
      <c r="KSW33" s="134"/>
      <c r="KSZ33" s="134"/>
      <c r="KTC33" s="134"/>
      <c r="KTF33" s="134"/>
      <c r="KTI33" s="134"/>
      <c r="KTL33" s="134"/>
      <c r="KTO33" s="134"/>
      <c r="KTR33" s="134"/>
      <c r="KTU33" s="134"/>
      <c r="KTX33" s="134"/>
      <c r="KUA33" s="134"/>
      <c r="KUD33" s="134"/>
      <c r="KUG33" s="134"/>
      <c r="KUJ33" s="134"/>
      <c r="KUM33" s="134"/>
      <c r="KUP33" s="134"/>
      <c r="KUS33" s="134"/>
      <c r="KUV33" s="134"/>
      <c r="KUY33" s="134"/>
      <c r="KVB33" s="134"/>
      <c r="KVE33" s="134"/>
      <c r="KVH33" s="134"/>
      <c r="KVK33" s="134"/>
      <c r="KVN33" s="134"/>
      <c r="KVQ33" s="134"/>
      <c r="KVT33" s="134"/>
      <c r="KVW33" s="134"/>
      <c r="KVZ33" s="134"/>
      <c r="KWC33" s="134"/>
      <c r="KWF33" s="134"/>
      <c r="KWI33" s="134"/>
      <c r="KWL33" s="134"/>
      <c r="KWO33" s="134"/>
      <c r="KWR33" s="134"/>
      <c r="KWU33" s="134"/>
      <c r="KWX33" s="134"/>
      <c r="KXA33" s="134"/>
      <c r="KXD33" s="134"/>
      <c r="KXG33" s="134"/>
      <c r="KXJ33" s="134"/>
      <c r="KXM33" s="134"/>
      <c r="KXP33" s="134"/>
      <c r="KXS33" s="134"/>
      <c r="KXV33" s="134"/>
      <c r="KXY33" s="134"/>
      <c r="KYB33" s="134"/>
      <c r="KYE33" s="134"/>
      <c r="KYH33" s="134"/>
      <c r="KYK33" s="134"/>
      <c r="KYN33" s="134"/>
      <c r="KYQ33" s="134"/>
      <c r="KYT33" s="134"/>
      <c r="KYW33" s="134"/>
      <c r="KYZ33" s="134"/>
      <c r="KZC33" s="134"/>
      <c r="KZF33" s="134"/>
      <c r="KZI33" s="134"/>
      <c r="KZL33" s="134"/>
      <c r="KZO33" s="134"/>
      <c r="KZR33" s="134"/>
      <c r="KZU33" s="134"/>
      <c r="KZX33" s="134"/>
      <c r="LAA33" s="134"/>
      <c r="LAD33" s="134"/>
      <c r="LAG33" s="134"/>
      <c r="LAJ33" s="134"/>
      <c r="LAM33" s="134"/>
      <c r="LAP33" s="134"/>
      <c r="LAS33" s="134"/>
      <c r="LAV33" s="134"/>
      <c r="LAY33" s="134"/>
      <c r="LBB33" s="134"/>
      <c r="LBE33" s="134"/>
      <c r="LBH33" s="134"/>
      <c r="LBK33" s="134"/>
      <c r="LBN33" s="134"/>
      <c r="LBQ33" s="134"/>
      <c r="LBT33" s="134"/>
      <c r="LBW33" s="134"/>
      <c r="LBZ33" s="134"/>
      <c r="LCC33" s="134"/>
      <c r="LCF33" s="134"/>
      <c r="LCI33" s="134"/>
      <c r="LCL33" s="134"/>
      <c r="LCO33" s="134"/>
      <c r="LCR33" s="134"/>
      <c r="LCU33" s="134"/>
      <c r="LCX33" s="134"/>
      <c r="LDA33" s="134"/>
      <c r="LDD33" s="134"/>
      <c r="LDG33" s="134"/>
      <c r="LDJ33" s="134"/>
      <c r="LDM33" s="134"/>
      <c r="LDP33" s="134"/>
      <c r="LDS33" s="134"/>
      <c r="LDV33" s="134"/>
      <c r="LDY33" s="134"/>
      <c r="LEB33" s="134"/>
      <c r="LEE33" s="134"/>
      <c r="LEH33" s="134"/>
      <c r="LEK33" s="134"/>
      <c r="LEN33" s="134"/>
      <c r="LEQ33" s="134"/>
      <c r="LET33" s="134"/>
      <c r="LEW33" s="134"/>
      <c r="LEZ33" s="134"/>
      <c r="LFC33" s="134"/>
      <c r="LFF33" s="134"/>
      <c r="LFI33" s="134"/>
      <c r="LFL33" s="134"/>
      <c r="LFO33" s="134"/>
      <c r="LFR33" s="134"/>
      <c r="LFU33" s="134"/>
      <c r="LFX33" s="134"/>
      <c r="LGA33" s="134"/>
      <c r="LGD33" s="134"/>
      <c r="LGG33" s="134"/>
      <c r="LGJ33" s="134"/>
      <c r="LGM33" s="134"/>
      <c r="LGP33" s="134"/>
      <c r="LGS33" s="134"/>
      <c r="LGV33" s="134"/>
      <c r="LGY33" s="134"/>
      <c r="LHB33" s="134"/>
      <c r="LHE33" s="134"/>
      <c r="LHH33" s="134"/>
      <c r="LHK33" s="134"/>
      <c r="LHN33" s="134"/>
      <c r="LHQ33" s="134"/>
      <c r="LHT33" s="134"/>
      <c r="LHW33" s="134"/>
      <c r="LHZ33" s="134"/>
      <c r="LIC33" s="134"/>
      <c r="LIF33" s="134"/>
      <c r="LII33" s="134"/>
      <c r="LIL33" s="134"/>
      <c r="LIO33" s="134"/>
      <c r="LIR33" s="134"/>
      <c r="LIU33" s="134"/>
      <c r="LIX33" s="134"/>
      <c r="LJA33" s="134"/>
      <c r="LJD33" s="134"/>
      <c r="LJG33" s="134"/>
      <c r="LJJ33" s="134"/>
      <c r="LJM33" s="134"/>
      <c r="LJP33" s="134"/>
      <c r="LJS33" s="134"/>
      <c r="LJV33" s="134"/>
      <c r="LJY33" s="134"/>
      <c r="LKB33" s="134"/>
      <c r="LKE33" s="134"/>
      <c r="LKH33" s="134"/>
      <c r="LKK33" s="134"/>
      <c r="LKN33" s="134"/>
      <c r="LKQ33" s="134"/>
      <c r="LKT33" s="134"/>
      <c r="LKW33" s="134"/>
      <c r="LKZ33" s="134"/>
      <c r="LLC33" s="134"/>
      <c r="LLF33" s="134"/>
      <c r="LLI33" s="134"/>
      <c r="LLL33" s="134"/>
      <c r="LLO33" s="134"/>
      <c r="LLR33" s="134"/>
      <c r="LLU33" s="134"/>
      <c r="LLX33" s="134"/>
      <c r="LMA33" s="134"/>
      <c r="LMD33" s="134"/>
      <c r="LMG33" s="134"/>
      <c r="LMJ33" s="134"/>
      <c r="LMM33" s="134"/>
      <c r="LMP33" s="134"/>
      <c r="LMS33" s="134"/>
      <c r="LMV33" s="134"/>
      <c r="LMY33" s="134"/>
      <c r="LNB33" s="134"/>
      <c r="LNE33" s="134"/>
      <c r="LNH33" s="134"/>
      <c r="LNK33" s="134"/>
      <c r="LNN33" s="134"/>
      <c r="LNQ33" s="134"/>
      <c r="LNT33" s="134"/>
      <c r="LNW33" s="134"/>
      <c r="LNZ33" s="134"/>
      <c r="LOC33" s="134"/>
      <c r="LOF33" s="134"/>
      <c r="LOI33" s="134"/>
      <c r="LOL33" s="134"/>
      <c r="LOO33" s="134"/>
      <c r="LOR33" s="134"/>
      <c r="LOU33" s="134"/>
      <c r="LOX33" s="134"/>
      <c r="LPA33" s="134"/>
      <c r="LPD33" s="134"/>
      <c r="LPG33" s="134"/>
      <c r="LPJ33" s="134"/>
      <c r="LPM33" s="134"/>
      <c r="LPP33" s="134"/>
      <c r="LPS33" s="134"/>
      <c r="LPV33" s="134"/>
      <c r="LPY33" s="134"/>
      <c r="LQB33" s="134"/>
      <c r="LQE33" s="134"/>
      <c r="LQH33" s="134"/>
      <c r="LQK33" s="134"/>
      <c r="LQN33" s="134"/>
      <c r="LQQ33" s="134"/>
      <c r="LQT33" s="134"/>
      <c r="LQW33" s="134"/>
      <c r="LQZ33" s="134"/>
      <c r="LRC33" s="134"/>
      <c r="LRF33" s="134"/>
      <c r="LRI33" s="134"/>
      <c r="LRL33" s="134"/>
      <c r="LRO33" s="134"/>
      <c r="LRR33" s="134"/>
      <c r="LRU33" s="134"/>
      <c r="LRX33" s="134"/>
      <c r="LSA33" s="134"/>
      <c r="LSD33" s="134"/>
      <c r="LSG33" s="134"/>
      <c r="LSJ33" s="134"/>
      <c r="LSM33" s="134"/>
      <c r="LSP33" s="134"/>
      <c r="LSS33" s="134"/>
      <c r="LSV33" s="134"/>
      <c r="LSY33" s="134"/>
      <c r="LTB33" s="134"/>
      <c r="LTE33" s="134"/>
      <c r="LTH33" s="134"/>
      <c r="LTK33" s="134"/>
      <c r="LTN33" s="134"/>
      <c r="LTQ33" s="134"/>
      <c r="LTT33" s="134"/>
      <c r="LTW33" s="134"/>
      <c r="LTZ33" s="134"/>
      <c r="LUC33" s="134"/>
      <c r="LUF33" s="134"/>
      <c r="LUI33" s="134"/>
      <c r="LUL33" s="134"/>
      <c r="LUO33" s="134"/>
      <c r="LUR33" s="134"/>
      <c r="LUU33" s="134"/>
      <c r="LUX33" s="134"/>
      <c r="LVA33" s="134"/>
      <c r="LVD33" s="134"/>
      <c r="LVG33" s="134"/>
      <c r="LVJ33" s="134"/>
      <c r="LVM33" s="134"/>
      <c r="LVP33" s="134"/>
      <c r="LVS33" s="134"/>
      <c r="LVV33" s="134"/>
      <c r="LVY33" s="134"/>
      <c r="LWB33" s="134"/>
      <c r="LWE33" s="134"/>
      <c r="LWH33" s="134"/>
      <c r="LWK33" s="134"/>
      <c r="LWN33" s="134"/>
      <c r="LWQ33" s="134"/>
      <c r="LWT33" s="134"/>
      <c r="LWW33" s="134"/>
      <c r="LWZ33" s="134"/>
      <c r="LXC33" s="134"/>
      <c r="LXF33" s="134"/>
      <c r="LXI33" s="134"/>
      <c r="LXL33" s="134"/>
      <c r="LXO33" s="134"/>
      <c r="LXR33" s="134"/>
      <c r="LXU33" s="134"/>
      <c r="LXX33" s="134"/>
      <c r="LYA33" s="134"/>
      <c r="LYD33" s="134"/>
      <c r="LYG33" s="134"/>
      <c r="LYJ33" s="134"/>
      <c r="LYM33" s="134"/>
      <c r="LYP33" s="134"/>
      <c r="LYS33" s="134"/>
      <c r="LYV33" s="134"/>
      <c r="LYY33" s="134"/>
      <c r="LZB33" s="134"/>
      <c r="LZE33" s="134"/>
      <c r="LZH33" s="134"/>
      <c r="LZK33" s="134"/>
      <c r="LZN33" s="134"/>
      <c r="LZQ33" s="134"/>
      <c r="LZT33" s="134"/>
      <c r="LZW33" s="134"/>
      <c r="LZZ33" s="134"/>
      <c r="MAC33" s="134"/>
      <c r="MAF33" s="134"/>
      <c r="MAI33" s="134"/>
      <c r="MAL33" s="134"/>
      <c r="MAO33" s="134"/>
      <c r="MAR33" s="134"/>
      <c r="MAU33" s="134"/>
      <c r="MAX33" s="134"/>
      <c r="MBA33" s="134"/>
      <c r="MBD33" s="134"/>
      <c r="MBG33" s="134"/>
      <c r="MBJ33" s="134"/>
      <c r="MBM33" s="134"/>
      <c r="MBP33" s="134"/>
      <c r="MBS33" s="134"/>
      <c r="MBV33" s="134"/>
      <c r="MBY33" s="134"/>
      <c r="MCB33" s="134"/>
      <c r="MCE33" s="134"/>
      <c r="MCH33" s="134"/>
      <c r="MCK33" s="134"/>
      <c r="MCN33" s="134"/>
      <c r="MCQ33" s="134"/>
      <c r="MCT33" s="134"/>
      <c r="MCW33" s="134"/>
      <c r="MCZ33" s="134"/>
      <c r="MDC33" s="134"/>
      <c r="MDF33" s="134"/>
      <c r="MDI33" s="134"/>
      <c r="MDL33" s="134"/>
      <c r="MDO33" s="134"/>
      <c r="MDR33" s="134"/>
      <c r="MDU33" s="134"/>
      <c r="MDX33" s="134"/>
      <c r="MEA33" s="134"/>
      <c r="MED33" s="134"/>
      <c r="MEG33" s="134"/>
      <c r="MEJ33" s="134"/>
      <c r="MEM33" s="134"/>
      <c r="MEP33" s="134"/>
      <c r="MES33" s="134"/>
      <c r="MEV33" s="134"/>
      <c r="MEY33" s="134"/>
      <c r="MFB33" s="134"/>
      <c r="MFE33" s="134"/>
      <c r="MFH33" s="134"/>
      <c r="MFK33" s="134"/>
      <c r="MFN33" s="134"/>
      <c r="MFQ33" s="134"/>
      <c r="MFT33" s="134"/>
      <c r="MFW33" s="134"/>
      <c r="MFZ33" s="134"/>
      <c r="MGC33" s="134"/>
      <c r="MGF33" s="134"/>
      <c r="MGI33" s="134"/>
      <c r="MGL33" s="134"/>
      <c r="MGO33" s="134"/>
      <c r="MGR33" s="134"/>
      <c r="MGU33" s="134"/>
      <c r="MGX33" s="134"/>
      <c r="MHA33" s="134"/>
      <c r="MHD33" s="134"/>
      <c r="MHG33" s="134"/>
      <c r="MHJ33" s="134"/>
      <c r="MHM33" s="134"/>
      <c r="MHP33" s="134"/>
      <c r="MHS33" s="134"/>
      <c r="MHV33" s="134"/>
      <c r="MHY33" s="134"/>
      <c r="MIB33" s="134"/>
      <c r="MIE33" s="134"/>
      <c r="MIH33" s="134"/>
      <c r="MIK33" s="134"/>
      <c r="MIN33" s="134"/>
      <c r="MIQ33" s="134"/>
      <c r="MIT33" s="134"/>
      <c r="MIW33" s="134"/>
      <c r="MIZ33" s="134"/>
      <c r="MJC33" s="134"/>
      <c r="MJF33" s="134"/>
      <c r="MJI33" s="134"/>
      <c r="MJL33" s="134"/>
      <c r="MJO33" s="134"/>
      <c r="MJR33" s="134"/>
      <c r="MJU33" s="134"/>
      <c r="MJX33" s="134"/>
      <c r="MKA33" s="134"/>
      <c r="MKD33" s="134"/>
      <c r="MKG33" s="134"/>
      <c r="MKJ33" s="134"/>
      <c r="MKM33" s="134"/>
      <c r="MKP33" s="134"/>
      <c r="MKS33" s="134"/>
      <c r="MKV33" s="134"/>
      <c r="MKY33" s="134"/>
      <c r="MLB33" s="134"/>
      <c r="MLE33" s="134"/>
      <c r="MLH33" s="134"/>
      <c r="MLK33" s="134"/>
      <c r="MLN33" s="134"/>
      <c r="MLQ33" s="134"/>
      <c r="MLT33" s="134"/>
      <c r="MLW33" s="134"/>
      <c r="MLZ33" s="134"/>
      <c r="MMC33" s="134"/>
      <c r="MMF33" s="134"/>
      <c r="MMI33" s="134"/>
      <c r="MML33" s="134"/>
      <c r="MMO33" s="134"/>
      <c r="MMR33" s="134"/>
      <c r="MMU33" s="134"/>
      <c r="MMX33" s="134"/>
      <c r="MNA33" s="134"/>
      <c r="MND33" s="134"/>
      <c r="MNG33" s="134"/>
      <c r="MNJ33" s="134"/>
      <c r="MNM33" s="134"/>
      <c r="MNP33" s="134"/>
      <c r="MNS33" s="134"/>
      <c r="MNV33" s="134"/>
      <c r="MNY33" s="134"/>
      <c r="MOB33" s="134"/>
      <c r="MOE33" s="134"/>
      <c r="MOH33" s="134"/>
      <c r="MOK33" s="134"/>
      <c r="MON33" s="134"/>
      <c r="MOQ33" s="134"/>
      <c r="MOT33" s="134"/>
      <c r="MOW33" s="134"/>
      <c r="MOZ33" s="134"/>
      <c r="MPC33" s="134"/>
      <c r="MPF33" s="134"/>
      <c r="MPI33" s="134"/>
      <c r="MPL33" s="134"/>
      <c r="MPO33" s="134"/>
      <c r="MPR33" s="134"/>
      <c r="MPU33" s="134"/>
      <c r="MPX33" s="134"/>
      <c r="MQA33" s="134"/>
      <c r="MQD33" s="134"/>
      <c r="MQG33" s="134"/>
      <c r="MQJ33" s="134"/>
      <c r="MQM33" s="134"/>
      <c r="MQP33" s="134"/>
      <c r="MQS33" s="134"/>
      <c r="MQV33" s="134"/>
      <c r="MQY33" s="134"/>
      <c r="MRB33" s="134"/>
      <c r="MRE33" s="134"/>
      <c r="MRH33" s="134"/>
      <c r="MRK33" s="134"/>
      <c r="MRN33" s="134"/>
      <c r="MRQ33" s="134"/>
      <c r="MRT33" s="134"/>
      <c r="MRW33" s="134"/>
      <c r="MRZ33" s="134"/>
      <c r="MSC33" s="134"/>
      <c r="MSF33" s="134"/>
      <c r="MSI33" s="134"/>
      <c r="MSL33" s="134"/>
      <c r="MSO33" s="134"/>
      <c r="MSR33" s="134"/>
      <c r="MSU33" s="134"/>
      <c r="MSX33" s="134"/>
      <c r="MTA33" s="134"/>
      <c r="MTD33" s="134"/>
      <c r="MTG33" s="134"/>
      <c r="MTJ33" s="134"/>
      <c r="MTM33" s="134"/>
      <c r="MTP33" s="134"/>
      <c r="MTS33" s="134"/>
      <c r="MTV33" s="134"/>
      <c r="MTY33" s="134"/>
      <c r="MUB33" s="134"/>
      <c r="MUE33" s="134"/>
      <c r="MUH33" s="134"/>
      <c r="MUK33" s="134"/>
      <c r="MUN33" s="134"/>
      <c r="MUQ33" s="134"/>
      <c r="MUT33" s="134"/>
      <c r="MUW33" s="134"/>
      <c r="MUZ33" s="134"/>
      <c r="MVC33" s="134"/>
      <c r="MVF33" s="134"/>
      <c r="MVI33" s="134"/>
      <c r="MVL33" s="134"/>
      <c r="MVO33" s="134"/>
      <c r="MVR33" s="134"/>
      <c r="MVU33" s="134"/>
      <c r="MVX33" s="134"/>
      <c r="MWA33" s="134"/>
      <c r="MWD33" s="134"/>
      <c r="MWG33" s="134"/>
      <c r="MWJ33" s="134"/>
      <c r="MWM33" s="134"/>
      <c r="MWP33" s="134"/>
      <c r="MWS33" s="134"/>
      <c r="MWV33" s="134"/>
      <c r="MWY33" s="134"/>
      <c r="MXB33" s="134"/>
      <c r="MXE33" s="134"/>
      <c r="MXH33" s="134"/>
      <c r="MXK33" s="134"/>
      <c r="MXN33" s="134"/>
      <c r="MXQ33" s="134"/>
      <c r="MXT33" s="134"/>
      <c r="MXW33" s="134"/>
      <c r="MXZ33" s="134"/>
      <c r="MYC33" s="134"/>
      <c r="MYF33" s="134"/>
      <c r="MYI33" s="134"/>
      <c r="MYL33" s="134"/>
      <c r="MYO33" s="134"/>
      <c r="MYR33" s="134"/>
      <c r="MYU33" s="134"/>
      <c r="MYX33" s="134"/>
      <c r="MZA33" s="134"/>
      <c r="MZD33" s="134"/>
      <c r="MZG33" s="134"/>
      <c r="MZJ33" s="134"/>
      <c r="MZM33" s="134"/>
      <c r="MZP33" s="134"/>
      <c r="MZS33" s="134"/>
      <c r="MZV33" s="134"/>
      <c r="MZY33" s="134"/>
      <c r="NAB33" s="134"/>
      <c r="NAE33" s="134"/>
      <c r="NAH33" s="134"/>
      <c r="NAK33" s="134"/>
      <c r="NAN33" s="134"/>
      <c r="NAQ33" s="134"/>
      <c r="NAT33" s="134"/>
      <c r="NAW33" s="134"/>
      <c r="NAZ33" s="134"/>
      <c r="NBC33" s="134"/>
      <c r="NBF33" s="134"/>
      <c r="NBI33" s="134"/>
      <c r="NBL33" s="134"/>
      <c r="NBO33" s="134"/>
      <c r="NBR33" s="134"/>
      <c r="NBU33" s="134"/>
      <c r="NBX33" s="134"/>
      <c r="NCA33" s="134"/>
      <c r="NCD33" s="134"/>
      <c r="NCG33" s="134"/>
      <c r="NCJ33" s="134"/>
      <c r="NCM33" s="134"/>
      <c r="NCP33" s="134"/>
      <c r="NCS33" s="134"/>
      <c r="NCV33" s="134"/>
      <c r="NCY33" s="134"/>
      <c r="NDB33" s="134"/>
      <c r="NDE33" s="134"/>
      <c r="NDH33" s="134"/>
      <c r="NDK33" s="134"/>
      <c r="NDN33" s="134"/>
      <c r="NDQ33" s="134"/>
      <c r="NDT33" s="134"/>
      <c r="NDW33" s="134"/>
      <c r="NDZ33" s="134"/>
      <c r="NEC33" s="134"/>
      <c r="NEF33" s="134"/>
      <c r="NEI33" s="134"/>
      <c r="NEL33" s="134"/>
      <c r="NEO33" s="134"/>
      <c r="NER33" s="134"/>
      <c r="NEU33" s="134"/>
      <c r="NEX33" s="134"/>
      <c r="NFA33" s="134"/>
      <c r="NFD33" s="134"/>
      <c r="NFG33" s="134"/>
      <c r="NFJ33" s="134"/>
      <c r="NFM33" s="134"/>
      <c r="NFP33" s="134"/>
      <c r="NFS33" s="134"/>
      <c r="NFV33" s="134"/>
      <c r="NFY33" s="134"/>
      <c r="NGB33" s="134"/>
      <c r="NGE33" s="134"/>
      <c r="NGH33" s="134"/>
      <c r="NGK33" s="134"/>
      <c r="NGN33" s="134"/>
      <c r="NGQ33" s="134"/>
      <c r="NGT33" s="134"/>
      <c r="NGW33" s="134"/>
      <c r="NGZ33" s="134"/>
      <c r="NHC33" s="134"/>
      <c r="NHF33" s="134"/>
      <c r="NHI33" s="134"/>
      <c r="NHL33" s="134"/>
      <c r="NHO33" s="134"/>
      <c r="NHR33" s="134"/>
      <c r="NHU33" s="134"/>
      <c r="NHX33" s="134"/>
      <c r="NIA33" s="134"/>
      <c r="NID33" s="134"/>
      <c r="NIG33" s="134"/>
      <c r="NIJ33" s="134"/>
      <c r="NIM33" s="134"/>
      <c r="NIP33" s="134"/>
      <c r="NIS33" s="134"/>
      <c r="NIV33" s="134"/>
      <c r="NIY33" s="134"/>
      <c r="NJB33" s="134"/>
      <c r="NJE33" s="134"/>
      <c r="NJH33" s="134"/>
      <c r="NJK33" s="134"/>
      <c r="NJN33" s="134"/>
      <c r="NJQ33" s="134"/>
      <c r="NJT33" s="134"/>
      <c r="NJW33" s="134"/>
      <c r="NJZ33" s="134"/>
      <c r="NKC33" s="134"/>
      <c r="NKF33" s="134"/>
      <c r="NKI33" s="134"/>
      <c r="NKL33" s="134"/>
      <c r="NKO33" s="134"/>
      <c r="NKR33" s="134"/>
      <c r="NKU33" s="134"/>
      <c r="NKX33" s="134"/>
      <c r="NLA33" s="134"/>
      <c r="NLD33" s="134"/>
      <c r="NLG33" s="134"/>
      <c r="NLJ33" s="134"/>
      <c r="NLM33" s="134"/>
      <c r="NLP33" s="134"/>
      <c r="NLS33" s="134"/>
      <c r="NLV33" s="134"/>
      <c r="NLY33" s="134"/>
      <c r="NMB33" s="134"/>
      <c r="NME33" s="134"/>
      <c r="NMH33" s="134"/>
      <c r="NMK33" s="134"/>
      <c r="NMN33" s="134"/>
      <c r="NMQ33" s="134"/>
      <c r="NMT33" s="134"/>
      <c r="NMW33" s="134"/>
      <c r="NMZ33" s="134"/>
      <c r="NNC33" s="134"/>
      <c r="NNF33" s="134"/>
      <c r="NNI33" s="134"/>
      <c r="NNL33" s="134"/>
      <c r="NNO33" s="134"/>
      <c r="NNR33" s="134"/>
      <c r="NNU33" s="134"/>
      <c r="NNX33" s="134"/>
      <c r="NOA33" s="134"/>
      <c r="NOD33" s="134"/>
      <c r="NOG33" s="134"/>
      <c r="NOJ33" s="134"/>
      <c r="NOM33" s="134"/>
      <c r="NOP33" s="134"/>
      <c r="NOS33" s="134"/>
      <c r="NOV33" s="134"/>
      <c r="NOY33" s="134"/>
      <c r="NPB33" s="134"/>
      <c r="NPE33" s="134"/>
      <c r="NPH33" s="134"/>
      <c r="NPK33" s="134"/>
      <c r="NPN33" s="134"/>
      <c r="NPQ33" s="134"/>
      <c r="NPT33" s="134"/>
      <c r="NPW33" s="134"/>
      <c r="NPZ33" s="134"/>
      <c r="NQC33" s="134"/>
      <c r="NQF33" s="134"/>
      <c r="NQI33" s="134"/>
      <c r="NQL33" s="134"/>
      <c r="NQO33" s="134"/>
      <c r="NQR33" s="134"/>
      <c r="NQU33" s="134"/>
      <c r="NQX33" s="134"/>
      <c r="NRA33" s="134"/>
      <c r="NRD33" s="134"/>
      <c r="NRG33" s="134"/>
      <c r="NRJ33" s="134"/>
      <c r="NRM33" s="134"/>
      <c r="NRP33" s="134"/>
      <c r="NRS33" s="134"/>
      <c r="NRV33" s="134"/>
      <c r="NRY33" s="134"/>
      <c r="NSB33" s="134"/>
      <c r="NSE33" s="134"/>
      <c r="NSH33" s="134"/>
      <c r="NSK33" s="134"/>
      <c r="NSN33" s="134"/>
      <c r="NSQ33" s="134"/>
      <c r="NST33" s="134"/>
      <c r="NSW33" s="134"/>
      <c r="NSZ33" s="134"/>
      <c r="NTC33" s="134"/>
      <c r="NTF33" s="134"/>
      <c r="NTI33" s="134"/>
      <c r="NTL33" s="134"/>
      <c r="NTO33" s="134"/>
      <c r="NTR33" s="134"/>
      <c r="NTU33" s="134"/>
      <c r="NTX33" s="134"/>
      <c r="NUA33" s="134"/>
      <c r="NUD33" s="134"/>
      <c r="NUG33" s="134"/>
      <c r="NUJ33" s="134"/>
      <c r="NUM33" s="134"/>
      <c r="NUP33" s="134"/>
      <c r="NUS33" s="134"/>
      <c r="NUV33" s="134"/>
      <c r="NUY33" s="134"/>
      <c r="NVB33" s="134"/>
      <c r="NVE33" s="134"/>
      <c r="NVH33" s="134"/>
      <c r="NVK33" s="134"/>
      <c r="NVN33" s="134"/>
      <c r="NVQ33" s="134"/>
      <c r="NVT33" s="134"/>
      <c r="NVW33" s="134"/>
      <c r="NVZ33" s="134"/>
      <c r="NWC33" s="134"/>
      <c r="NWF33" s="134"/>
      <c r="NWI33" s="134"/>
      <c r="NWL33" s="134"/>
      <c r="NWO33" s="134"/>
      <c r="NWR33" s="134"/>
      <c r="NWU33" s="134"/>
      <c r="NWX33" s="134"/>
      <c r="NXA33" s="134"/>
      <c r="NXD33" s="134"/>
      <c r="NXG33" s="134"/>
      <c r="NXJ33" s="134"/>
      <c r="NXM33" s="134"/>
      <c r="NXP33" s="134"/>
      <c r="NXS33" s="134"/>
      <c r="NXV33" s="134"/>
      <c r="NXY33" s="134"/>
      <c r="NYB33" s="134"/>
      <c r="NYE33" s="134"/>
      <c r="NYH33" s="134"/>
      <c r="NYK33" s="134"/>
      <c r="NYN33" s="134"/>
      <c r="NYQ33" s="134"/>
      <c r="NYT33" s="134"/>
      <c r="NYW33" s="134"/>
      <c r="NYZ33" s="134"/>
      <c r="NZC33" s="134"/>
      <c r="NZF33" s="134"/>
      <c r="NZI33" s="134"/>
      <c r="NZL33" s="134"/>
      <c r="NZO33" s="134"/>
      <c r="NZR33" s="134"/>
      <c r="NZU33" s="134"/>
      <c r="NZX33" s="134"/>
      <c r="OAA33" s="134"/>
      <c r="OAD33" s="134"/>
      <c r="OAG33" s="134"/>
      <c r="OAJ33" s="134"/>
      <c r="OAM33" s="134"/>
      <c r="OAP33" s="134"/>
      <c r="OAS33" s="134"/>
      <c r="OAV33" s="134"/>
      <c r="OAY33" s="134"/>
      <c r="OBB33" s="134"/>
      <c r="OBE33" s="134"/>
      <c r="OBH33" s="134"/>
      <c r="OBK33" s="134"/>
      <c r="OBN33" s="134"/>
      <c r="OBQ33" s="134"/>
      <c r="OBT33" s="134"/>
      <c r="OBW33" s="134"/>
      <c r="OBZ33" s="134"/>
      <c r="OCC33" s="134"/>
      <c r="OCF33" s="134"/>
      <c r="OCI33" s="134"/>
      <c r="OCL33" s="134"/>
      <c r="OCO33" s="134"/>
      <c r="OCR33" s="134"/>
      <c r="OCU33" s="134"/>
      <c r="OCX33" s="134"/>
      <c r="ODA33" s="134"/>
      <c r="ODD33" s="134"/>
      <c r="ODG33" s="134"/>
      <c r="ODJ33" s="134"/>
      <c r="ODM33" s="134"/>
      <c r="ODP33" s="134"/>
      <c r="ODS33" s="134"/>
      <c r="ODV33" s="134"/>
      <c r="ODY33" s="134"/>
      <c r="OEB33" s="134"/>
      <c r="OEE33" s="134"/>
      <c r="OEH33" s="134"/>
      <c r="OEK33" s="134"/>
      <c r="OEN33" s="134"/>
      <c r="OEQ33" s="134"/>
      <c r="OET33" s="134"/>
      <c r="OEW33" s="134"/>
      <c r="OEZ33" s="134"/>
      <c r="OFC33" s="134"/>
      <c r="OFF33" s="134"/>
      <c r="OFI33" s="134"/>
      <c r="OFL33" s="134"/>
      <c r="OFO33" s="134"/>
      <c r="OFR33" s="134"/>
      <c r="OFU33" s="134"/>
      <c r="OFX33" s="134"/>
      <c r="OGA33" s="134"/>
      <c r="OGD33" s="134"/>
      <c r="OGG33" s="134"/>
      <c r="OGJ33" s="134"/>
      <c r="OGM33" s="134"/>
      <c r="OGP33" s="134"/>
      <c r="OGS33" s="134"/>
      <c r="OGV33" s="134"/>
      <c r="OGY33" s="134"/>
      <c r="OHB33" s="134"/>
      <c r="OHE33" s="134"/>
      <c r="OHH33" s="134"/>
      <c r="OHK33" s="134"/>
      <c r="OHN33" s="134"/>
      <c r="OHQ33" s="134"/>
      <c r="OHT33" s="134"/>
      <c r="OHW33" s="134"/>
      <c r="OHZ33" s="134"/>
      <c r="OIC33" s="134"/>
      <c r="OIF33" s="134"/>
      <c r="OII33" s="134"/>
      <c r="OIL33" s="134"/>
      <c r="OIO33" s="134"/>
      <c r="OIR33" s="134"/>
      <c r="OIU33" s="134"/>
      <c r="OIX33" s="134"/>
      <c r="OJA33" s="134"/>
      <c r="OJD33" s="134"/>
      <c r="OJG33" s="134"/>
      <c r="OJJ33" s="134"/>
      <c r="OJM33" s="134"/>
      <c r="OJP33" s="134"/>
      <c r="OJS33" s="134"/>
      <c r="OJV33" s="134"/>
      <c r="OJY33" s="134"/>
      <c r="OKB33" s="134"/>
      <c r="OKE33" s="134"/>
      <c r="OKH33" s="134"/>
      <c r="OKK33" s="134"/>
      <c r="OKN33" s="134"/>
      <c r="OKQ33" s="134"/>
      <c r="OKT33" s="134"/>
      <c r="OKW33" s="134"/>
      <c r="OKZ33" s="134"/>
      <c r="OLC33" s="134"/>
      <c r="OLF33" s="134"/>
      <c r="OLI33" s="134"/>
      <c r="OLL33" s="134"/>
      <c r="OLO33" s="134"/>
      <c r="OLR33" s="134"/>
      <c r="OLU33" s="134"/>
      <c r="OLX33" s="134"/>
      <c r="OMA33" s="134"/>
      <c r="OMD33" s="134"/>
      <c r="OMG33" s="134"/>
      <c r="OMJ33" s="134"/>
      <c r="OMM33" s="134"/>
      <c r="OMP33" s="134"/>
      <c r="OMS33" s="134"/>
      <c r="OMV33" s="134"/>
      <c r="OMY33" s="134"/>
      <c r="ONB33" s="134"/>
      <c r="ONE33" s="134"/>
      <c r="ONH33" s="134"/>
      <c r="ONK33" s="134"/>
      <c r="ONN33" s="134"/>
      <c r="ONQ33" s="134"/>
      <c r="ONT33" s="134"/>
      <c r="ONW33" s="134"/>
      <c r="ONZ33" s="134"/>
      <c r="OOC33" s="134"/>
      <c r="OOF33" s="134"/>
      <c r="OOI33" s="134"/>
      <c r="OOL33" s="134"/>
      <c r="OOO33" s="134"/>
      <c r="OOR33" s="134"/>
      <c r="OOU33" s="134"/>
      <c r="OOX33" s="134"/>
      <c r="OPA33" s="134"/>
      <c r="OPD33" s="134"/>
      <c r="OPG33" s="134"/>
      <c r="OPJ33" s="134"/>
      <c r="OPM33" s="134"/>
      <c r="OPP33" s="134"/>
      <c r="OPS33" s="134"/>
      <c r="OPV33" s="134"/>
      <c r="OPY33" s="134"/>
      <c r="OQB33" s="134"/>
      <c r="OQE33" s="134"/>
      <c r="OQH33" s="134"/>
      <c r="OQK33" s="134"/>
      <c r="OQN33" s="134"/>
      <c r="OQQ33" s="134"/>
      <c r="OQT33" s="134"/>
      <c r="OQW33" s="134"/>
      <c r="OQZ33" s="134"/>
      <c r="ORC33" s="134"/>
      <c r="ORF33" s="134"/>
      <c r="ORI33" s="134"/>
      <c r="ORL33" s="134"/>
      <c r="ORO33" s="134"/>
      <c r="ORR33" s="134"/>
      <c r="ORU33" s="134"/>
      <c r="ORX33" s="134"/>
      <c r="OSA33" s="134"/>
      <c r="OSD33" s="134"/>
      <c r="OSG33" s="134"/>
      <c r="OSJ33" s="134"/>
      <c r="OSM33" s="134"/>
      <c r="OSP33" s="134"/>
      <c r="OSS33" s="134"/>
      <c r="OSV33" s="134"/>
      <c r="OSY33" s="134"/>
      <c r="OTB33" s="134"/>
      <c r="OTE33" s="134"/>
      <c r="OTH33" s="134"/>
      <c r="OTK33" s="134"/>
      <c r="OTN33" s="134"/>
      <c r="OTQ33" s="134"/>
      <c r="OTT33" s="134"/>
      <c r="OTW33" s="134"/>
      <c r="OTZ33" s="134"/>
      <c r="OUC33" s="134"/>
      <c r="OUF33" s="134"/>
      <c r="OUI33" s="134"/>
      <c r="OUL33" s="134"/>
      <c r="OUO33" s="134"/>
      <c r="OUR33" s="134"/>
      <c r="OUU33" s="134"/>
      <c r="OUX33" s="134"/>
      <c r="OVA33" s="134"/>
      <c r="OVD33" s="134"/>
      <c r="OVG33" s="134"/>
      <c r="OVJ33" s="134"/>
      <c r="OVM33" s="134"/>
      <c r="OVP33" s="134"/>
      <c r="OVS33" s="134"/>
      <c r="OVV33" s="134"/>
      <c r="OVY33" s="134"/>
      <c r="OWB33" s="134"/>
      <c r="OWE33" s="134"/>
      <c r="OWH33" s="134"/>
      <c r="OWK33" s="134"/>
      <c r="OWN33" s="134"/>
      <c r="OWQ33" s="134"/>
      <c r="OWT33" s="134"/>
      <c r="OWW33" s="134"/>
      <c r="OWZ33" s="134"/>
      <c r="OXC33" s="134"/>
      <c r="OXF33" s="134"/>
      <c r="OXI33" s="134"/>
      <c r="OXL33" s="134"/>
      <c r="OXO33" s="134"/>
      <c r="OXR33" s="134"/>
      <c r="OXU33" s="134"/>
      <c r="OXX33" s="134"/>
      <c r="OYA33" s="134"/>
      <c r="OYD33" s="134"/>
      <c r="OYG33" s="134"/>
      <c r="OYJ33" s="134"/>
      <c r="OYM33" s="134"/>
      <c r="OYP33" s="134"/>
      <c r="OYS33" s="134"/>
      <c r="OYV33" s="134"/>
      <c r="OYY33" s="134"/>
      <c r="OZB33" s="134"/>
      <c r="OZE33" s="134"/>
      <c r="OZH33" s="134"/>
      <c r="OZK33" s="134"/>
      <c r="OZN33" s="134"/>
      <c r="OZQ33" s="134"/>
      <c r="OZT33" s="134"/>
      <c r="OZW33" s="134"/>
      <c r="OZZ33" s="134"/>
      <c r="PAC33" s="134"/>
      <c r="PAF33" s="134"/>
      <c r="PAI33" s="134"/>
      <c r="PAL33" s="134"/>
      <c r="PAO33" s="134"/>
      <c r="PAR33" s="134"/>
      <c r="PAU33" s="134"/>
      <c r="PAX33" s="134"/>
      <c r="PBA33" s="134"/>
      <c r="PBD33" s="134"/>
      <c r="PBG33" s="134"/>
      <c r="PBJ33" s="134"/>
      <c r="PBM33" s="134"/>
      <c r="PBP33" s="134"/>
      <c r="PBS33" s="134"/>
      <c r="PBV33" s="134"/>
      <c r="PBY33" s="134"/>
      <c r="PCB33" s="134"/>
      <c r="PCE33" s="134"/>
      <c r="PCH33" s="134"/>
      <c r="PCK33" s="134"/>
      <c r="PCN33" s="134"/>
      <c r="PCQ33" s="134"/>
      <c r="PCT33" s="134"/>
      <c r="PCW33" s="134"/>
      <c r="PCZ33" s="134"/>
      <c r="PDC33" s="134"/>
      <c r="PDF33" s="134"/>
      <c r="PDI33" s="134"/>
      <c r="PDL33" s="134"/>
      <c r="PDO33" s="134"/>
      <c r="PDR33" s="134"/>
      <c r="PDU33" s="134"/>
      <c r="PDX33" s="134"/>
      <c r="PEA33" s="134"/>
      <c r="PED33" s="134"/>
      <c r="PEG33" s="134"/>
      <c r="PEJ33" s="134"/>
      <c r="PEM33" s="134"/>
      <c r="PEP33" s="134"/>
      <c r="PES33" s="134"/>
      <c r="PEV33" s="134"/>
      <c r="PEY33" s="134"/>
      <c r="PFB33" s="134"/>
      <c r="PFE33" s="134"/>
      <c r="PFH33" s="134"/>
      <c r="PFK33" s="134"/>
      <c r="PFN33" s="134"/>
      <c r="PFQ33" s="134"/>
      <c r="PFT33" s="134"/>
      <c r="PFW33" s="134"/>
      <c r="PFZ33" s="134"/>
      <c r="PGC33" s="134"/>
      <c r="PGF33" s="134"/>
      <c r="PGI33" s="134"/>
      <c r="PGL33" s="134"/>
      <c r="PGO33" s="134"/>
      <c r="PGR33" s="134"/>
      <c r="PGU33" s="134"/>
      <c r="PGX33" s="134"/>
      <c r="PHA33" s="134"/>
      <c r="PHD33" s="134"/>
      <c r="PHG33" s="134"/>
      <c r="PHJ33" s="134"/>
      <c r="PHM33" s="134"/>
      <c r="PHP33" s="134"/>
      <c r="PHS33" s="134"/>
      <c r="PHV33" s="134"/>
      <c r="PHY33" s="134"/>
      <c r="PIB33" s="134"/>
      <c r="PIE33" s="134"/>
      <c r="PIH33" s="134"/>
      <c r="PIK33" s="134"/>
      <c r="PIN33" s="134"/>
      <c r="PIQ33" s="134"/>
      <c r="PIT33" s="134"/>
      <c r="PIW33" s="134"/>
      <c r="PIZ33" s="134"/>
      <c r="PJC33" s="134"/>
      <c r="PJF33" s="134"/>
      <c r="PJI33" s="134"/>
      <c r="PJL33" s="134"/>
      <c r="PJO33" s="134"/>
      <c r="PJR33" s="134"/>
      <c r="PJU33" s="134"/>
      <c r="PJX33" s="134"/>
      <c r="PKA33" s="134"/>
      <c r="PKD33" s="134"/>
      <c r="PKG33" s="134"/>
      <c r="PKJ33" s="134"/>
      <c r="PKM33" s="134"/>
      <c r="PKP33" s="134"/>
      <c r="PKS33" s="134"/>
      <c r="PKV33" s="134"/>
      <c r="PKY33" s="134"/>
      <c r="PLB33" s="134"/>
      <c r="PLE33" s="134"/>
      <c r="PLH33" s="134"/>
      <c r="PLK33" s="134"/>
      <c r="PLN33" s="134"/>
      <c r="PLQ33" s="134"/>
      <c r="PLT33" s="134"/>
      <c r="PLW33" s="134"/>
      <c r="PLZ33" s="134"/>
      <c r="PMC33" s="134"/>
      <c r="PMF33" s="134"/>
      <c r="PMI33" s="134"/>
      <c r="PML33" s="134"/>
      <c r="PMO33" s="134"/>
      <c r="PMR33" s="134"/>
      <c r="PMU33" s="134"/>
      <c r="PMX33" s="134"/>
      <c r="PNA33" s="134"/>
      <c r="PND33" s="134"/>
      <c r="PNG33" s="134"/>
      <c r="PNJ33" s="134"/>
      <c r="PNM33" s="134"/>
      <c r="PNP33" s="134"/>
      <c r="PNS33" s="134"/>
      <c r="PNV33" s="134"/>
      <c r="PNY33" s="134"/>
      <c r="POB33" s="134"/>
      <c r="POE33" s="134"/>
      <c r="POH33" s="134"/>
      <c r="POK33" s="134"/>
      <c r="PON33" s="134"/>
      <c r="POQ33" s="134"/>
      <c r="POT33" s="134"/>
      <c r="POW33" s="134"/>
      <c r="POZ33" s="134"/>
      <c r="PPC33" s="134"/>
      <c r="PPF33" s="134"/>
      <c r="PPI33" s="134"/>
      <c r="PPL33" s="134"/>
      <c r="PPO33" s="134"/>
      <c r="PPR33" s="134"/>
      <c r="PPU33" s="134"/>
      <c r="PPX33" s="134"/>
      <c r="PQA33" s="134"/>
      <c r="PQD33" s="134"/>
      <c r="PQG33" s="134"/>
      <c r="PQJ33" s="134"/>
      <c r="PQM33" s="134"/>
      <c r="PQP33" s="134"/>
      <c r="PQS33" s="134"/>
      <c r="PQV33" s="134"/>
      <c r="PQY33" s="134"/>
      <c r="PRB33" s="134"/>
      <c r="PRE33" s="134"/>
      <c r="PRH33" s="134"/>
      <c r="PRK33" s="134"/>
      <c r="PRN33" s="134"/>
      <c r="PRQ33" s="134"/>
      <c r="PRT33" s="134"/>
      <c r="PRW33" s="134"/>
      <c r="PRZ33" s="134"/>
      <c r="PSC33" s="134"/>
      <c r="PSF33" s="134"/>
      <c r="PSI33" s="134"/>
      <c r="PSL33" s="134"/>
      <c r="PSO33" s="134"/>
      <c r="PSR33" s="134"/>
      <c r="PSU33" s="134"/>
      <c r="PSX33" s="134"/>
      <c r="PTA33" s="134"/>
      <c r="PTD33" s="134"/>
      <c r="PTG33" s="134"/>
      <c r="PTJ33" s="134"/>
      <c r="PTM33" s="134"/>
      <c r="PTP33" s="134"/>
      <c r="PTS33" s="134"/>
      <c r="PTV33" s="134"/>
      <c r="PTY33" s="134"/>
      <c r="PUB33" s="134"/>
      <c r="PUE33" s="134"/>
      <c r="PUH33" s="134"/>
      <c r="PUK33" s="134"/>
      <c r="PUN33" s="134"/>
      <c r="PUQ33" s="134"/>
      <c r="PUT33" s="134"/>
      <c r="PUW33" s="134"/>
      <c r="PUZ33" s="134"/>
      <c r="PVC33" s="134"/>
      <c r="PVF33" s="134"/>
      <c r="PVI33" s="134"/>
      <c r="PVL33" s="134"/>
      <c r="PVO33" s="134"/>
      <c r="PVR33" s="134"/>
      <c r="PVU33" s="134"/>
      <c r="PVX33" s="134"/>
      <c r="PWA33" s="134"/>
      <c r="PWD33" s="134"/>
      <c r="PWG33" s="134"/>
      <c r="PWJ33" s="134"/>
      <c r="PWM33" s="134"/>
      <c r="PWP33" s="134"/>
      <c r="PWS33" s="134"/>
      <c r="PWV33" s="134"/>
      <c r="PWY33" s="134"/>
      <c r="PXB33" s="134"/>
      <c r="PXE33" s="134"/>
      <c r="PXH33" s="134"/>
      <c r="PXK33" s="134"/>
      <c r="PXN33" s="134"/>
      <c r="PXQ33" s="134"/>
      <c r="PXT33" s="134"/>
      <c r="PXW33" s="134"/>
      <c r="PXZ33" s="134"/>
      <c r="PYC33" s="134"/>
      <c r="PYF33" s="134"/>
      <c r="PYI33" s="134"/>
      <c r="PYL33" s="134"/>
      <c r="PYO33" s="134"/>
      <c r="PYR33" s="134"/>
      <c r="PYU33" s="134"/>
      <c r="PYX33" s="134"/>
      <c r="PZA33" s="134"/>
      <c r="PZD33" s="134"/>
      <c r="PZG33" s="134"/>
      <c r="PZJ33" s="134"/>
      <c r="PZM33" s="134"/>
      <c r="PZP33" s="134"/>
      <c r="PZS33" s="134"/>
      <c r="PZV33" s="134"/>
      <c r="PZY33" s="134"/>
      <c r="QAB33" s="134"/>
      <c r="QAE33" s="134"/>
      <c r="QAH33" s="134"/>
      <c r="QAK33" s="134"/>
      <c r="QAN33" s="134"/>
      <c r="QAQ33" s="134"/>
      <c r="QAT33" s="134"/>
      <c r="QAW33" s="134"/>
      <c r="QAZ33" s="134"/>
      <c r="QBC33" s="134"/>
      <c r="QBF33" s="134"/>
      <c r="QBI33" s="134"/>
      <c r="QBL33" s="134"/>
      <c r="QBO33" s="134"/>
      <c r="QBR33" s="134"/>
      <c r="QBU33" s="134"/>
      <c r="QBX33" s="134"/>
      <c r="QCA33" s="134"/>
      <c r="QCD33" s="134"/>
      <c r="QCG33" s="134"/>
      <c r="QCJ33" s="134"/>
      <c r="QCM33" s="134"/>
      <c r="QCP33" s="134"/>
      <c r="QCS33" s="134"/>
      <c r="QCV33" s="134"/>
      <c r="QCY33" s="134"/>
      <c r="QDB33" s="134"/>
      <c r="QDE33" s="134"/>
      <c r="QDH33" s="134"/>
      <c r="QDK33" s="134"/>
      <c r="QDN33" s="134"/>
      <c r="QDQ33" s="134"/>
      <c r="QDT33" s="134"/>
      <c r="QDW33" s="134"/>
      <c r="QDZ33" s="134"/>
      <c r="QEC33" s="134"/>
      <c r="QEF33" s="134"/>
      <c r="QEI33" s="134"/>
      <c r="QEL33" s="134"/>
      <c r="QEO33" s="134"/>
      <c r="QER33" s="134"/>
      <c r="QEU33" s="134"/>
      <c r="QEX33" s="134"/>
      <c r="QFA33" s="134"/>
      <c r="QFD33" s="134"/>
      <c r="QFG33" s="134"/>
      <c r="QFJ33" s="134"/>
      <c r="QFM33" s="134"/>
      <c r="QFP33" s="134"/>
      <c r="QFS33" s="134"/>
      <c r="QFV33" s="134"/>
      <c r="QFY33" s="134"/>
      <c r="QGB33" s="134"/>
      <c r="QGE33" s="134"/>
      <c r="QGH33" s="134"/>
      <c r="QGK33" s="134"/>
      <c r="QGN33" s="134"/>
      <c r="QGQ33" s="134"/>
      <c r="QGT33" s="134"/>
      <c r="QGW33" s="134"/>
      <c r="QGZ33" s="134"/>
      <c r="QHC33" s="134"/>
      <c r="QHF33" s="134"/>
      <c r="QHI33" s="134"/>
      <c r="QHL33" s="134"/>
      <c r="QHO33" s="134"/>
      <c r="QHR33" s="134"/>
      <c r="QHU33" s="134"/>
      <c r="QHX33" s="134"/>
      <c r="QIA33" s="134"/>
      <c r="QID33" s="134"/>
      <c r="QIG33" s="134"/>
      <c r="QIJ33" s="134"/>
      <c r="QIM33" s="134"/>
      <c r="QIP33" s="134"/>
      <c r="QIS33" s="134"/>
      <c r="QIV33" s="134"/>
      <c r="QIY33" s="134"/>
      <c r="QJB33" s="134"/>
      <c r="QJE33" s="134"/>
      <c r="QJH33" s="134"/>
      <c r="QJK33" s="134"/>
      <c r="QJN33" s="134"/>
      <c r="QJQ33" s="134"/>
      <c r="QJT33" s="134"/>
      <c r="QJW33" s="134"/>
      <c r="QJZ33" s="134"/>
      <c r="QKC33" s="134"/>
      <c r="QKF33" s="134"/>
      <c r="QKI33" s="134"/>
      <c r="QKL33" s="134"/>
      <c r="QKO33" s="134"/>
      <c r="QKR33" s="134"/>
      <c r="QKU33" s="134"/>
      <c r="QKX33" s="134"/>
      <c r="QLA33" s="134"/>
      <c r="QLD33" s="134"/>
      <c r="QLG33" s="134"/>
      <c r="QLJ33" s="134"/>
      <c r="QLM33" s="134"/>
      <c r="QLP33" s="134"/>
      <c r="QLS33" s="134"/>
      <c r="QLV33" s="134"/>
      <c r="QLY33" s="134"/>
      <c r="QMB33" s="134"/>
      <c r="QME33" s="134"/>
      <c r="QMH33" s="134"/>
      <c r="QMK33" s="134"/>
      <c r="QMN33" s="134"/>
      <c r="QMQ33" s="134"/>
      <c r="QMT33" s="134"/>
      <c r="QMW33" s="134"/>
      <c r="QMZ33" s="134"/>
      <c r="QNC33" s="134"/>
      <c r="QNF33" s="134"/>
      <c r="QNI33" s="134"/>
      <c r="QNL33" s="134"/>
      <c r="QNO33" s="134"/>
      <c r="QNR33" s="134"/>
      <c r="QNU33" s="134"/>
      <c r="QNX33" s="134"/>
      <c r="QOA33" s="134"/>
      <c r="QOD33" s="134"/>
      <c r="QOG33" s="134"/>
      <c r="QOJ33" s="134"/>
      <c r="QOM33" s="134"/>
      <c r="QOP33" s="134"/>
      <c r="QOS33" s="134"/>
      <c r="QOV33" s="134"/>
      <c r="QOY33" s="134"/>
      <c r="QPB33" s="134"/>
      <c r="QPE33" s="134"/>
      <c r="QPH33" s="134"/>
      <c r="QPK33" s="134"/>
      <c r="QPN33" s="134"/>
      <c r="QPQ33" s="134"/>
      <c r="QPT33" s="134"/>
      <c r="QPW33" s="134"/>
      <c r="QPZ33" s="134"/>
      <c r="QQC33" s="134"/>
      <c r="QQF33" s="134"/>
      <c r="QQI33" s="134"/>
      <c r="QQL33" s="134"/>
      <c r="QQO33" s="134"/>
      <c r="QQR33" s="134"/>
      <c r="QQU33" s="134"/>
      <c r="QQX33" s="134"/>
      <c r="QRA33" s="134"/>
      <c r="QRD33" s="134"/>
      <c r="QRG33" s="134"/>
      <c r="QRJ33" s="134"/>
      <c r="QRM33" s="134"/>
      <c r="QRP33" s="134"/>
      <c r="QRS33" s="134"/>
      <c r="QRV33" s="134"/>
      <c r="QRY33" s="134"/>
      <c r="QSB33" s="134"/>
      <c r="QSE33" s="134"/>
      <c r="QSH33" s="134"/>
      <c r="QSK33" s="134"/>
      <c r="QSN33" s="134"/>
      <c r="QSQ33" s="134"/>
      <c r="QST33" s="134"/>
      <c r="QSW33" s="134"/>
      <c r="QSZ33" s="134"/>
      <c r="QTC33" s="134"/>
      <c r="QTF33" s="134"/>
      <c r="QTI33" s="134"/>
      <c r="QTL33" s="134"/>
      <c r="QTO33" s="134"/>
      <c r="QTR33" s="134"/>
      <c r="QTU33" s="134"/>
      <c r="QTX33" s="134"/>
      <c r="QUA33" s="134"/>
      <c r="QUD33" s="134"/>
      <c r="QUG33" s="134"/>
      <c r="QUJ33" s="134"/>
      <c r="QUM33" s="134"/>
      <c r="QUP33" s="134"/>
      <c r="QUS33" s="134"/>
      <c r="QUV33" s="134"/>
      <c r="QUY33" s="134"/>
      <c r="QVB33" s="134"/>
      <c r="QVE33" s="134"/>
      <c r="QVH33" s="134"/>
      <c r="QVK33" s="134"/>
      <c r="QVN33" s="134"/>
      <c r="QVQ33" s="134"/>
      <c r="QVT33" s="134"/>
      <c r="QVW33" s="134"/>
      <c r="QVZ33" s="134"/>
      <c r="QWC33" s="134"/>
      <c r="QWF33" s="134"/>
      <c r="QWI33" s="134"/>
      <c r="QWL33" s="134"/>
      <c r="QWO33" s="134"/>
      <c r="QWR33" s="134"/>
      <c r="QWU33" s="134"/>
      <c r="QWX33" s="134"/>
      <c r="QXA33" s="134"/>
      <c r="QXD33" s="134"/>
      <c r="QXG33" s="134"/>
      <c r="QXJ33" s="134"/>
      <c r="QXM33" s="134"/>
      <c r="QXP33" s="134"/>
      <c r="QXS33" s="134"/>
      <c r="QXV33" s="134"/>
      <c r="QXY33" s="134"/>
      <c r="QYB33" s="134"/>
      <c r="QYE33" s="134"/>
      <c r="QYH33" s="134"/>
      <c r="QYK33" s="134"/>
      <c r="QYN33" s="134"/>
      <c r="QYQ33" s="134"/>
      <c r="QYT33" s="134"/>
      <c r="QYW33" s="134"/>
      <c r="QYZ33" s="134"/>
      <c r="QZC33" s="134"/>
      <c r="QZF33" s="134"/>
      <c r="QZI33" s="134"/>
      <c r="QZL33" s="134"/>
      <c r="QZO33" s="134"/>
      <c r="QZR33" s="134"/>
      <c r="QZU33" s="134"/>
      <c r="QZX33" s="134"/>
      <c r="RAA33" s="134"/>
      <c r="RAD33" s="134"/>
      <c r="RAG33" s="134"/>
      <c r="RAJ33" s="134"/>
      <c r="RAM33" s="134"/>
      <c r="RAP33" s="134"/>
      <c r="RAS33" s="134"/>
      <c r="RAV33" s="134"/>
      <c r="RAY33" s="134"/>
      <c r="RBB33" s="134"/>
      <c r="RBE33" s="134"/>
      <c r="RBH33" s="134"/>
      <c r="RBK33" s="134"/>
      <c r="RBN33" s="134"/>
      <c r="RBQ33" s="134"/>
      <c r="RBT33" s="134"/>
      <c r="RBW33" s="134"/>
      <c r="RBZ33" s="134"/>
      <c r="RCC33" s="134"/>
      <c r="RCF33" s="134"/>
      <c r="RCI33" s="134"/>
      <c r="RCL33" s="134"/>
      <c r="RCO33" s="134"/>
      <c r="RCR33" s="134"/>
      <c r="RCU33" s="134"/>
      <c r="RCX33" s="134"/>
      <c r="RDA33" s="134"/>
      <c r="RDD33" s="134"/>
      <c r="RDG33" s="134"/>
      <c r="RDJ33" s="134"/>
      <c r="RDM33" s="134"/>
      <c r="RDP33" s="134"/>
      <c r="RDS33" s="134"/>
      <c r="RDV33" s="134"/>
      <c r="RDY33" s="134"/>
      <c r="REB33" s="134"/>
      <c r="REE33" s="134"/>
      <c r="REH33" s="134"/>
      <c r="REK33" s="134"/>
      <c r="REN33" s="134"/>
      <c r="REQ33" s="134"/>
      <c r="RET33" s="134"/>
      <c r="REW33" s="134"/>
      <c r="REZ33" s="134"/>
      <c r="RFC33" s="134"/>
      <c r="RFF33" s="134"/>
      <c r="RFI33" s="134"/>
      <c r="RFL33" s="134"/>
      <c r="RFO33" s="134"/>
      <c r="RFR33" s="134"/>
      <c r="RFU33" s="134"/>
      <c r="RFX33" s="134"/>
      <c r="RGA33" s="134"/>
      <c r="RGD33" s="134"/>
      <c r="RGG33" s="134"/>
      <c r="RGJ33" s="134"/>
      <c r="RGM33" s="134"/>
      <c r="RGP33" s="134"/>
      <c r="RGS33" s="134"/>
      <c r="RGV33" s="134"/>
      <c r="RGY33" s="134"/>
      <c r="RHB33" s="134"/>
      <c r="RHE33" s="134"/>
      <c r="RHH33" s="134"/>
      <c r="RHK33" s="134"/>
      <c r="RHN33" s="134"/>
      <c r="RHQ33" s="134"/>
      <c r="RHT33" s="134"/>
      <c r="RHW33" s="134"/>
      <c r="RHZ33" s="134"/>
      <c r="RIC33" s="134"/>
      <c r="RIF33" s="134"/>
      <c r="RII33" s="134"/>
      <c r="RIL33" s="134"/>
      <c r="RIO33" s="134"/>
      <c r="RIR33" s="134"/>
      <c r="RIU33" s="134"/>
      <c r="RIX33" s="134"/>
      <c r="RJA33" s="134"/>
      <c r="RJD33" s="134"/>
      <c r="RJG33" s="134"/>
      <c r="RJJ33" s="134"/>
      <c r="RJM33" s="134"/>
      <c r="RJP33" s="134"/>
      <c r="RJS33" s="134"/>
      <c r="RJV33" s="134"/>
      <c r="RJY33" s="134"/>
      <c r="RKB33" s="134"/>
      <c r="RKE33" s="134"/>
      <c r="RKH33" s="134"/>
      <c r="RKK33" s="134"/>
      <c r="RKN33" s="134"/>
      <c r="RKQ33" s="134"/>
      <c r="RKT33" s="134"/>
      <c r="RKW33" s="134"/>
      <c r="RKZ33" s="134"/>
      <c r="RLC33" s="134"/>
      <c r="RLF33" s="134"/>
      <c r="RLI33" s="134"/>
      <c r="RLL33" s="134"/>
      <c r="RLO33" s="134"/>
      <c r="RLR33" s="134"/>
      <c r="RLU33" s="134"/>
      <c r="RLX33" s="134"/>
      <c r="RMA33" s="134"/>
      <c r="RMD33" s="134"/>
      <c r="RMG33" s="134"/>
      <c r="RMJ33" s="134"/>
      <c r="RMM33" s="134"/>
      <c r="RMP33" s="134"/>
      <c r="RMS33" s="134"/>
      <c r="RMV33" s="134"/>
      <c r="RMY33" s="134"/>
      <c r="RNB33" s="134"/>
      <c r="RNE33" s="134"/>
      <c r="RNH33" s="134"/>
      <c r="RNK33" s="134"/>
      <c r="RNN33" s="134"/>
      <c r="RNQ33" s="134"/>
      <c r="RNT33" s="134"/>
      <c r="RNW33" s="134"/>
      <c r="RNZ33" s="134"/>
      <c r="ROC33" s="134"/>
      <c r="ROF33" s="134"/>
      <c r="ROI33" s="134"/>
      <c r="ROL33" s="134"/>
      <c r="ROO33" s="134"/>
      <c r="ROR33" s="134"/>
      <c r="ROU33" s="134"/>
      <c r="ROX33" s="134"/>
      <c r="RPA33" s="134"/>
      <c r="RPD33" s="134"/>
      <c r="RPG33" s="134"/>
      <c r="RPJ33" s="134"/>
      <c r="RPM33" s="134"/>
      <c r="RPP33" s="134"/>
      <c r="RPS33" s="134"/>
      <c r="RPV33" s="134"/>
      <c r="RPY33" s="134"/>
      <c r="RQB33" s="134"/>
      <c r="RQE33" s="134"/>
      <c r="RQH33" s="134"/>
      <c r="RQK33" s="134"/>
      <c r="RQN33" s="134"/>
      <c r="RQQ33" s="134"/>
      <c r="RQT33" s="134"/>
      <c r="RQW33" s="134"/>
      <c r="RQZ33" s="134"/>
      <c r="RRC33" s="134"/>
      <c r="RRF33" s="134"/>
      <c r="RRI33" s="134"/>
      <c r="RRL33" s="134"/>
      <c r="RRO33" s="134"/>
      <c r="RRR33" s="134"/>
      <c r="RRU33" s="134"/>
      <c r="RRX33" s="134"/>
      <c r="RSA33" s="134"/>
      <c r="RSD33" s="134"/>
      <c r="RSG33" s="134"/>
      <c r="RSJ33" s="134"/>
      <c r="RSM33" s="134"/>
      <c r="RSP33" s="134"/>
      <c r="RSS33" s="134"/>
      <c r="RSV33" s="134"/>
      <c r="RSY33" s="134"/>
      <c r="RTB33" s="134"/>
      <c r="RTE33" s="134"/>
      <c r="RTH33" s="134"/>
      <c r="RTK33" s="134"/>
      <c r="RTN33" s="134"/>
      <c r="RTQ33" s="134"/>
      <c r="RTT33" s="134"/>
      <c r="RTW33" s="134"/>
      <c r="RTZ33" s="134"/>
      <c r="RUC33" s="134"/>
      <c r="RUF33" s="134"/>
      <c r="RUI33" s="134"/>
      <c r="RUL33" s="134"/>
      <c r="RUO33" s="134"/>
      <c r="RUR33" s="134"/>
      <c r="RUU33" s="134"/>
      <c r="RUX33" s="134"/>
      <c r="RVA33" s="134"/>
      <c r="RVD33" s="134"/>
      <c r="RVG33" s="134"/>
      <c r="RVJ33" s="134"/>
      <c r="RVM33" s="134"/>
      <c r="RVP33" s="134"/>
      <c r="RVS33" s="134"/>
      <c r="RVV33" s="134"/>
      <c r="RVY33" s="134"/>
      <c r="RWB33" s="134"/>
      <c r="RWE33" s="134"/>
      <c r="RWH33" s="134"/>
      <c r="RWK33" s="134"/>
      <c r="RWN33" s="134"/>
      <c r="RWQ33" s="134"/>
      <c r="RWT33" s="134"/>
      <c r="RWW33" s="134"/>
      <c r="RWZ33" s="134"/>
      <c r="RXC33" s="134"/>
      <c r="RXF33" s="134"/>
      <c r="RXI33" s="134"/>
      <c r="RXL33" s="134"/>
      <c r="RXO33" s="134"/>
      <c r="RXR33" s="134"/>
      <c r="RXU33" s="134"/>
      <c r="RXX33" s="134"/>
      <c r="RYA33" s="134"/>
      <c r="RYD33" s="134"/>
      <c r="RYG33" s="134"/>
      <c r="RYJ33" s="134"/>
      <c r="RYM33" s="134"/>
      <c r="RYP33" s="134"/>
      <c r="RYS33" s="134"/>
      <c r="RYV33" s="134"/>
      <c r="RYY33" s="134"/>
      <c r="RZB33" s="134"/>
      <c r="RZE33" s="134"/>
      <c r="RZH33" s="134"/>
      <c r="RZK33" s="134"/>
      <c r="RZN33" s="134"/>
      <c r="RZQ33" s="134"/>
      <c r="RZT33" s="134"/>
      <c r="RZW33" s="134"/>
      <c r="RZZ33" s="134"/>
      <c r="SAC33" s="134"/>
      <c r="SAF33" s="134"/>
      <c r="SAI33" s="134"/>
      <c r="SAL33" s="134"/>
      <c r="SAO33" s="134"/>
      <c r="SAR33" s="134"/>
      <c r="SAU33" s="134"/>
      <c r="SAX33" s="134"/>
      <c r="SBA33" s="134"/>
      <c r="SBD33" s="134"/>
      <c r="SBG33" s="134"/>
      <c r="SBJ33" s="134"/>
      <c r="SBM33" s="134"/>
      <c r="SBP33" s="134"/>
      <c r="SBS33" s="134"/>
      <c r="SBV33" s="134"/>
      <c r="SBY33" s="134"/>
      <c r="SCB33" s="134"/>
      <c r="SCE33" s="134"/>
      <c r="SCH33" s="134"/>
      <c r="SCK33" s="134"/>
      <c r="SCN33" s="134"/>
      <c r="SCQ33" s="134"/>
      <c r="SCT33" s="134"/>
      <c r="SCW33" s="134"/>
      <c r="SCZ33" s="134"/>
      <c r="SDC33" s="134"/>
      <c r="SDF33" s="134"/>
      <c r="SDI33" s="134"/>
      <c r="SDL33" s="134"/>
      <c r="SDO33" s="134"/>
      <c r="SDR33" s="134"/>
      <c r="SDU33" s="134"/>
      <c r="SDX33" s="134"/>
      <c r="SEA33" s="134"/>
      <c r="SED33" s="134"/>
      <c r="SEG33" s="134"/>
      <c r="SEJ33" s="134"/>
      <c r="SEM33" s="134"/>
      <c r="SEP33" s="134"/>
      <c r="SES33" s="134"/>
      <c r="SEV33" s="134"/>
      <c r="SEY33" s="134"/>
      <c r="SFB33" s="134"/>
      <c r="SFE33" s="134"/>
      <c r="SFH33" s="134"/>
      <c r="SFK33" s="134"/>
      <c r="SFN33" s="134"/>
      <c r="SFQ33" s="134"/>
      <c r="SFT33" s="134"/>
      <c r="SFW33" s="134"/>
      <c r="SFZ33" s="134"/>
      <c r="SGC33" s="134"/>
      <c r="SGF33" s="134"/>
      <c r="SGI33" s="134"/>
      <c r="SGL33" s="134"/>
      <c r="SGO33" s="134"/>
      <c r="SGR33" s="134"/>
      <c r="SGU33" s="134"/>
      <c r="SGX33" s="134"/>
      <c r="SHA33" s="134"/>
      <c r="SHD33" s="134"/>
      <c r="SHG33" s="134"/>
      <c r="SHJ33" s="134"/>
      <c r="SHM33" s="134"/>
      <c r="SHP33" s="134"/>
      <c r="SHS33" s="134"/>
      <c r="SHV33" s="134"/>
      <c r="SHY33" s="134"/>
      <c r="SIB33" s="134"/>
      <c r="SIE33" s="134"/>
      <c r="SIH33" s="134"/>
      <c r="SIK33" s="134"/>
      <c r="SIN33" s="134"/>
      <c r="SIQ33" s="134"/>
      <c r="SIT33" s="134"/>
      <c r="SIW33" s="134"/>
      <c r="SIZ33" s="134"/>
      <c r="SJC33" s="134"/>
      <c r="SJF33" s="134"/>
      <c r="SJI33" s="134"/>
      <c r="SJL33" s="134"/>
      <c r="SJO33" s="134"/>
      <c r="SJR33" s="134"/>
      <c r="SJU33" s="134"/>
      <c r="SJX33" s="134"/>
      <c r="SKA33" s="134"/>
      <c r="SKD33" s="134"/>
      <c r="SKG33" s="134"/>
      <c r="SKJ33" s="134"/>
      <c r="SKM33" s="134"/>
      <c r="SKP33" s="134"/>
      <c r="SKS33" s="134"/>
      <c r="SKV33" s="134"/>
      <c r="SKY33" s="134"/>
      <c r="SLB33" s="134"/>
      <c r="SLE33" s="134"/>
      <c r="SLH33" s="134"/>
      <c r="SLK33" s="134"/>
      <c r="SLN33" s="134"/>
      <c r="SLQ33" s="134"/>
      <c r="SLT33" s="134"/>
      <c r="SLW33" s="134"/>
      <c r="SLZ33" s="134"/>
      <c r="SMC33" s="134"/>
      <c r="SMF33" s="134"/>
      <c r="SMI33" s="134"/>
      <c r="SML33" s="134"/>
      <c r="SMO33" s="134"/>
      <c r="SMR33" s="134"/>
      <c r="SMU33" s="134"/>
      <c r="SMX33" s="134"/>
      <c r="SNA33" s="134"/>
      <c r="SND33" s="134"/>
      <c r="SNG33" s="134"/>
      <c r="SNJ33" s="134"/>
      <c r="SNM33" s="134"/>
      <c r="SNP33" s="134"/>
      <c r="SNS33" s="134"/>
      <c r="SNV33" s="134"/>
      <c r="SNY33" s="134"/>
      <c r="SOB33" s="134"/>
      <c r="SOE33" s="134"/>
      <c r="SOH33" s="134"/>
      <c r="SOK33" s="134"/>
      <c r="SON33" s="134"/>
      <c r="SOQ33" s="134"/>
      <c r="SOT33" s="134"/>
      <c r="SOW33" s="134"/>
      <c r="SOZ33" s="134"/>
      <c r="SPC33" s="134"/>
      <c r="SPF33" s="134"/>
      <c r="SPI33" s="134"/>
      <c r="SPL33" s="134"/>
      <c r="SPO33" s="134"/>
      <c r="SPR33" s="134"/>
      <c r="SPU33" s="134"/>
      <c r="SPX33" s="134"/>
      <c r="SQA33" s="134"/>
      <c r="SQD33" s="134"/>
      <c r="SQG33" s="134"/>
      <c r="SQJ33" s="134"/>
      <c r="SQM33" s="134"/>
      <c r="SQP33" s="134"/>
      <c r="SQS33" s="134"/>
      <c r="SQV33" s="134"/>
      <c r="SQY33" s="134"/>
      <c r="SRB33" s="134"/>
      <c r="SRE33" s="134"/>
      <c r="SRH33" s="134"/>
      <c r="SRK33" s="134"/>
      <c r="SRN33" s="134"/>
      <c r="SRQ33" s="134"/>
      <c r="SRT33" s="134"/>
      <c r="SRW33" s="134"/>
      <c r="SRZ33" s="134"/>
      <c r="SSC33" s="134"/>
      <c r="SSF33" s="134"/>
      <c r="SSI33" s="134"/>
      <c r="SSL33" s="134"/>
      <c r="SSO33" s="134"/>
      <c r="SSR33" s="134"/>
      <c r="SSU33" s="134"/>
      <c r="SSX33" s="134"/>
      <c r="STA33" s="134"/>
      <c r="STD33" s="134"/>
      <c r="STG33" s="134"/>
      <c r="STJ33" s="134"/>
      <c r="STM33" s="134"/>
      <c r="STP33" s="134"/>
      <c r="STS33" s="134"/>
      <c r="STV33" s="134"/>
      <c r="STY33" s="134"/>
      <c r="SUB33" s="134"/>
      <c r="SUE33" s="134"/>
      <c r="SUH33" s="134"/>
      <c r="SUK33" s="134"/>
      <c r="SUN33" s="134"/>
      <c r="SUQ33" s="134"/>
      <c r="SUT33" s="134"/>
      <c r="SUW33" s="134"/>
      <c r="SUZ33" s="134"/>
      <c r="SVC33" s="134"/>
      <c r="SVF33" s="134"/>
      <c r="SVI33" s="134"/>
      <c r="SVL33" s="134"/>
      <c r="SVO33" s="134"/>
      <c r="SVR33" s="134"/>
      <c r="SVU33" s="134"/>
      <c r="SVX33" s="134"/>
      <c r="SWA33" s="134"/>
      <c r="SWD33" s="134"/>
      <c r="SWG33" s="134"/>
      <c r="SWJ33" s="134"/>
      <c r="SWM33" s="134"/>
      <c r="SWP33" s="134"/>
      <c r="SWS33" s="134"/>
      <c r="SWV33" s="134"/>
      <c r="SWY33" s="134"/>
      <c r="SXB33" s="134"/>
      <c r="SXE33" s="134"/>
      <c r="SXH33" s="134"/>
      <c r="SXK33" s="134"/>
      <c r="SXN33" s="134"/>
      <c r="SXQ33" s="134"/>
      <c r="SXT33" s="134"/>
      <c r="SXW33" s="134"/>
      <c r="SXZ33" s="134"/>
      <c r="SYC33" s="134"/>
      <c r="SYF33" s="134"/>
      <c r="SYI33" s="134"/>
      <c r="SYL33" s="134"/>
      <c r="SYO33" s="134"/>
      <c r="SYR33" s="134"/>
      <c r="SYU33" s="134"/>
      <c r="SYX33" s="134"/>
      <c r="SZA33" s="134"/>
      <c r="SZD33" s="134"/>
      <c r="SZG33" s="134"/>
      <c r="SZJ33" s="134"/>
      <c r="SZM33" s="134"/>
      <c r="SZP33" s="134"/>
      <c r="SZS33" s="134"/>
      <c r="SZV33" s="134"/>
      <c r="SZY33" s="134"/>
      <c r="TAB33" s="134"/>
      <c r="TAE33" s="134"/>
      <c r="TAH33" s="134"/>
      <c r="TAK33" s="134"/>
      <c r="TAN33" s="134"/>
      <c r="TAQ33" s="134"/>
      <c r="TAT33" s="134"/>
      <c r="TAW33" s="134"/>
      <c r="TAZ33" s="134"/>
      <c r="TBC33" s="134"/>
      <c r="TBF33" s="134"/>
      <c r="TBI33" s="134"/>
      <c r="TBL33" s="134"/>
      <c r="TBO33" s="134"/>
      <c r="TBR33" s="134"/>
      <c r="TBU33" s="134"/>
      <c r="TBX33" s="134"/>
      <c r="TCA33" s="134"/>
      <c r="TCD33" s="134"/>
      <c r="TCG33" s="134"/>
      <c r="TCJ33" s="134"/>
      <c r="TCM33" s="134"/>
      <c r="TCP33" s="134"/>
      <c r="TCS33" s="134"/>
      <c r="TCV33" s="134"/>
      <c r="TCY33" s="134"/>
      <c r="TDB33" s="134"/>
      <c r="TDE33" s="134"/>
      <c r="TDH33" s="134"/>
      <c r="TDK33" s="134"/>
      <c r="TDN33" s="134"/>
      <c r="TDQ33" s="134"/>
      <c r="TDT33" s="134"/>
      <c r="TDW33" s="134"/>
      <c r="TDZ33" s="134"/>
      <c r="TEC33" s="134"/>
      <c r="TEF33" s="134"/>
      <c r="TEI33" s="134"/>
      <c r="TEL33" s="134"/>
      <c r="TEO33" s="134"/>
      <c r="TER33" s="134"/>
      <c r="TEU33" s="134"/>
      <c r="TEX33" s="134"/>
      <c r="TFA33" s="134"/>
      <c r="TFD33" s="134"/>
      <c r="TFG33" s="134"/>
      <c r="TFJ33" s="134"/>
      <c r="TFM33" s="134"/>
      <c r="TFP33" s="134"/>
      <c r="TFS33" s="134"/>
      <c r="TFV33" s="134"/>
      <c r="TFY33" s="134"/>
      <c r="TGB33" s="134"/>
      <c r="TGE33" s="134"/>
      <c r="TGH33" s="134"/>
      <c r="TGK33" s="134"/>
      <c r="TGN33" s="134"/>
      <c r="TGQ33" s="134"/>
      <c r="TGT33" s="134"/>
      <c r="TGW33" s="134"/>
      <c r="TGZ33" s="134"/>
      <c r="THC33" s="134"/>
      <c r="THF33" s="134"/>
      <c r="THI33" s="134"/>
      <c r="THL33" s="134"/>
      <c r="THO33" s="134"/>
      <c r="THR33" s="134"/>
      <c r="THU33" s="134"/>
      <c r="THX33" s="134"/>
      <c r="TIA33" s="134"/>
      <c r="TID33" s="134"/>
      <c r="TIG33" s="134"/>
      <c r="TIJ33" s="134"/>
      <c r="TIM33" s="134"/>
      <c r="TIP33" s="134"/>
      <c r="TIS33" s="134"/>
      <c r="TIV33" s="134"/>
      <c r="TIY33" s="134"/>
      <c r="TJB33" s="134"/>
      <c r="TJE33" s="134"/>
      <c r="TJH33" s="134"/>
      <c r="TJK33" s="134"/>
      <c r="TJN33" s="134"/>
      <c r="TJQ33" s="134"/>
      <c r="TJT33" s="134"/>
      <c r="TJW33" s="134"/>
      <c r="TJZ33" s="134"/>
      <c r="TKC33" s="134"/>
      <c r="TKF33" s="134"/>
      <c r="TKI33" s="134"/>
      <c r="TKL33" s="134"/>
      <c r="TKO33" s="134"/>
      <c r="TKR33" s="134"/>
      <c r="TKU33" s="134"/>
      <c r="TKX33" s="134"/>
      <c r="TLA33" s="134"/>
      <c r="TLD33" s="134"/>
      <c r="TLG33" s="134"/>
      <c r="TLJ33" s="134"/>
      <c r="TLM33" s="134"/>
      <c r="TLP33" s="134"/>
      <c r="TLS33" s="134"/>
      <c r="TLV33" s="134"/>
      <c r="TLY33" s="134"/>
      <c r="TMB33" s="134"/>
      <c r="TME33" s="134"/>
      <c r="TMH33" s="134"/>
      <c r="TMK33" s="134"/>
      <c r="TMN33" s="134"/>
      <c r="TMQ33" s="134"/>
      <c r="TMT33" s="134"/>
      <c r="TMW33" s="134"/>
      <c r="TMZ33" s="134"/>
      <c r="TNC33" s="134"/>
      <c r="TNF33" s="134"/>
      <c r="TNI33" s="134"/>
      <c r="TNL33" s="134"/>
      <c r="TNO33" s="134"/>
      <c r="TNR33" s="134"/>
      <c r="TNU33" s="134"/>
      <c r="TNX33" s="134"/>
      <c r="TOA33" s="134"/>
      <c r="TOD33" s="134"/>
      <c r="TOG33" s="134"/>
      <c r="TOJ33" s="134"/>
      <c r="TOM33" s="134"/>
      <c r="TOP33" s="134"/>
      <c r="TOS33" s="134"/>
      <c r="TOV33" s="134"/>
      <c r="TOY33" s="134"/>
      <c r="TPB33" s="134"/>
      <c r="TPE33" s="134"/>
      <c r="TPH33" s="134"/>
      <c r="TPK33" s="134"/>
      <c r="TPN33" s="134"/>
      <c r="TPQ33" s="134"/>
      <c r="TPT33" s="134"/>
      <c r="TPW33" s="134"/>
      <c r="TPZ33" s="134"/>
      <c r="TQC33" s="134"/>
      <c r="TQF33" s="134"/>
      <c r="TQI33" s="134"/>
      <c r="TQL33" s="134"/>
      <c r="TQO33" s="134"/>
      <c r="TQR33" s="134"/>
      <c r="TQU33" s="134"/>
      <c r="TQX33" s="134"/>
      <c r="TRA33" s="134"/>
      <c r="TRD33" s="134"/>
      <c r="TRG33" s="134"/>
      <c r="TRJ33" s="134"/>
      <c r="TRM33" s="134"/>
      <c r="TRP33" s="134"/>
      <c r="TRS33" s="134"/>
      <c r="TRV33" s="134"/>
      <c r="TRY33" s="134"/>
      <c r="TSB33" s="134"/>
      <c r="TSE33" s="134"/>
      <c r="TSH33" s="134"/>
      <c r="TSK33" s="134"/>
      <c r="TSN33" s="134"/>
      <c r="TSQ33" s="134"/>
      <c r="TST33" s="134"/>
      <c r="TSW33" s="134"/>
      <c r="TSZ33" s="134"/>
      <c r="TTC33" s="134"/>
      <c r="TTF33" s="134"/>
      <c r="TTI33" s="134"/>
      <c r="TTL33" s="134"/>
      <c r="TTO33" s="134"/>
      <c r="TTR33" s="134"/>
      <c r="TTU33" s="134"/>
      <c r="TTX33" s="134"/>
      <c r="TUA33" s="134"/>
      <c r="TUD33" s="134"/>
      <c r="TUG33" s="134"/>
      <c r="TUJ33" s="134"/>
      <c r="TUM33" s="134"/>
      <c r="TUP33" s="134"/>
      <c r="TUS33" s="134"/>
      <c r="TUV33" s="134"/>
      <c r="TUY33" s="134"/>
      <c r="TVB33" s="134"/>
      <c r="TVE33" s="134"/>
      <c r="TVH33" s="134"/>
      <c r="TVK33" s="134"/>
      <c r="TVN33" s="134"/>
      <c r="TVQ33" s="134"/>
      <c r="TVT33" s="134"/>
      <c r="TVW33" s="134"/>
      <c r="TVZ33" s="134"/>
      <c r="TWC33" s="134"/>
      <c r="TWF33" s="134"/>
      <c r="TWI33" s="134"/>
      <c r="TWL33" s="134"/>
      <c r="TWO33" s="134"/>
      <c r="TWR33" s="134"/>
      <c r="TWU33" s="134"/>
      <c r="TWX33" s="134"/>
      <c r="TXA33" s="134"/>
      <c r="TXD33" s="134"/>
      <c r="TXG33" s="134"/>
      <c r="TXJ33" s="134"/>
      <c r="TXM33" s="134"/>
      <c r="TXP33" s="134"/>
      <c r="TXS33" s="134"/>
      <c r="TXV33" s="134"/>
      <c r="TXY33" s="134"/>
      <c r="TYB33" s="134"/>
      <c r="TYE33" s="134"/>
      <c r="TYH33" s="134"/>
      <c r="TYK33" s="134"/>
      <c r="TYN33" s="134"/>
      <c r="TYQ33" s="134"/>
      <c r="TYT33" s="134"/>
      <c r="TYW33" s="134"/>
      <c r="TYZ33" s="134"/>
      <c r="TZC33" s="134"/>
      <c r="TZF33" s="134"/>
      <c r="TZI33" s="134"/>
      <c r="TZL33" s="134"/>
      <c r="TZO33" s="134"/>
      <c r="TZR33" s="134"/>
      <c r="TZU33" s="134"/>
      <c r="TZX33" s="134"/>
      <c r="UAA33" s="134"/>
      <c r="UAD33" s="134"/>
      <c r="UAG33" s="134"/>
      <c r="UAJ33" s="134"/>
      <c r="UAM33" s="134"/>
      <c r="UAP33" s="134"/>
      <c r="UAS33" s="134"/>
      <c r="UAV33" s="134"/>
      <c r="UAY33" s="134"/>
      <c r="UBB33" s="134"/>
      <c r="UBE33" s="134"/>
      <c r="UBH33" s="134"/>
      <c r="UBK33" s="134"/>
      <c r="UBN33" s="134"/>
      <c r="UBQ33" s="134"/>
      <c r="UBT33" s="134"/>
      <c r="UBW33" s="134"/>
      <c r="UBZ33" s="134"/>
      <c r="UCC33" s="134"/>
      <c r="UCF33" s="134"/>
      <c r="UCI33" s="134"/>
      <c r="UCL33" s="134"/>
      <c r="UCO33" s="134"/>
      <c r="UCR33" s="134"/>
      <c r="UCU33" s="134"/>
      <c r="UCX33" s="134"/>
      <c r="UDA33" s="134"/>
      <c r="UDD33" s="134"/>
      <c r="UDG33" s="134"/>
      <c r="UDJ33" s="134"/>
      <c r="UDM33" s="134"/>
      <c r="UDP33" s="134"/>
      <c r="UDS33" s="134"/>
      <c r="UDV33" s="134"/>
      <c r="UDY33" s="134"/>
      <c r="UEB33" s="134"/>
      <c r="UEE33" s="134"/>
      <c r="UEH33" s="134"/>
      <c r="UEK33" s="134"/>
      <c r="UEN33" s="134"/>
      <c r="UEQ33" s="134"/>
      <c r="UET33" s="134"/>
      <c r="UEW33" s="134"/>
      <c r="UEZ33" s="134"/>
      <c r="UFC33" s="134"/>
      <c r="UFF33" s="134"/>
      <c r="UFI33" s="134"/>
      <c r="UFL33" s="134"/>
      <c r="UFO33" s="134"/>
      <c r="UFR33" s="134"/>
      <c r="UFU33" s="134"/>
      <c r="UFX33" s="134"/>
      <c r="UGA33" s="134"/>
      <c r="UGD33" s="134"/>
      <c r="UGG33" s="134"/>
      <c r="UGJ33" s="134"/>
      <c r="UGM33" s="134"/>
      <c r="UGP33" s="134"/>
      <c r="UGS33" s="134"/>
      <c r="UGV33" s="134"/>
      <c r="UGY33" s="134"/>
      <c r="UHB33" s="134"/>
      <c r="UHE33" s="134"/>
      <c r="UHH33" s="134"/>
      <c r="UHK33" s="134"/>
      <c r="UHN33" s="134"/>
      <c r="UHQ33" s="134"/>
      <c r="UHT33" s="134"/>
      <c r="UHW33" s="134"/>
      <c r="UHZ33" s="134"/>
      <c r="UIC33" s="134"/>
      <c r="UIF33" s="134"/>
      <c r="UII33" s="134"/>
      <c r="UIL33" s="134"/>
      <c r="UIO33" s="134"/>
      <c r="UIR33" s="134"/>
      <c r="UIU33" s="134"/>
      <c r="UIX33" s="134"/>
      <c r="UJA33" s="134"/>
      <c r="UJD33" s="134"/>
      <c r="UJG33" s="134"/>
      <c r="UJJ33" s="134"/>
      <c r="UJM33" s="134"/>
      <c r="UJP33" s="134"/>
      <c r="UJS33" s="134"/>
      <c r="UJV33" s="134"/>
      <c r="UJY33" s="134"/>
      <c r="UKB33" s="134"/>
      <c r="UKE33" s="134"/>
      <c r="UKH33" s="134"/>
      <c r="UKK33" s="134"/>
      <c r="UKN33" s="134"/>
      <c r="UKQ33" s="134"/>
      <c r="UKT33" s="134"/>
      <c r="UKW33" s="134"/>
      <c r="UKZ33" s="134"/>
      <c r="ULC33" s="134"/>
      <c r="ULF33" s="134"/>
      <c r="ULI33" s="134"/>
      <c r="ULL33" s="134"/>
      <c r="ULO33" s="134"/>
      <c r="ULR33" s="134"/>
      <c r="ULU33" s="134"/>
      <c r="ULX33" s="134"/>
      <c r="UMA33" s="134"/>
      <c r="UMD33" s="134"/>
      <c r="UMG33" s="134"/>
      <c r="UMJ33" s="134"/>
      <c r="UMM33" s="134"/>
      <c r="UMP33" s="134"/>
      <c r="UMS33" s="134"/>
      <c r="UMV33" s="134"/>
      <c r="UMY33" s="134"/>
      <c r="UNB33" s="134"/>
      <c r="UNE33" s="134"/>
      <c r="UNH33" s="134"/>
      <c r="UNK33" s="134"/>
      <c r="UNN33" s="134"/>
      <c r="UNQ33" s="134"/>
      <c r="UNT33" s="134"/>
      <c r="UNW33" s="134"/>
      <c r="UNZ33" s="134"/>
      <c r="UOC33" s="134"/>
      <c r="UOF33" s="134"/>
      <c r="UOI33" s="134"/>
      <c r="UOL33" s="134"/>
      <c r="UOO33" s="134"/>
      <c r="UOR33" s="134"/>
      <c r="UOU33" s="134"/>
      <c r="UOX33" s="134"/>
      <c r="UPA33" s="134"/>
      <c r="UPD33" s="134"/>
      <c r="UPG33" s="134"/>
      <c r="UPJ33" s="134"/>
      <c r="UPM33" s="134"/>
      <c r="UPP33" s="134"/>
      <c r="UPS33" s="134"/>
      <c r="UPV33" s="134"/>
      <c r="UPY33" s="134"/>
      <c r="UQB33" s="134"/>
      <c r="UQE33" s="134"/>
      <c r="UQH33" s="134"/>
      <c r="UQK33" s="134"/>
      <c r="UQN33" s="134"/>
      <c r="UQQ33" s="134"/>
      <c r="UQT33" s="134"/>
      <c r="UQW33" s="134"/>
      <c r="UQZ33" s="134"/>
      <c r="URC33" s="134"/>
      <c r="URF33" s="134"/>
      <c r="URI33" s="134"/>
      <c r="URL33" s="134"/>
      <c r="URO33" s="134"/>
      <c r="URR33" s="134"/>
      <c r="URU33" s="134"/>
      <c r="URX33" s="134"/>
      <c r="USA33" s="134"/>
      <c r="USD33" s="134"/>
      <c r="USG33" s="134"/>
      <c r="USJ33" s="134"/>
      <c r="USM33" s="134"/>
      <c r="USP33" s="134"/>
      <c r="USS33" s="134"/>
      <c r="USV33" s="134"/>
      <c r="USY33" s="134"/>
      <c r="UTB33" s="134"/>
      <c r="UTE33" s="134"/>
      <c r="UTH33" s="134"/>
      <c r="UTK33" s="134"/>
      <c r="UTN33" s="134"/>
      <c r="UTQ33" s="134"/>
      <c r="UTT33" s="134"/>
      <c r="UTW33" s="134"/>
      <c r="UTZ33" s="134"/>
      <c r="UUC33" s="134"/>
      <c r="UUF33" s="134"/>
      <c r="UUI33" s="134"/>
      <c r="UUL33" s="134"/>
      <c r="UUO33" s="134"/>
      <c r="UUR33" s="134"/>
      <c r="UUU33" s="134"/>
      <c r="UUX33" s="134"/>
      <c r="UVA33" s="134"/>
      <c r="UVD33" s="134"/>
      <c r="UVG33" s="134"/>
      <c r="UVJ33" s="134"/>
      <c r="UVM33" s="134"/>
      <c r="UVP33" s="134"/>
      <c r="UVS33" s="134"/>
      <c r="UVV33" s="134"/>
      <c r="UVY33" s="134"/>
      <c r="UWB33" s="134"/>
      <c r="UWE33" s="134"/>
      <c r="UWH33" s="134"/>
      <c r="UWK33" s="134"/>
      <c r="UWN33" s="134"/>
      <c r="UWQ33" s="134"/>
      <c r="UWT33" s="134"/>
      <c r="UWW33" s="134"/>
      <c r="UWZ33" s="134"/>
      <c r="UXC33" s="134"/>
      <c r="UXF33" s="134"/>
      <c r="UXI33" s="134"/>
      <c r="UXL33" s="134"/>
      <c r="UXO33" s="134"/>
      <c r="UXR33" s="134"/>
      <c r="UXU33" s="134"/>
      <c r="UXX33" s="134"/>
      <c r="UYA33" s="134"/>
      <c r="UYD33" s="134"/>
      <c r="UYG33" s="134"/>
      <c r="UYJ33" s="134"/>
      <c r="UYM33" s="134"/>
      <c r="UYP33" s="134"/>
      <c r="UYS33" s="134"/>
      <c r="UYV33" s="134"/>
      <c r="UYY33" s="134"/>
      <c r="UZB33" s="134"/>
      <c r="UZE33" s="134"/>
      <c r="UZH33" s="134"/>
      <c r="UZK33" s="134"/>
      <c r="UZN33" s="134"/>
      <c r="UZQ33" s="134"/>
      <c r="UZT33" s="134"/>
      <c r="UZW33" s="134"/>
      <c r="UZZ33" s="134"/>
      <c r="VAC33" s="134"/>
      <c r="VAF33" s="134"/>
      <c r="VAI33" s="134"/>
      <c r="VAL33" s="134"/>
      <c r="VAO33" s="134"/>
      <c r="VAR33" s="134"/>
      <c r="VAU33" s="134"/>
      <c r="VAX33" s="134"/>
      <c r="VBA33" s="134"/>
      <c r="VBD33" s="134"/>
      <c r="VBG33" s="134"/>
      <c r="VBJ33" s="134"/>
      <c r="VBM33" s="134"/>
      <c r="VBP33" s="134"/>
      <c r="VBS33" s="134"/>
      <c r="VBV33" s="134"/>
      <c r="VBY33" s="134"/>
      <c r="VCB33" s="134"/>
      <c r="VCE33" s="134"/>
      <c r="VCH33" s="134"/>
      <c r="VCK33" s="134"/>
      <c r="VCN33" s="134"/>
      <c r="VCQ33" s="134"/>
      <c r="VCT33" s="134"/>
      <c r="VCW33" s="134"/>
      <c r="VCZ33" s="134"/>
      <c r="VDC33" s="134"/>
      <c r="VDF33" s="134"/>
      <c r="VDI33" s="134"/>
      <c r="VDL33" s="134"/>
      <c r="VDO33" s="134"/>
      <c r="VDR33" s="134"/>
      <c r="VDU33" s="134"/>
      <c r="VDX33" s="134"/>
      <c r="VEA33" s="134"/>
      <c r="VED33" s="134"/>
      <c r="VEG33" s="134"/>
      <c r="VEJ33" s="134"/>
      <c r="VEM33" s="134"/>
      <c r="VEP33" s="134"/>
      <c r="VES33" s="134"/>
      <c r="VEV33" s="134"/>
      <c r="VEY33" s="134"/>
      <c r="VFB33" s="134"/>
      <c r="VFE33" s="134"/>
      <c r="VFH33" s="134"/>
      <c r="VFK33" s="134"/>
      <c r="VFN33" s="134"/>
      <c r="VFQ33" s="134"/>
      <c r="VFT33" s="134"/>
      <c r="VFW33" s="134"/>
      <c r="VFZ33" s="134"/>
      <c r="VGC33" s="134"/>
      <c r="VGF33" s="134"/>
      <c r="VGI33" s="134"/>
      <c r="VGL33" s="134"/>
      <c r="VGO33" s="134"/>
      <c r="VGR33" s="134"/>
      <c r="VGU33" s="134"/>
      <c r="VGX33" s="134"/>
      <c r="VHA33" s="134"/>
      <c r="VHD33" s="134"/>
      <c r="VHG33" s="134"/>
      <c r="VHJ33" s="134"/>
      <c r="VHM33" s="134"/>
      <c r="VHP33" s="134"/>
      <c r="VHS33" s="134"/>
      <c r="VHV33" s="134"/>
      <c r="VHY33" s="134"/>
      <c r="VIB33" s="134"/>
      <c r="VIE33" s="134"/>
      <c r="VIH33" s="134"/>
      <c r="VIK33" s="134"/>
      <c r="VIN33" s="134"/>
      <c r="VIQ33" s="134"/>
      <c r="VIT33" s="134"/>
      <c r="VIW33" s="134"/>
      <c r="VIZ33" s="134"/>
      <c r="VJC33" s="134"/>
      <c r="VJF33" s="134"/>
      <c r="VJI33" s="134"/>
      <c r="VJL33" s="134"/>
      <c r="VJO33" s="134"/>
      <c r="VJR33" s="134"/>
      <c r="VJU33" s="134"/>
      <c r="VJX33" s="134"/>
      <c r="VKA33" s="134"/>
      <c r="VKD33" s="134"/>
      <c r="VKG33" s="134"/>
      <c r="VKJ33" s="134"/>
      <c r="VKM33" s="134"/>
      <c r="VKP33" s="134"/>
      <c r="VKS33" s="134"/>
      <c r="VKV33" s="134"/>
      <c r="VKY33" s="134"/>
      <c r="VLB33" s="134"/>
      <c r="VLE33" s="134"/>
      <c r="VLH33" s="134"/>
      <c r="VLK33" s="134"/>
      <c r="VLN33" s="134"/>
      <c r="VLQ33" s="134"/>
      <c r="VLT33" s="134"/>
      <c r="VLW33" s="134"/>
      <c r="VLZ33" s="134"/>
      <c r="VMC33" s="134"/>
      <c r="VMF33" s="134"/>
      <c r="VMI33" s="134"/>
      <c r="VML33" s="134"/>
      <c r="VMO33" s="134"/>
      <c r="VMR33" s="134"/>
      <c r="VMU33" s="134"/>
      <c r="VMX33" s="134"/>
      <c r="VNA33" s="134"/>
      <c r="VND33" s="134"/>
      <c r="VNG33" s="134"/>
      <c r="VNJ33" s="134"/>
      <c r="VNM33" s="134"/>
      <c r="VNP33" s="134"/>
      <c r="VNS33" s="134"/>
      <c r="VNV33" s="134"/>
      <c r="VNY33" s="134"/>
      <c r="VOB33" s="134"/>
      <c r="VOE33" s="134"/>
      <c r="VOH33" s="134"/>
      <c r="VOK33" s="134"/>
      <c r="VON33" s="134"/>
      <c r="VOQ33" s="134"/>
      <c r="VOT33" s="134"/>
      <c r="VOW33" s="134"/>
      <c r="VOZ33" s="134"/>
      <c r="VPC33" s="134"/>
      <c r="VPF33" s="134"/>
      <c r="VPI33" s="134"/>
      <c r="VPL33" s="134"/>
      <c r="VPO33" s="134"/>
      <c r="VPR33" s="134"/>
      <c r="VPU33" s="134"/>
      <c r="VPX33" s="134"/>
      <c r="VQA33" s="134"/>
      <c r="VQD33" s="134"/>
      <c r="VQG33" s="134"/>
      <c r="VQJ33" s="134"/>
      <c r="VQM33" s="134"/>
      <c r="VQP33" s="134"/>
      <c r="VQS33" s="134"/>
      <c r="VQV33" s="134"/>
      <c r="VQY33" s="134"/>
      <c r="VRB33" s="134"/>
      <c r="VRE33" s="134"/>
      <c r="VRH33" s="134"/>
      <c r="VRK33" s="134"/>
      <c r="VRN33" s="134"/>
      <c r="VRQ33" s="134"/>
      <c r="VRT33" s="134"/>
      <c r="VRW33" s="134"/>
      <c r="VRZ33" s="134"/>
      <c r="VSC33" s="134"/>
      <c r="VSF33" s="134"/>
      <c r="VSI33" s="134"/>
      <c r="VSL33" s="134"/>
      <c r="VSO33" s="134"/>
      <c r="VSR33" s="134"/>
      <c r="VSU33" s="134"/>
      <c r="VSX33" s="134"/>
      <c r="VTA33" s="134"/>
      <c r="VTD33" s="134"/>
      <c r="VTG33" s="134"/>
      <c r="VTJ33" s="134"/>
      <c r="VTM33" s="134"/>
      <c r="VTP33" s="134"/>
      <c r="VTS33" s="134"/>
      <c r="VTV33" s="134"/>
      <c r="VTY33" s="134"/>
      <c r="VUB33" s="134"/>
      <c r="VUE33" s="134"/>
      <c r="VUH33" s="134"/>
      <c r="VUK33" s="134"/>
      <c r="VUN33" s="134"/>
      <c r="VUQ33" s="134"/>
      <c r="VUT33" s="134"/>
      <c r="VUW33" s="134"/>
      <c r="VUZ33" s="134"/>
      <c r="VVC33" s="134"/>
      <c r="VVF33" s="134"/>
      <c r="VVI33" s="134"/>
      <c r="VVL33" s="134"/>
      <c r="VVO33" s="134"/>
      <c r="VVR33" s="134"/>
      <c r="VVU33" s="134"/>
      <c r="VVX33" s="134"/>
      <c r="VWA33" s="134"/>
      <c r="VWD33" s="134"/>
      <c r="VWG33" s="134"/>
      <c r="VWJ33" s="134"/>
      <c r="VWM33" s="134"/>
      <c r="VWP33" s="134"/>
      <c r="VWS33" s="134"/>
      <c r="VWV33" s="134"/>
      <c r="VWY33" s="134"/>
      <c r="VXB33" s="134"/>
      <c r="VXE33" s="134"/>
      <c r="VXH33" s="134"/>
      <c r="VXK33" s="134"/>
      <c r="VXN33" s="134"/>
      <c r="VXQ33" s="134"/>
      <c r="VXT33" s="134"/>
      <c r="VXW33" s="134"/>
      <c r="VXZ33" s="134"/>
      <c r="VYC33" s="134"/>
      <c r="VYF33" s="134"/>
      <c r="VYI33" s="134"/>
      <c r="VYL33" s="134"/>
      <c r="VYO33" s="134"/>
      <c r="VYR33" s="134"/>
      <c r="VYU33" s="134"/>
      <c r="VYX33" s="134"/>
      <c r="VZA33" s="134"/>
      <c r="VZD33" s="134"/>
      <c r="VZG33" s="134"/>
      <c r="VZJ33" s="134"/>
      <c r="VZM33" s="134"/>
      <c r="VZP33" s="134"/>
      <c r="VZS33" s="134"/>
      <c r="VZV33" s="134"/>
      <c r="VZY33" s="134"/>
      <c r="WAB33" s="134"/>
      <c r="WAE33" s="134"/>
      <c r="WAH33" s="134"/>
      <c r="WAK33" s="134"/>
      <c r="WAN33" s="134"/>
      <c r="WAQ33" s="134"/>
      <c r="WAT33" s="134"/>
      <c r="WAW33" s="134"/>
      <c r="WAZ33" s="134"/>
      <c r="WBC33" s="134"/>
      <c r="WBF33" s="134"/>
      <c r="WBI33" s="134"/>
      <c r="WBL33" s="134"/>
      <c r="WBO33" s="134"/>
      <c r="WBR33" s="134"/>
      <c r="WBU33" s="134"/>
      <c r="WBX33" s="134"/>
      <c r="WCA33" s="134"/>
      <c r="WCD33" s="134"/>
      <c r="WCG33" s="134"/>
      <c r="WCJ33" s="134"/>
      <c r="WCM33" s="134"/>
      <c r="WCP33" s="134"/>
      <c r="WCS33" s="134"/>
      <c r="WCV33" s="134"/>
      <c r="WCY33" s="134"/>
      <c r="WDB33" s="134"/>
      <c r="WDE33" s="134"/>
      <c r="WDH33" s="134"/>
      <c r="WDK33" s="134"/>
      <c r="WDN33" s="134"/>
      <c r="WDQ33" s="134"/>
      <c r="WDT33" s="134"/>
      <c r="WDW33" s="134"/>
      <c r="WDZ33" s="134"/>
      <c r="WEC33" s="134"/>
      <c r="WEF33" s="134"/>
      <c r="WEI33" s="134"/>
      <c r="WEL33" s="134"/>
      <c r="WEO33" s="134"/>
      <c r="WER33" s="134"/>
      <c r="WEU33" s="134"/>
      <c r="WEX33" s="134"/>
      <c r="WFA33" s="134"/>
      <c r="WFD33" s="134"/>
      <c r="WFG33" s="134"/>
      <c r="WFJ33" s="134"/>
      <c r="WFM33" s="134"/>
      <c r="WFP33" s="134"/>
      <c r="WFS33" s="134"/>
      <c r="WFV33" s="134"/>
      <c r="WFY33" s="134"/>
      <c r="WGB33" s="134"/>
      <c r="WGE33" s="134"/>
      <c r="WGH33" s="134"/>
      <c r="WGK33" s="134"/>
      <c r="WGN33" s="134"/>
      <c r="WGQ33" s="134"/>
      <c r="WGT33" s="134"/>
      <c r="WGW33" s="134"/>
      <c r="WGZ33" s="134"/>
      <c r="WHC33" s="134"/>
      <c r="WHF33" s="134"/>
      <c r="WHI33" s="134"/>
      <c r="WHL33" s="134"/>
      <c r="WHO33" s="134"/>
      <c r="WHR33" s="134"/>
      <c r="WHU33" s="134"/>
      <c r="WHX33" s="134"/>
      <c r="WIA33" s="134"/>
      <c r="WID33" s="134"/>
      <c r="WIG33" s="134"/>
      <c r="WIJ33" s="134"/>
      <c r="WIM33" s="134"/>
      <c r="WIP33" s="134"/>
      <c r="WIS33" s="134"/>
      <c r="WIV33" s="134"/>
      <c r="WIY33" s="134"/>
      <c r="WJB33" s="134"/>
      <c r="WJE33" s="134"/>
      <c r="WJH33" s="134"/>
      <c r="WJK33" s="134"/>
      <c r="WJN33" s="134"/>
      <c r="WJQ33" s="134"/>
      <c r="WJT33" s="134"/>
      <c r="WJW33" s="134"/>
      <c r="WJZ33" s="134"/>
      <c r="WKC33" s="134"/>
      <c r="WKF33" s="134"/>
      <c r="WKI33" s="134"/>
      <c r="WKL33" s="134"/>
      <c r="WKO33" s="134"/>
      <c r="WKR33" s="134"/>
      <c r="WKU33" s="134"/>
      <c r="WKX33" s="134"/>
      <c r="WLA33" s="134"/>
      <c r="WLD33" s="134"/>
      <c r="WLG33" s="134"/>
      <c r="WLJ33" s="134"/>
      <c r="WLM33" s="134"/>
      <c r="WLP33" s="134"/>
      <c r="WLS33" s="134"/>
      <c r="WLV33" s="134"/>
      <c r="WLY33" s="134"/>
      <c r="WMB33" s="134"/>
      <c r="WME33" s="134"/>
      <c r="WMH33" s="134"/>
      <c r="WMK33" s="134"/>
      <c r="WMN33" s="134"/>
      <c r="WMQ33" s="134"/>
      <c r="WMT33" s="134"/>
      <c r="WMW33" s="134"/>
      <c r="WMZ33" s="134"/>
      <c r="WNC33" s="134"/>
      <c r="WNF33" s="134"/>
      <c r="WNI33" s="134"/>
      <c r="WNL33" s="134"/>
      <c r="WNO33" s="134"/>
      <c r="WNR33" s="134"/>
      <c r="WNU33" s="134"/>
      <c r="WNX33" s="134"/>
      <c r="WOA33" s="134"/>
      <c r="WOD33" s="134"/>
      <c r="WOG33" s="134"/>
      <c r="WOJ33" s="134"/>
      <c r="WOM33" s="134"/>
      <c r="WOP33" s="134"/>
      <c r="WOS33" s="134"/>
      <c r="WOV33" s="134"/>
      <c r="WOY33" s="134"/>
      <c r="WPB33" s="134"/>
      <c r="WPE33" s="134"/>
      <c r="WPH33" s="134"/>
      <c r="WPK33" s="134"/>
      <c r="WPN33" s="134"/>
      <c r="WPQ33" s="134"/>
      <c r="WPT33" s="134"/>
      <c r="WPW33" s="134"/>
      <c r="WPZ33" s="134"/>
      <c r="WQC33" s="134"/>
      <c r="WQF33" s="134"/>
      <c r="WQI33" s="134"/>
      <c r="WQL33" s="134"/>
      <c r="WQO33" s="134"/>
      <c r="WQR33" s="134"/>
      <c r="WQU33" s="134"/>
      <c r="WQX33" s="134"/>
      <c r="WRA33" s="134"/>
      <c r="WRD33" s="134"/>
      <c r="WRG33" s="134"/>
      <c r="WRJ33" s="134"/>
      <c r="WRM33" s="134"/>
      <c r="WRP33" s="134"/>
      <c r="WRS33" s="134"/>
      <c r="WRV33" s="134"/>
      <c r="WRY33" s="134"/>
      <c r="WSB33" s="134"/>
      <c r="WSE33" s="134"/>
      <c r="WSH33" s="134"/>
      <c r="WSK33" s="134"/>
      <c r="WSN33" s="134"/>
      <c r="WSQ33" s="134"/>
      <c r="WST33" s="134"/>
      <c r="WSW33" s="134"/>
      <c r="WSZ33" s="134"/>
      <c r="WTC33" s="134"/>
      <c r="WTF33" s="134"/>
      <c r="WTI33" s="134"/>
      <c r="WTL33" s="134"/>
      <c r="WTO33" s="134"/>
      <c r="WTR33" s="134"/>
      <c r="WTU33" s="134"/>
      <c r="WTX33" s="134"/>
      <c r="WUA33" s="134"/>
      <c r="WUD33" s="134"/>
      <c r="WUG33" s="134"/>
      <c r="WUJ33" s="134"/>
      <c r="WUM33" s="134"/>
      <c r="WUP33" s="134"/>
      <c r="WUS33" s="134"/>
      <c r="WUV33" s="134"/>
      <c r="WUY33" s="134"/>
      <c r="WVB33" s="134"/>
      <c r="WVE33" s="134"/>
      <c r="WVH33" s="134"/>
      <c r="WVK33" s="134"/>
      <c r="WVN33" s="134"/>
      <c r="WVQ33" s="134"/>
      <c r="WVT33" s="134"/>
      <c r="WVW33" s="134"/>
      <c r="WVZ33" s="134"/>
      <c r="WWC33" s="134"/>
      <c r="WWF33" s="134"/>
      <c r="WWI33" s="134"/>
      <c r="WWL33" s="134"/>
      <c r="WWO33" s="134"/>
      <c r="WWR33" s="134"/>
      <c r="WWU33" s="134"/>
      <c r="WWX33" s="134"/>
      <c r="WXA33" s="134"/>
      <c r="WXD33" s="134"/>
      <c r="WXG33" s="134"/>
      <c r="WXJ33" s="134"/>
      <c r="WXM33" s="134"/>
      <c r="WXP33" s="134"/>
      <c r="WXS33" s="134"/>
      <c r="WXV33" s="134"/>
      <c r="WXY33" s="134"/>
      <c r="WYB33" s="134"/>
      <c r="WYE33" s="134"/>
      <c r="WYH33" s="134"/>
      <c r="WYK33" s="134"/>
      <c r="WYN33" s="134"/>
      <c r="WYQ33" s="134"/>
      <c r="WYT33" s="134"/>
      <c r="WYW33" s="134"/>
      <c r="WYZ33" s="134"/>
      <c r="WZC33" s="134"/>
      <c r="WZF33" s="134"/>
      <c r="WZI33" s="134"/>
      <c r="WZL33" s="134"/>
      <c r="WZO33" s="134"/>
      <c r="WZR33" s="134"/>
      <c r="WZU33" s="134"/>
      <c r="WZX33" s="134"/>
      <c r="XAA33" s="134"/>
      <c r="XAD33" s="134"/>
      <c r="XAG33" s="134"/>
      <c r="XAJ33" s="134"/>
      <c r="XAM33" s="134"/>
      <c r="XAP33" s="134"/>
      <c r="XAS33" s="134"/>
      <c r="XAV33" s="134"/>
      <c r="XAY33" s="134"/>
      <c r="XBB33" s="134"/>
      <c r="XBE33" s="134"/>
      <c r="XBH33" s="134"/>
      <c r="XBK33" s="134"/>
      <c r="XBN33" s="134"/>
      <c r="XBQ33" s="134"/>
      <c r="XBT33" s="134"/>
      <c r="XBW33" s="134"/>
      <c r="XBZ33" s="134"/>
      <c r="XCC33" s="134"/>
      <c r="XCF33" s="134"/>
      <c r="XCI33" s="134"/>
      <c r="XCL33" s="134"/>
      <c r="XCO33" s="134"/>
      <c r="XCR33" s="134"/>
      <c r="XCU33" s="134"/>
      <c r="XCX33" s="134"/>
      <c r="XDA33" s="134"/>
      <c r="XDD33" s="134"/>
      <c r="XDG33" s="134"/>
      <c r="XDJ33" s="134"/>
      <c r="XDM33" s="134"/>
      <c r="XDP33" s="134"/>
      <c r="XDS33" s="134"/>
      <c r="XDV33" s="134"/>
      <c r="XDY33" s="134"/>
      <c r="XEB33" s="134"/>
      <c r="XEE33" s="134"/>
      <c r="XEH33" s="134"/>
      <c r="XEK33" s="134"/>
      <c r="XEN33" s="134"/>
      <c r="XEQ33" s="134"/>
      <c r="XET33" s="134"/>
      <c r="XEW33" s="134"/>
    </row>
    <row r="34" spans="1:1023 1026:2046 2049:3072 3075:4095 4098:5118 5121:6144 6147:7167 7170:8190 8193:9216 9219:10239 10242:11262 11265:12288 12291:13311 13314:14334 14337:15360 15363:16377" x14ac:dyDescent="0.35">
      <c r="A34" s="129">
        <v>7</v>
      </c>
      <c r="B34" s="130" t="s">
        <v>50</v>
      </c>
      <c r="C34" s="170">
        <v>7200</v>
      </c>
    </row>
    <row r="35" spans="1:1023 1026:2046 2049:3072 3075:4095 4098:5118 5121:6144 6147:7167 7170:8190 8193:9216 9219:10239 10242:11262 11265:12288 12291:13311 13314:14334 14337:15360 15363:16377" x14ac:dyDescent="0.35">
      <c r="A35" s="129">
        <v>8</v>
      </c>
      <c r="B35" s="130" t="s">
        <v>29</v>
      </c>
      <c r="C35" s="170">
        <v>5800</v>
      </c>
    </row>
    <row r="36" spans="1:1023 1026:2046 2049:3072 3075:4095 4098:5118 5121:6144 6147:7167 7170:8190 8193:9216 9219:10239 10242:11262 11265:12288 12291:13311 13314:14334 14337:15360 15363:16377" x14ac:dyDescent="0.35">
      <c r="A36" s="129">
        <v>9</v>
      </c>
      <c r="B36" s="130" t="s">
        <v>17</v>
      </c>
      <c r="C36" s="170">
        <v>5000</v>
      </c>
    </row>
    <row r="37" spans="1:1023 1026:2046 2049:3072 3075:4095 4098:5118 5121:6144 6147:7167 7170:8190 8193:9216 9219:10239 10242:11262 11265:12288 12291:13311 13314:14334 14337:15360 15363:16377" x14ac:dyDescent="0.35">
      <c r="A37" s="129">
        <v>10</v>
      </c>
      <c r="B37" s="130" t="s">
        <v>18</v>
      </c>
      <c r="C37" s="170">
        <v>7733</v>
      </c>
    </row>
    <row r="38" spans="1:1023 1026:2046 2049:3072 3075:4095 4098:5118 5121:6144 6147:7167 7170:8190 8193:9216 9219:10239 10242:11262 11265:12288 12291:13311 13314:14334 14337:15360 15363:16377" x14ac:dyDescent="0.35">
      <c r="A38" s="129">
        <v>11</v>
      </c>
      <c r="B38" s="130" t="s">
        <v>66</v>
      </c>
      <c r="C38" s="170">
        <v>7500</v>
      </c>
    </row>
    <row r="39" spans="1:1023 1026:2046 2049:3072 3075:4095 4098:5118 5121:6144 6147:7167 7170:8190 8193:9216 9219:10239 10242:11262 11265:12288 12291:13311 13314:14334 14337:15360 15363:16377" x14ac:dyDescent="0.35">
      <c r="A39" s="129">
        <v>12</v>
      </c>
      <c r="B39" s="130" t="s">
        <v>19</v>
      </c>
      <c r="C39" s="170">
        <v>7533.333333333333</v>
      </c>
    </row>
    <row r="40" spans="1:1023 1026:2046 2049:3072 3075:4095 4098:5118 5121:6144 6147:7167 7170:8190 8193:9216 9219:10239 10242:11262 11265:12288 12291:13311 13314:14334 14337:15360 15363:16377" x14ac:dyDescent="0.35">
      <c r="A40" s="129">
        <v>13</v>
      </c>
      <c r="B40" s="130" t="s">
        <v>38</v>
      </c>
      <c r="C40" s="170">
        <v>6708</v>
      </c>
    </row>
    <row r="41" spans="1:1023 1026:2046 2049:3072 3075:4095 4098:5118 5121:6144 6147:7167 7170:8190 8193:9216 9219:10239 10242:11262 11265:12288 12291:13311 13314:14334 14337:15360 15363:16377" x14ac:dyDescent="0.35">
      <c r="A41" s="129">
        <v>14</v>
      </c>
      <c r="B41" s="130" t="s">
        <v>23</v>
      </c>
      <c r="C41" s="170">
        <v>11200</v>
      </c>
    </row>
    <row r="42" spans="1:1023 1026:2046 2049:3072 3075:4095 4098:5118 5121:6144 6147:7167 7170:8190 8193:9216 9219:10239 10242:11262 11265:12288 12291:13311 13314:14334 14337:15360 15363:16377" x14ac:dyDescent="0.35">
      <c r="A42" s="129">
        <v>15</v>
      </c>
      <c r="B42" s="130" t="s">
        <v>21</v>
      </c>
      <c r="C42" s="170">
        <v>12000</v>
      </c>
    </row>
    <row r="43" spans="1:1023 1026:2046 2049:3072 3075:4095 4098:5118 5121:6144 6147:7167 7170:8190 8193:9216 9219:10239 10242:11262 11265:12288 12291:13311 13314:14334 14337:15360 15363:16377" x14ac:dyDescent="0.35">
      <c r="A43" s="129">
        <v>16</v>
      </c>
      <c r="B43" s="130" t="s">
        <v>51</v>
      </c>
      <c r="C43" s="171">
        <v>16167</v>
      </c>
    </row>
    <row r="44" spans="1:1023 1026:2046 2049:3072 3075:4095 4098:5118 5121:6144 6147:7167 7170:8190 8193:9216 9219:10239 10242:11262 11265:12288 12291:13311 13314:14334 14337:15360 15363:16377" x14ac:dyDescent="0.35">
      <c r="A44" s="129">
        <v>17</v>
      </c>
      <c r="B44" s="130" t="s">
        <v>52</v>
      </c>
      <c r="C44" s="171">
        <v>8250</v>
      </c>
      <c r="D44" s="188"/>
    </row>
    <row r="45" spans="1:1023 1026:2046 2049:3072 3075:4095 4098:5118 5121:6144 6147:7167 7170:8190 8193:9216 9219:10239 10242:11262 11265:12288 12291:13311 13314:14334 14337:15360 15363:16377" x14ac:dyDescent="0.35">
      <c r="A45" s="135"/>
      <c r="B45" s="135"/>
      <c r="C45" s="135">
        <f>SUBTOTAL(109,C28:C44)</f>
        <v>142041.33333333331</v>
      </c>
    </row>
    <row r="46" spans="1:1023 1026:2046 2049:3072 3075:4095 4098:5118 5121:6144 6147:7167 7170:8190 8193:9216 9219:10239 10242:11262 11265:12288 12291:13311 13314:14334 14337:15360 15363:16377" x14ac:dyDescent="0.35">
      <c r="A46" s="136"/>
      <c r="B46" s="137"/>
      <c r="C46" s="148"/>
    </row>
    <row r="47" spans="1:1023 1026:2046 2049:3072 3075:4095 4098:5118 5121:6144 6147:7167 7170:8190 8193:9216 9219:10239 10242:11262 11265:12288 12291:13311 13314:14334 14337:15360 15363:16377" x14ac:dyDescent="0.35">
      <c r="A47" s="138"/>
      <c r="B47" s="137"/>
      <c r="C47" s="148"/>
    </row>
    <row r="48" spans="1:1023 1026:2046 2049:3072 3075:4095 4098:5118 5121:6144 6147:7167 7170:8190 8193:9216 9219:10239 10242:11262 11265:12288 12291:13311 13314:14334 14337:15360 15363:16377" x14ac:dyDescent="0.35">
      <c r="A48" s="138"/>
      <c r="B48" s="137"/>
      <c r="C48" s="148"/>
    </row>
    <row r="49" spans="1:3" x14ac:dyDescent="0.35">
      <c r="A49" s="138"/>
      <c r="B49" s="137"/>
      <c r="C49" s="148"/>
    </row>
    <row r="50" spans="1:3" x14ac:dyDescent="0.35">
      <c r="A50" s="138"/>
      <c r="B50" s="137"/>
      <c r="C50" s="148"/>
    </row>
    <row r="51" spans="1:3" x14ac:dyDescent="0.35">
      <c r="A51" s="138"/>
      <c r="B51" s="137"/>
      <c r="C51" s="148"/>
    </row>
    <row r="52" spans="1:3" x14ac:dyDescent="0.35">
      <c r="A52" s="138"/>
      <c r="B52" s="137"/>
      <c r="C52" s="148"/>
    </row>
    <row r="53" spans="1:3" x14ac:dyDescent="0.35">
      <c r="A53" s="136"/>
      <c r="B53" s="139"/>
      <c r="C53" s="148"/>
    </row>
    <row r="54" spans="1:3" x14ac:dyDescent="0.35">
      <c r="A54" s="136"/>
      <c r="B54" s="139"/>
      <c r="C54" s="148"/>
    </row>
    <row r="55" spans="1:3" x14ac:dyDescent="0.35">
      <c r="A55" s="136"/>
      <c r="B55" s="139"/>
      <c r="C55" s="148"/>
    </row>
    <row r="56" spans="1:3" x14ac:dyDescent="0.35">
      <c r="A56" s="140"/>
      <c r="B56" s="139"/>
      <c r="C56" s="148"/>
    </row>
    <row r="57" spans="1:3" x14ac:dyDescent="0.35">
      <c r="A57" s="140"/>
      <c r="B57" s="139"/>
      <c r="C57" s="148"/>
    </row>
    <row r="58" spans="1:3" x14ac:dyDescent="0.35">
      <c r="A58" s="140"/>
      <c r="B58" s="139"/>
      <c r="C58" s="148"/>
    </row>
    <row r="59" spans="1:3" x14ac:dyDescent="0.35">
      <c r="A59" s="140"/>
      <c r="B59" s="139"/>
      <c r="C59" s="148"/>
    </row>
    <row r="60" spans="1:3" x14ac:dyDescent="0.35">
      <c r="A60" s="140"/>
      <c r="B60" s="139"/>
      <c r="C60" s="148"/>
    </row>
    <row r="61" spans="1:3" x14ac:dyDescent="0.35">
      <c r="A61" s="141"/>
      <c r="B61" s="142"/>
      <c r="C61" s="145"/>
    </row>
    <row r="62" spans="1:3" x14ac:dyDescent="0.35">
      <c r="A62" s="143"/>
      <c r="B62" s="144"/>
      <c r="C62" s="145"/>
    </row>
    <row r="63" spans="1:3" x14ac:dyDescent="0.35">
      <c r="A63" s="143"/>
      <c r="B63" s="144"/>
      <c r="C63" s="145"/>
    </row>
    <row r="64" spans="1:3" x14ac:dyDescent="0.35">
      <c r="A64" s="143"/>
      <c r="B64" s="144"/>
      <c r="C64" s="145"/>
    </row>
    <row r="65" spans="1:3" x14ac:dyDescent="0.35">
      <c r="A65" s="143"/>
      <c r="B65" s="144"/>
      <c r="C65" s="145"/>
    </row>
    <row r="66" spans="1:3" x14ac:dyDescent="0.35">
      <c r="A66" s="143"/>
      <c r="B66" s="144"/>
      <c r="C66" s="145"/>
    </row>
    <row r="67" spans="1:3" x14ac:dyDescent="0.35">
      <c r="A67" s="143"/>
      <c r="B67" s="144"/>
      <c r="C67" s="145"/>
    </row>
    <row r="68" spans="1:3" x14ac:dyDescent="0.35">
      <c r="A68" s="143"/>
      <c r="B68" s="144"/>
      <c r="C68" s="145"/>
    </row>
    <row r="69" spans="1:3" x14ac:dyDescent="0.35">
      <c r="A69" s="143"/>
      <c r="B69" s="144"/>
      <c r="C69" s="145"/>
    </row>
    <row r="70" spans="1:3" x14ac:dyDescent="0.35">
      <c r="A70" s="143"/>
      <c r="B70" s="144"/>
      <c r="C70" s="145"/>
    </row>
    <row r="71" spans="1:3" x14ac:dyDescent="0.35">
      <c r="A71" s="143"/>
      <c r="B71" s="144"/>
      <c r="C71" s="145"/>
    </row>
    <row r="72" spans="1:3" x14ac:dyDescent="0.35">
      <c r="A72" s="143"/>
      <c r="B72" s="144"/>
      <c r="C72" s="145"/>
    </row>
    <row r="73" spans="1:3" x14ac:dyDescent="0.35">
      <c r="A73" s="143"/>
      <c r="B73" s="144"/>
      <c r="C73" s="145"/>
    </row>
    <row r="74" spans="1:3" x14ac:dyDescent="0.35">
      <c r="A74" s="143"/>
      <c r="B74" s="144"/>
      <c r="C74" s="145"/>
    </row>
    <row r="75" spans="1:3" x14ac:dyDescent="0.35">
      <c r="A75" s="143"/>
      <c r="B75" s="144"/>
      <c r="C75" s="145"/>
    </row>
    <row r="76" spans="1:3" x14ac:dyDescent="0.35">
      <c r="A76" s="143"/>
      <c r="B76" s="144"/>
      <c r="C76" s="145"/>
    </row>
    <row r="77" spans="1:3" x14ac:dyDescent="0.35">
      <c r="A77" s="143"/>
      <c r="B77" s="144"/>
      <c r="C77" s="145"/>
    </row>
    <row r="78" spans="1:3" x14ac:dyDescent="0.35">
      <c r="A78" s="143"/>
      <c r="B78" s="144"/>
      <c r="C78" s="145"/>
    </row>
    <row r="79" spans="1:3" x14ac:dyDescent="0.35">
      <c r="A79" s="143"/>
      <c r="B79" s="144"/>
      <c r="C79" s="145"/>
    </row>
    <row r="80" spans="1:3" x14ac:dyDescent="0.35">
      <c r="A80" s="143"/>
      <c r="B80" s="144"/>
      <c r="C80" s="145"/>
    </row>
    <row r="81" spans="1:3" x14ac:dyDescent="0.35">
      <c r="A81" s="143"/>
      <c r="B81" s="144"/>
      <c r="C81" s="145"/>
    </row>
    <row r="82" spans="1:3" x14ac:dyDescent="0.35">
      <c r="A82" s="143"/>
      <c r="B82" s="144"/>
      <c r="C82" s="145"/>
    </row>
    <row r="83" spans="1:3" x14ac:dyDescent="0.35">
      <c r="A83" s="143"/>
      <c r="B83" s="144"/>
      <c r="C83" s="145"/>
    </row>
    <row r="84" spans="1:3" x14ac:dyDescent="0.35">
      <c r="A84" s="143"/>
      <c r="B84" s="144"/>
      <c r="C84" s="145"/>
    </row>
    <row r="85" spans="1:3" x14ac:dyDescent="0.35">
      <c r="A85" s="143"/>
      <c r="B85" s="144"/>
      <c r="C85" s="145"/>
    </row>
    <row r="86" spans="1:3" x14ac:dyDescent="0.35">
      <c r="A86" s="143"/>
      <c r="B86" s="144"/>
      <c r="C86" s="145"/>
    </row>
    <row r="87" spans="1:3" x14ac:dyDescent="0.35">
      <c r="A87" s="143"/>
      <c r="B87" s="144"/>
      <c r="C87" s="145"/>
    </row>
    <row r="88" spans="1:3" x14ac:dyDescent="0.35">
      <c r="A88" s="143"/>
      <c r="B88" s="144"/>
      <c r="C88" s="145"/>
    </row>
    <row r="89" spans="1:3" x14ac:dyDescent="0.35">
      <c r="A89" s="143"/>
      <c r="B89" s="144"/>
      <c r="C89" s="145"/>
    </row>
    <row r="90" spans="1:3" x14ac:dyDescent="0.35">
      <c r="A90" s="143"/>
      <c r="B90" s="144"/>
      <c r="C90" s="145"/>
    </row>
    <row r="91" spans="1:3" x14ac:dyDescent="0.35">
      <c r="A91" s="143"/>
      <c r="B91" s="144"/>
      <c r="C91" s="145"/>
    </row>
    <row r="92" spans="1:3" x14ac:dyDescent="0.35">
      <c r="A92" s="143"/>
      <c r="B92" s="144"/>
      <c r="C92" s="145"/>
    </row>
    <row r="93" spans="1:3" x14ac:dyDescent="0.35">
      <c r="A93" s="143"/>
      <c r="B93" s="144"/>
      <c r="C93" s="145"/>
    </row>
    <row r="94" spans="1:3" x14ac:dyDescent="0.35">
      <c r="A94" s="143"/>
      <c r="B94" s="144"/>
      <c r="C94" s="145"/>
    </row>
    <row r="95" spans="1:3" x14ac:dyDescent="0.35">
      <c r="A95" s="143"/>
      <c r="B95" s="144"/>
      <c r="C95" s="145"/>
    </row>
    <row r="96" spans="1:3" x14ac:dyDescent="0.35">
      <c r="A96" s="143"/>
      <c r="B96" s="144"/>
      <c r="C96" s="145"/>
    </row>
    <row r="97" spans="1:3" x14ac:dyDescent="0.35">
      <c r="A97" s="143"/>
      <c r="B97" s="144"/>
      <c r="C97" s="145"/>
    </row>
    <row r="98" spans="1:3" x14ac:dyDescent="0.35">
      <c r="A98" s="143"/>
      <c r="B98" s="144"/>
      <c r="C98" s="145"/>
    </row>
    <row r="99" spans="1:3" x14ac:dyDescent="0.35">
      <c r="A99" s="143"/>
      <c r="B99" s="144"/>
      <c r="C99" s="145"/>
    </row>
    <row r="100" spans="1:3" x14ac:dyDescent="0.35">
      <c r="A100" s="143"/>
      <c r="B100" s="144"/>
      <c r="C100" s="145"/>
    </row>
    <row r="101" spans="1:3" x14ac:dyDescent="0.35">
      <c r="A101" s="143"/>
      <c r="B101" s="144"/>
      <c r="C101" s="145"/>
    </row>
    <row r="102" spans="1:3" x14ac:dyDescent="0.35">
      <c r="A102" s="143"/>
      <c r="B102" s="144"/>
      <c r="C102" s="145"/>
    </row>
    <row r="103" spans="1:3" x14ac:dyDescent="0.35">
      <c r="A103" s="143"/>
      <c r="B103" s="144"/>
      <c r="C103" s="145"/>
    </row>
    <row r="104" spans="1:3" x14ac:dyDescent="0.35">
      <c r="A104" s="143"/>
      <c r="B104" s="144"/>
      <c r="C104" s="145"/>
    </row>
    <row r="105" spans="1:3" x14ac:dyDescent="0.35">
      <c r="A105" s="143"/>
      <c r="B105" s="144"/>
      <c r="C105" s="145"/>
    </row>
    <row r="106" spans="1:3" x14ac:dyDescent="0.35">
      <c r="A106" s="143"/>
      <c r="B106" s="144"/>
      <c r="C106" s="145"/>
    </row>
    <row r="107" spans="1:3" x14ac:dyDescent="0.35">
      <c r="A107" s="143"/>
      <c r="B107" s="144"/>
      <c r="C107" s="145"/>
    </row>
    <row r="108" spans="1:3" x14ac:dyDescent="0.35">
      <c r="A108" s="146"/>
      <c r="B108" s="147"/>
      <c r="C108" s="148"/>
    </row>
  </sheetData>
  <mergeCells count="2">
    <mergeCell ref="A26:C26"/>
    <mergeCell ref="A25:C25"/>
  </mergeCells>
  <phoneticPr fontId="4" type="noConversion"/>
  <conditionalFormatting sqref="A46:A50 A28:A44">
    <cfRule type="duplicateValues" dxfId="79" priority="90"/>
    <cfRule type="duplicateValues" dxfId="78" priority="88"/>
    <cfRule type="duplicateValues" dxfId="77" priority="89"/>
    <cfRule type="duplicateValues" dxfId="76" priority="92"/>
    <cfRule type="duplicateValues" dxfId="75" priority="91"/>
  </conditionalFormatting>
  <conditionalFormatting sqref="A46:A52 A28:A44">
    <cfRule type="duplicateValues" dxfId="74" priority="94"/>
    <cfRule type="duplicateValues" dxfId="73" priority="93"/>
  </conditionalFormatting>
  <conditionalFormatting sqref="A51:A52 A28:A44">
    <cfRule type="duplicateValues" dxfId="72" priority="87"/>
  </conditionalFormatting>
  <conditionalFormatting sqref="A61 A53:A58">
    <cfRule type="duplicateValues" dxfId="71" priority="80"/>
    <cfRule type="duplicateValues" dxfId="70" priority="81"/>
    <cfRule type="duplicateValues" dxfId="69" priority="82"/>
    <cfRule type="duplicateValues" dxfId="68" priority="83"/>
    <cfRule type="duplicateValues" dxfId="67" priority="84"/>
    <cfRule type="duplicateValues" dxfId="66" priority="85"/>
    <cfRule type="duplicateValues" dxfId="65" priority="86"/>
  </conditionalFormatting>
  <conditionalFormatting sqref="B17:B23">
    <cfRule type="duplicateValues" dxfId="64" priority="1277"/>
    <cfRule type="duplicateValues" dxfId="63" priority="1276"/>
  </conditionalFormatting>
  <conditionalFormatting sqref="B23">
    <cfRule type="duplicateValues" dxfId="62" priority="1257"/>
    <cfRule type="duplicateValues" dxfId="61" priority="1258"/>
    <cfRule type="duplicateValues" dxfId="60" priority="1259"/>
    <cfRule type="duplicateValues" dxfId="59" priority="1260"/>
    <cfRule type="duplicateValues" dxfId="58" priority="1261"/>
    <cfRule type="duplicateValues" dxfId="57" priority="1262"/>
    <cfRule type="duplicateValues" dxfId="56" priority="1263"/>
    <cfRule type="duplicateValues" dxfId="55" priority="1264"/>
    <cfRule type="duplicateValues" dxfId="54" priority="1265"/>
  </conditionalFormatting>
  <conditionalFormatting sqref="B62:B1048576 B1:B4 B11:B27">
    <cfRule type="duplicateValues" dxfId="53" priority="1100"/>
  </conditionalFormatting>
  <conditionalFormatting sqref="D28:XFD28 C29">
    <cfRule type="duplicateValues" dxfId="52" priority="66"/>
    <cfRule type="duplicateValues" dxfId="51" priority="67"/>
    <cfRule type="duplicateValues" dxfId="50" priority="70"/>
    <cfRule type="duplicateValues" dxfId="49" priority="69"/>
    <cfRule type="duplicateValues" dxfId="48" priority="68"/>
    <cfRule type="duplicateValues" dxfId="47" priority="71"/>
    <cfRule type="duplicateValues" dxfId="46" priority="65"/>
  </conditionalFormatting>
  <pageMargins left="0.7" right="0.7" top="0.75" bottom="0.75" header="0.3" footer="0.3"/>
  <pageSetup paperSize="9" scale="45" orientation="portrait" horizontalDpi="360" verticalDpi="360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029D8-588E-412F-8336-2D1D723CA44F}">
  <sheetPr>
    <pageSetUpPr fitToPage="1"/>
  </sheetPr>
  <dimension ref="A1:XEW42"/>
  <sheetViews>
    <sheetView view="pageBreakPreview" topLeftCell="A33" zoomScale="60" zoomScaleNormal="100" workbookViewId="0">
      <selection activeCell="L33" sqref="L33"/>
    </sheetView>
  </sheetViews>
  <sheetFormatPr defaultColWidth="8.7109375" defaultRowHeight="18" x14ac:dyDescent="0.25"/>
  <cols>
    <col min="1" max="1" width="2.85546875" style="226" bestFit="1" customWidth="1"/>
    <col min="2" max="2" width="11.5703125" style="226" bestFit="1" customWidth="1"/>
    <col min="3" max="3" width="36.140625" style="229" customWidth="1"/>
    <col min="4" max="4" width="28.28515625" style="227" bestFit="1" customWidth="1"/>
    <col min="5" max="5" width="7.140625" style="227" customWidth="1"/>
    <col min="6" max="6" width="30.5703125" style="227" bestFit="1" customWidth="1"/>
    <col min="7" max="7" width="14.85546875" style="227" customWidth="1"/>
    <col min="8" max="8" width="11.85546875" style="227" customWidth="1"/>
    <col min="9" max="9" width="13.85546875" style="230" customWidth="1"/>
    <col min="10" max="10" width="10.42578125" style="230" customWidth="1"/>
    <col min="11" max="11" width="17.85546875" style="231" customWidth="1"/>
    <col min="12" max="12" width="14.42578125" style="232" customWidth="1"/>
    <col min="13" max="13" width="15.85546875" style="232" customWidth="1"/>
    <col min="14" max="14" width="24.140625" style="233" bestFit="1" customWidth="1"/>
    <col min="15" max="15" width="26.42578125" style="227" customWidth="1"/>
    <col min="16" max="16" width="28.42578125" style="226" customWidth="1"/>
    <col min="17" max="17" width="8.7109375" style="226"/>
    <col min="18" max="18" width="7.42578125" style="226" bestFit="1" customWidth="1"/>
    <col min="19" max="19" width="12.85546875" style="226" bestFit="1" customWidth="1"/>
    <col min="20" max="16384" width="8.7109375" style="226"/>
  </cols>
  <sheetData>
    <row r="1" spans="1:19" s="224" customFormat="1" ht="20.25" x14ac:dyDescent="0.25">
      <c r="A1" s="243"/>
      <c r="B1" s="243"/>
      <c r="C1" s="307">
        <v>46174</v>
      </c>
      <c r="D1" s="307"/>
      <c r="E1" s="307"/>
      <c r="F1" s="307"/>
      <c r="G1" s="307"/>
      <c r="H1" s="307"/>
      <c r="I1" s="307"/>
      <c r="J1" s="307"/>
      <c r="K1" s="307"/>
      <c r="L1" s="243"/>
      <c r="M1" s="243"/>
      <c r="N1" s="244"/>
      <c r="O1" s="243"/>
      <c r="P1" s="243"/>
      <c r="Q1" s="223"/>
      <c r="R1" s="223"/>
      <c r="S1" s="223"/>
    </row>
    <row r="2" spans="1:19" s="225" customFormat="1" ht="20.25" x14ac:dyDescent="0.25">
      <c r="A2" s="245" t="s">
        <v>61</v>
      </c>
      <c r="B2" s="245" t="s">
        <v>61</v>
      </c>
      <c r="C2" s="246" t="s">
        <v>69</v>
      </c>
      <c r="D2" s="246" t="s">
        <v>2</v>
      </c>
      <c r="E2" s="247" t="s">
        <v>3</v>
      </c>
      <c r="F2" s="246" t="s">
        <v>4</v>
      </c>
      <c r="G2" s="247" t="s">
        <v>5</v>
      </c>
      <c r="H2" s="246" t="s">
        <v>6</v>
      </c>
      <c r="I2" s="246" t="s">
        <v>7</v>
      </c>
      <c r="J2" s="248" t="s">
        <v>8</v>
      </c>
      <c r="K2" s="249" t="s">
        <v>9</v>
      </c>
      <c r="L2" s="250" t="s">
        <v>55</v>
      </c>
      <c r="M2" s="250" t="s">
        <v>10</v>
      </c>
      <c r="N2" s="251" t="s">
        <v>11</v>
      </c>
      <c r="O2" s="245" t="s">
        <v>56</v>
      </c>
      <c r="P2" s="245" t="s">
        <v>12</v>
      </c>
    </row>
    <row r="3" spans="1:19" s="234" customFormat="1" ht="20.25" x14ac:dyDescent="0.3">
      <c r="A3" s="252" t="s">
        <v>101</v>
      </c>
      <c r="B3" s="252" t="s">
        <v>64</v>
      </c>
      <c r="C3" s="253" t="s">
        <v>13</v>
      </c>
      <c r="D3" s="254">
        <v>10000</v>
      </c>
      <c r="E3" s="255">
        <v>30</v>
      </c>
      <c r="F3" s="256">
        <v>0</v>
      </c>
      <c r="G3" s="257">
        <f>Table352[[#This Row],[Basic Salary]]/Table352[[#This Row],[Days]]</f>
        <v>333.33333333333331</v>
      </c>
      <c r="H3" s="258">
        <v>0</v>
      </c>
      <c r="I3" s="256">
        <f>(FPs!C1)</f>
        <v>5.25</v>
      </c>
      <c r="J3" s="259">
        <f>Table352[[#This Row],[Late Deduction]]+Table352[[#This Row],[Absence Days]]+Table352[[#This Row],[warning]]</f>
        <v>5.25</v>
      </c>
      <c r="K3" s="256">
        <v>0</v>
      </c>
      <c r="L3" s="258">
        <v>1351</v>
      </c>
      <c r="M3" s="258">
        <f>Table352[[#This Row],[Total Cuts ]]*Table352[[#This Row],[Day Value]]</f>
        <v>1750</v>
      </c>
      <c r="N3" s="260">
        <f>Table352[[#This Row],[Basic Salary]]-(Table352[[#This Row],[Total cuts Cash]]+Table352[[#This Row],[Loan]])+Table352[[#This Row],[extra from last month]]</f>
        <v>6899</v>
      </c>
      <c r="O3" s="256" t="s">
        <v>967</v>
      </c>
      <c r="P3" s="261"/>
    </row>
    <row r="4" spans="1:19" s="235" customFormat="1" ht="20.25" x14ac:dyDescent="0.3">
      <c r="A4" s="252" t="s">
        <v>101</v>
      </c>
      <c r="B4" s="252" t="s">
        <v>60</v>
      </c>
      <c r="C4" s="253" t="s">
        <v>46</v>
      </c>
      <c r="D4" s="254">
        <v>7000</v>
      </c>
      <c r="E4" s="255">
        <v>30</v>
      </c>
      <c r="F4" s="256">
        <v>5</v>
      </c>
      <c r="G4" s="257">
        <f>Table352[[#This Row],[Basic Salary]]/Table352[[#This Row],[Days]]</f>
        <v>233.33333333333334</v>
      </c>
      <c r="H4" s="258">
        <v>0</v>
      </c>
      <c r="I4" s="256">
        <f>FPs!F1</f>
        <v>3.5</v>
      </c>
      <c r="J4" s="259">
        <f>Table352[[#This Row],[Late Deduction]]+Table352[[#This Row],[Absence Days]]+Table352[[#This Row],[warning]]</f>
        <v>8.5</v>
      </c>
      <c r="K4" s="256">
        <v>0</v>
      </c>
      <c r="L4" s="258">
        <v>0</v>
      </c>
      <c r="M4" s="258">
        <f>Table352[[#This Row],[Total Cuts ]]*Table352[[#This Row],[Day Value]]</f>
        <v>1983.3333333333335</v>
      </c>
      <c r="N4" s="260">
        <f>Table352[[#This Row],[Basic Salary]]-(Table352[[#This Row],[Total cuts Cash]]+Table352[[#This Row],[Loan]])+Table352[[#This Row],[extra from last month]]</f>
        <v>5016.6666666666661</v>
      </c>
      <c r="O4" s="256" t="s">
        <v>967</v>
      </c>
      <c r="P4" s="261"/>
    </row>
    <row r="5" spans="1:19" s="236" customFormat="1" ht="40.5" x14ac:dyDescent="0.3">
      <c r="A5" s="256" t="s">
        <v>102</v>
      </c>
      <c r="B5" s="252" t="s">
        <v>64</v>
      </c>
      <c r="C5" s="253" t="s">
        <v>99</v>
      </c>
      <c r="D5" s="254">
        <v>13000</v>
      </c>
      <c r="E5" s="255">
        <v>30</v>
      </c>
      <c r="F5" s="256">
        <v>3</v>
      </c>
      <c r="G5" s="257">
        <f>Table352[[#This Row],[Basic Salary]]/Table352[[#This Row],[Days]]</f>
        <v>433.33333333333331</v>
      </c>
      <c r="H5" s="258">
        <v>0</v>
      </c>
      <c r="I5" s="256">
        <f>FPs!I1</f>
        <v>4</v>
      </c>
      <c r="J5" s="259">
        <f>Table352[[#This Row],[Late Deduction]]+Table352[[#This Row],[Absence Days]]+Table352[[#This Row],[warning]]</f>
        <v>7</v>
      </c>
      <c r="K5" s="256">
        <v>1299</v>
      </c>
      <c r="L5" s="258">
        <v>0</v>
      </c>
      <c r="M5" s="258">
        <f>Table352[[#This Row],[Total Cuts ]]*Table352[[#This Row],[Day Value]]</f>
        <v>3033.333333333333</v>
      </c>
      <c r="N5" s="260">
        <f>Table352[[#This Row],[Basic Salary]]-(Table352[[#This Row],[Total cuts Cash]]+Table352[[#This Row],[Loan]])+Table352[[#This Row],[extra from last month]]</f>
        <v>11265.666666666668</v>
      </c>
      <c r="O5" s="256"/>
      <c r="P5" s="261" t="s">
        <v>110</v>
      </c>
    </row>
    <row r="6" spans="1:19" s="236" customFormat="1" ht="20.25" x14ac:dyDescent="0.3">
      <c r="A6" s="256" t="s">
        <v>101</v>
      </c>
      <c r="B6" s="252" t="s">
        <v>64</v>
      </c>
      <c r="C6" s="253" t="s">
        <v>70</v>
      </c>
      <c r="D6" s="254">
        <v>100000</v>
      </c>
      <c r="E6" s="256">
        <v>30</v>
      </c>
      <c r="F6" s="256">
        <v>0</v>
      </c>
      <c r="G6" s="257">
        <f>Table352[[#This Row],[Basic Salary]]/Table352[[#This Row],[Days]]</f>
        <v>3333.3333333333335</v>
      </c>
      <c r="H6" s="258">
        <v>0</v>
      </c>
      <c r="I6" s="256">
        <v>0</v>
      </c>
      <c r="J6" s="259">
        <f>Table352[[#This Row],[Late Deduction]]+Table352[[#This Row],[Absence Days]]+Table352[[#This Row],[warning]]</f>
        <v>0</v>
      </c>
      <c r="K6" s="256">
        <v>0</v>
      </c>
      <c r="L6" s="258">
        <v>0</v>
      </c>
      <c r="M6" s="262">
        <v>0</v>
      </c>
      <c r="N6" s="260">
        <f>Table352[[#This Row],[Basic Salary]]-(Table352[[#This Row],[Total cuts Cash]]+Table352[[#This Row],[Loan]])+Table352[[#This Row],[extra from last month]]</f>
        <v>100000</v>
      </c>
      <c r="O6" s="255"/>
      <c r="P6" s="263"/>
    </row>
    <row r="7" spans="1:19" s="236" customFormat="1" ht="20.25" x14ac:dyDescent="0.3">
      <c r="A7" s="256" t="s">
        <v>101</v>
      </c>
      <c r="B7" s="252" t="s">
        <v>60</v>
      </c>
      <c r="C7" s="253" t="s">
        <v>380</v>
      </c>
      <c r="D7" s="254">
        <v>7000</v>
      </c>
      <c r="E7" s="256">
        <v>30</v>
      </c>
      <c r="F7" s="256">
        <v>14</v>
      </c>
      <c r="G7" s="257">
        <f>Table352[[#This Row],[Basic Salary]]/Table352[[#This Row],[Days]]</f>
        <v>233.33333333333334</v>
      </c>
      <c r="H7" s="264"/>
      <c r="I7" s="256">
        <f>FPs!O1</f>
        <v>3.25</v>
      </c>
      <c r="J7" s="259">
        <f>Table352[[#This Row],[Late Deduction]]+Table352[[#This Row],[Absence Days]]+Table352[[#This Row],[warning]]</f>
        <v>17.25</v>
      </c>
      <c r="K7" s="256"/>
      <c r="L7" s="258">
        <v>0</v>
      </c>
      <c r="M7" s="258">
        <f>Table352[[#This Row],[Total Cuts ]]*Table352[[#This Row],[Day Value]]</f>
        <v>4025</v>
      </c>
      <c r="N7" s="260">
        <f>Table352[[#This Row],[Basic Salary]]-(Table352[[#This Row],[Total cuts Cash]]+Table352[[#This Row],[Loan]])+Table352[[#This Row],[extra from last month]]</f>
        <v>2975</v>
      </c>
      <c r="O7" s="256" t="s">
        <v>967</v>
      </c>
      <c r="P7" s="261"/>
    </row>
    <row r="8" spans="1:19" s="235" customFormat="1" ht="20.25" x14ac:dyDescent="0.3">
      <c r="A8" s="252" t="s">
        <v>102</v>
      </c>
      <c r="B8" s="252" t="s">
        <v>64</v>
      </c>
      <c r="C8" s="253" t="s">
        <v>14</v>
      </c>
      <c r="D8" s="254">
        <v>10000</v>
      </c>
      <c r="E8" s="255">
        <v>30</v>
      </c>
      <c r="F8" s="256">
        <v>0</v>
      </c>
      <c r="G8" s="257">
        <f>Table352[[#This Row],[Basic Salary]]/Table352[[#This Row],[Days]]</f>
        <v>333.33333333333331</v>
      </c>
      <c r="H8" s="258">
        <v>0</v>
      </c>
      <c r="I8" s="256">
        <v>0.25</v>
      </c>
      <c r="J8" s="259">
        <f>Table352[[#This Row],[Late Deduction]]+Table352[[#This Row],[Absence Days]]+Table352[[#This Row],[warning]]</f>
        <v>0.25</v>
      </c>
      <c r="K8" s="256">
        <v>0</v>
      </c>
      <c r="L8" s="258">
        <v>0</v>
      </c>
      <c r="M8" s="258">
        <f>Table352[[#This Row],[Total Cuts ]]*Table352[[#This Row],[Day Value]]</f>
        <v>83.333333333333329</v>
      </c>
      <c r="N8" s="260">
        <f>Table352[[#This Row],[Basic Salary]]-(Table352[[#This Row],[Total cuts Cash]]+Table352[[#This Row],[Loan]])+Table352[[#This Row],[extra from last month]]</f>
        <v>9916.6666666666661</v>
      </c>
      <c r="O8" s="256"/>
      <c r="P8" s="261" t="s">
        <v>100</v>
      </c>
    </row>
    <row r="9" spans="1:19" s="235" customFormat="1" ht="20.25" x14ac:dyDescent="0.3">
      <c r="A9" s="252" t="s">
        <v>102</v>
      </c>
      <c r="B9" s="252" t="s">
        <v>64</v>
      </c>
      <c r="C9" s="265" t="s">
        <v>27</v>
      </c>
      <c r="D9" s="254">
        <v>3000</v>
      </c>
      <c r="E9" s="255">
        <v>30</v>
      </c>
      <c r="F9" s="256">
        <v>0</v>
      </c>
      <c r="G9" s="257">
        <f>Table352[[#This Row],[Basic Salary]]/Table352[[#This Row],[Days]]</f>
        <v>100</v>
      </c>
      <c r="H9" s="258">
        <v>0</v>
      </c>
      <c r="I9" s="256">
        <v>0</v>
      </c>
      <c r="J9" s="259">
        <f>Table352[[#This Row],[Late Deduction]]+Table352[[#This Row],[Absence Days]]+Table352[[#This Row],[warning]]</f>
        <v>0</v>
      </c>
      <c r="K9" s="256">
        <v>0</v>
      </c>
      <c r="L9" s="258">
        <v>0</v>
      </c>
      <c r="M9" s="258">
        <f>Table352[[#This Row],[Total Cuts ]]*Table352[[#This Row],[Day Value]]</f>
        <v>0</v>
      </c>
      <c r="N9" s="260">
        <f>Table352[[#This Row],[Basic Salary]]-(Table352[[#This Row],[Total cuts Cash]]+Table352[[#This Row],[Loan]])+Table352[[#This Row],[extra from last month]]</f>
        <v>3000</v>
      </c>
      <c r="O9" s="256"/>
      <c r="P9" s="261"/>
    </row>
    <row r="10" spans="1:19" s="235" customFormat="1" ht="20.25" x14ac:dyDescent="0.3">
      <c r="A10" s="252" t="s">
        <v>101</v>
      </c>
      <c r="B10" s="252" t="s">
        <v>64</v>
      </c>
      <c r="C10" s="265" t="s">
        <v>15</v>
      </c>
      <c r="D10" s="254">
        <v>18000</v>
      </c>
      <c r="E10" s="256">
        <v>30</v>
      </c>
      <c r="F10" s="256">
        <v>0</v>
      </c>
      <c r="G10" s="257">
        <f>Table352[[#This Row],[Basic Salary]]/Table352[[#This Row],[Days]]</f>
        <v>600</v>
      </c>
      <c r="H10" s="258">
        <v>0</v>
      </c>
      <c r="I10" s="256">
        <f>FPs!U1</f>
        <v>2.75</v>
      </c>
      <c r="J10" s="259">
        <f>Table352[[#This Row],[Late Deduction]]+Table352[[#This Row],[Absence Days]]+Table352[[#This Row],[warning]]</f>
        <v>2.75</v>
      </c>
      <c r="K10" s="256">
        <v>0</v>
      </c>
      <c r="L10" s="258">
        <v>5000</v>
      </c>
      <c r="M10" s="258">
        <f>Table352[[#This Row],[Total Cuts ]]*Table352[[#This Row],[Day Value]]</f>
        <v>1650</v>
      </c>
      <c r="N10" s="260">
        <f>Table352[[#This Row],[Basic Salary]]-(Table352[[#This Row],[Total cuts Cash]]+Table352[[#This Row],[Loan]])+Table352[[#This Row],[extra from last month]]</f>
        <v>11350</v>
      </c>
      <c r="O10" s="256" t="s">
        <v>967</v>
      </c>
      <c r="P10" s="261" t="s">
        <v>100</v>
      </c>
    </row>
    <row r="11" spans="1:19" s="235" customFormat="1" ht="20.25" x14ac:dyDescent="0.3">
      <c r="A11" s="252" t="s">
        <v>102</v>
      </c>
      <c r="B11" s="252" t="s">
        <v>64</v>
      </c>
      <c r="C11" s="265" t="s">
        <v>919</v>
      </c>
      <c r="D11" s="254">
        <v>9000</v>
      </c>
      <c r="E11" s="256">
        <v>30</v>
      </c>
      <c r="F11" s="256">
        <v>22</v>
      </c>
      <c r="G11" s="257">
        <f>Table352[[#This Row],[Basic Salary]]/Table352[[#This Row],[Days]]</f>
        <v>300</v>
      </c>
      <c r="H11" s="264"/>
      <c r="I11" s="256">
        <v>0.25</v>
      </c>
      <c r="J11" s="259">
        <f>Table352[[#This Row],[Late Deduction]]+Table352[[#This Row],[Absence Days]]+Table352[[#This Row],[warning]]</f>
        <v>22.25</v>
      </c>
      <c r="K11" s="256">
        <v>0</v>
      </c>
      <c r="L11" s="258">
        <v>0</v>
      </c>
      <c r="M11" s="262">
        <f>Table352[[#This Row],[Total Cuts ]]*Table352[[#This Row],[Day Value]]</f>
        <v>6675</v>
      </c>
      <c r="N11" s="260">
        <f>Table352[[#This Row],[Basic Salary]]-(Table352[[#This Row],[Total cuts Cash]]+Table352[[#This Row],[Loan]])+Table352[[#This Row],[extra from last month]]</f>
        <v>2325</v>
      </c>
      <c r="O11" s="255"/>
      <c r="P11" s="261" t="s">
        <v>922</v>
      </c>
    </row>
    <row r="12" spans="1:19" s="235" customFormat="1" ht="20.25" x14ac:dyDescent="0.3">
      <c r="A12" s="252" t="s">
        <v>102</v>
      </c>
      <c r="B12" s="252" t="s">
        <v>64</v>
      </c>
      <c r="C12" s="265" t="s">
        <v>47</v>
      </c>
      <c r="D12" s="254">
        <v>7000</v>
      </c>
      <c r="E12" s="255">
        <v>30</v>
      </c>
      <c r="F12" s="256">
        <v>1</v>
      </c>
      <c r="G12" s="257">
        <f>Table352[[#This Row],[Basic Salary]]/Table352[[#This Row],[Days]]</f>
        <v>233.33333333333334</v>
      </c>
      <c r="H12" s="258">
        <v>0</v>
      </c>
      <c r="I12" s="256">
        <v>0.25</v>
      </c>
      <c r="J12" s="259">
        <f>Table352[[#This Row],[Late Deduction]]+Table352[[#This Row],[Absence Days]]+Table352[[#This Row],[warning]]</f>
        <v>1.25</v>
      </c>
      <c r="K12" s="256">
        <v>0</v>
      </c>
      <c r="L12" s="258">
        <v>0</v>
      </c>
      <c r="M12" s="258">
        <f>Table352[[#This Row],[Total Cuts ]]*Table352[[#This Row],[Day Value]]</f>
        <v>291.66666666666669</v>
      </c>
      <c r="N12" s="260">
        <f>Table352[[#This Row],[Basic Salary]]-(Table352[[#This Row],[Total cuts Cash]]+Table352[[#This Row],[Loan]])+Table352[[#This Row],[extra from last month]]</f>
        <v>6708.333333333333</v>
      </c>
      <c r="O12" s="256"/>
      <c r="P12" s="261"/>
      <c r="S12" s="237"/>
    </row>
    <row r="13" spans="1:19" s="235" customFormat="1" ht="20.25" x14ac:dyDescent="0.3">
      <c r="A13" s="252" t="s">
        <v>102</v>
      </c>
      <c r="B13" s="252" t="s">
        <v>64</v>
      </c>
      <c r="C13" s="265" t="s">
        <v>920</v>
      </c>
      <c r="D13" s="254">
        <v>7000</v>
      </c>
      <c r="E13" s="255">
        <v>30</v>
      </c>
      <c r="F13" s="256">
        <v>22</v>
      </c>
      <c r="G13" s="257">
        <f>Table352[[#This Row],[Basic Salary]]/Table352[[#This Row],[Days]]</f>
        <v>233.33333333333334</v>
      </c>
      <c r="H13" s="264"/>
      <c r="I13" s="256">
        <v>0</v>
      </c>
      <c r="J13" s="259">
        <f>Table352[[#This Row],[Late Deduction]]+Table352[[#This Row],[Absence Days]]+Table352[[#This Row],[warning]]</f>
        <v>22</v>
      </c>
      <c r="K13" s="256"/>
      <c r="L13" s="258">
        <v>0</v>
      </c>
      <c r="M13" s="258">
        <f>Table352[[#This Row],[Total Cuts ]]*Table352[[#This Row],[Day Value]]</f>
        <v>5133.3333333333339</v>
      </c>
      <c r="N13" s="260">
        <f>Table352[[#This Row],[Basic Salary]]-(Table352[[#This Row],[Total cuts Cash]]+Table352[[#This Row],[Loan]])+Table352[[#This Row],[extra from last month]]</f>
        <v>1866.6666666666661</v>
      </c>
      <c r="O13" s="256">
        <v>8</v>
      </c>
      <c r="P13" s="261" t="s">
        <v>922</v>
      </c>
    </row>
    <row r="14" spans="1:19" s="235" customFormat="1" ht="20.25" x14ac:dyDescent="0.3">
      <c r="A14" s="252" t="s">
        <v>102</v>
      </c>
      <c r="B14" s="252" t="s">
        <v>64</v>
      </c>
      <c r="C14" s="265" t="s">
        <v>49</v>
      </c>
      <c r="D14" s="254">
        <v>7000</v>
      </c>
      <c r="E14" s="255">
        <v>30</v>
      </c>
      <c r="F14" s="256">
        <v>1</v>
      </c>
      <c r="G14" s="257">
        <f>Table352[[#This Row],[Basic Salary]]/Table352[[#This Row],[Days]]</f>
        <v>233.33333333333334</v>
      </c>
      <c r="H14" s="258">
        <v>0</v>
      </c>
      <c r="I14" s="256">
        <f>FPs!BE1</f>
        <v>2</v>
      </c>
      <c r="J14" s="259">
        <f>Table352[[#This Row],[Late Deduction]]+Table352[[#This Row],[Absence Days]]+Table352[[#This Row],[warning]]</f>
        <v>3</v>
      </c>
      <c r="K14" s="256">
        <v>0</v>
      </c>
      <c r="L14" s="258">
        <v>0</v>
      </c>
      <c r="M14" s="258">
        <f>Table352[[#This Row],[Total Cuts ]]*Table352[[#This Row],[Day Value]]</f>
        <v>700</v>
      </c>
      <c r="N14" s="260">
        <f>Table352[[#This Row],[Basic Salary]]-(Table352[[#This Row],[Total cuts Cash]]+Table352[[#This Row],[Loan]])+Table352[[#This Row],[extra from last month]]</f>
        <v>6300</v>
      </c>
      <c r="O14" s="256"/>
      <c r="P14" s="261"/>
    </row>
    <row r="15" spans="1:19" s="235" customFormat="1" ht="20.25" x14ac:dyDescent="0.3">
      <c r="A15" s="252" t="s">
        <v>101</v>
      </c>
      <c r="B15" s="252" t="s">
        <v>64</v>
      </c>
      <c r="C15" s="265" t="s">
        <v>16</v>
      </c>
      <c r="D15" s="254">
        <v>15000</v>
      </c>
      <c r="E15" s="255">
        <v>30</v>
      </c>
      <c r="F15" s="256">
        <v>0</v>
      </c>
      <c r="G15" s="257">
        <f>Table352[[#This Row],[Basic Salary]]/Table352[[#This Row],[Days]]</f>
        <v>500</v>
      </c>
      <c r="H15" s="258">
        <v>0</v>
      </c>
      <c r="I15" s="256">
        <v>0</v>
      </c>
      <c r="J15" s="259">
        <f>Table352[[#This Row],[Late Deduction]]+Table352[[#This Row],[Absence Days]]+Table352[[#This Row],[warning]]</f>
        <v>0</v>
      </c>
      <c r="K15" s="256">
        <v>0</v>
      </c>
      <c r="L15" s="258">
        <v>0</v>
      </c>
      <c r="M15" s="258">
        <f>Table352[[#This Row],[Total Cuts ]]*Table352[[#This Row],[Day Value]]</f>
        <v>0</v>
      </c>
      <c r="N15" s="260">
        <f>Table352[[#This Row],[Basic Salary]]-(Table352[[#This Row],[Total cuts Cash]]+Table352[[#This Row],[Loan]])+Table352[[#This Row],[extra from last month]]</f>
        <v>15000</v>
      </c>
      <c r="O15" s="256" t="s">
        <v>967</v>
      </c>
      <c r="P15" s="261" t="s">
        <v>921</v>
      </c>
    </row>
    <row r="16" spans="1:19" s="235" customFormat="1" ht="20.25" x14ac:dyDescent="0.3">
      <c r="A16" s="252" t="s">
        <v>101</v>
      </c>
      <c r="B16" s="252" t="s">
        <v>64</v>
      </c>
      <c r="C16" s="265" t="s">
        <v>41</v>
      </c>
      <c r="D16" s="254">
        <v>7000</v>
      </c>
      <c r="E16" s="255">
        <v>30</v>
      </c>
      <c r="F16" s="256">
        <v>4</v>
      </c>
      <c r="G16" s="257">
        <f>Table352[[#This Row],[Basic Salary]]/Table352[[#This Row],[Days]]</f>
        <v>233.33333333333334</v>
      </c>
      <c r="H16" s="258">
        <v>1</v>
      </c>
      <c r="I16" s="256">
        <v>0.25</v>
      </c>
      <c r="J16" s="259">
        <f>Table352[[#This Row],[Late Deduction]]+Table352[[#This Row],[Absence Days]]+Table352[[#This Row],[warning]]</f>
        <v>5.25</v>
      </c>
      <c r="K16" s="256">
        <v>0</v>
      </c>
      <c r="L16" s="258">
        <v>0</v>
      </c>
      <c r="M16" s="258">
        <f>Table352[[#This Row],[Total Cuts ]]*Table352[[#This Row],[Day Value]]</f>
        <v>1225</v>
      </c>
      <c r="N16" s="260">
        <f>Table352[[#This Row],[Basic Salary]]-(Table352[[#This Row],[Total cuts Cash]]+Table352[[#This Row],[Loan]])+Table352[[#This Row],[extra from last month]]</f>
        <v>5775</v>
      </c>
      <c r="O16" s="256"/>
      <c r="P16" s="261"/>
    </row>
    <row r="17" spans="1:1017 1028:3072 3083:4092 4103:5112 5123:7167 7178:8187 8198:9207 9218:11262 11273:12282 12293:13302 13313:15357 15368:16377" s="236" customFormat="1" ht="20.25" x14ac:dyDescent="0.25">
      <c r="A17" s="256" t="s">
        <v>101</v>
      </c>
      <c r="B17" s="256" t="s">
        <v>64</v>
      </c>
      <c r="C17" s="265" t="s">
        <v>50</v>
      </c>
      <c r="D17" s="266">
        <v>8000</v>
      </c>
      <c r="E17" s="255">
        <v>30</v>
      </c>
      <c r="F17" s="256">
        <v>3</v>
      </c>
      <c r="G17" s="257">
        <f>Table352[[#This Row],[Basic Salary]]/Table352[[#This Row],[Days]]</f>
        <v>266.66666666666669</v>
      </c>
      <c r="H17" s="258">
        <v>0</v>
      </c>
      <c r="I17" s="256">
        <v>0</v>
      </c>
      <c r="J17" s="259">
        <f>Table352[[#This Row],[Late Deduction]]+Table352[[#This Row],[Absence Days]]+Table352[[#This Row],[warning]]</f>
        <v>3</v>
      </c>
      <c r="K17" s="256">
        <v>0</v>
      </c>
      <c r="L17" s="258">
        <v>0</v>
      </c>
      <c r="M17" s="258">
        <f>Table352[[#This Row],[Total Cuts ]]*Table352[[#This Row],[Day Value]]</f>
        <v>800</v>
      </c>
      <c r="N17" s="260">
        <f>Table352[[#This Row],[Basic Salary]]-(Table352[[#This Row],[Total cuts Cash]]+Table352[[#This Row],[Loan]])+Table352[[#This Row],[extra from last month]]</f>
        <v>7200</v>
      </c>
      <c r="O17" s="256"/>
      <c r="P17" s="261"/>
    </row>
    <row r="18" spans="1:1017 1028:3072 3083:4092 4103:5112 5123:7167 7178:8187 8198:9207 9218:11262 11273:12282 12293:13302 13313:15357 15368:16377" s="235" customFormat="1" ht="20.25" x14ac:dyDescent="0.3">
      <c r="A18" s="252" t="s">
        <v>102</v>
      </c>
      <c r="B18" s="252" t="s">
        <v>64</v>
      </c>
      <c r="C18" s="265" t="s">
        <v>39</v>
      </c>
      <c r="D18" s="254">
        <v>9000</v>
      </c>
      <c r="E18" s="255">
        <v>30</v>
      </c>
      <c r="F18" s="256">
        <v>16</v>
      </c>
      <c r="G18" s="257">
        <f>Table352[[#This Row],[Basic Salary]]/Table352[[#This Row],[Days]]</f>
        <v>300</v>
      </c>
      <c r="H18" s="258">
        <v>0</v>
      </c>
      <c r="I18" s="256">
        <v>4.5</v>
      </c>
      <c r="J18" s="259">
        <f>Table352[[#This Row],[Late Deduction]]+Table352[[#This Row],[Absence Days]]+Table352[[#This Row],[warning]]</f>
        <v>20.5</v>
      </c>
      <c r="K18" s="256">
        <v>0</v>
      </c>
      <c r="L18" s="258">
        <v>0</v>
      </c>
      <c r="M18" s="258">
        <f>Table352[[#This Row],[Total Cuts ]]*Table352[[#This Row],[Day Value]]</f>
        <v>6150</v>
      </c>
      <c r="N18" s="260">
        <f>Table352[[#This Row],[Basic Salary]]-(Table352[[#This Row],[Total cuts Cash]]+Table352[[#This Row],[Loan]])+Table352[[#This Row],[extra from last month]]</f>
        <v>2850</v>
      </c>
      <c r="O18" s="256"/>
      <c r="P18" s="261"/>
    </row>
    <row r="19" spans="1:1017 1028:3072 3083:4092 4103:5112 5123:7167 7178:8187 8198:9207 9218:11262 11273:12282 12293:13302 13313:15357 15368:16377" s="235" customFormat="1" ht="40.5" x14ac:dyDescent="0.3">
      <c r="A19" s="252" t="s">
        <v>101</v>
      </c>
      <c r="B19" s="252" t="s">
        <v>64</v>
      </c>
      <c r="C19" s="265" t="s">
        <v>29</v>
      </c>
      <c r="D19" s="266">
        <v>7000</v>
      </c>
      <c r="E19" s="255">
        <v>30</v>
      </c>
      <c r="F19" s="256">
        <v>0</v>
      </c>
      <c r="G19" s="257">
        <f>Table352[[#This Row],[Basic Salary]]/Table352[[#This Row],[Days]]</f>
        <v>233.33333333333334</v>
      </c>
      <c r="H19" s="267"/>
      <c r="I19" s="256">
        <v>0</v>
      </c>
      <c r="J19" s="259">
        <f>Table352[[#This Row],[Late Deduction]]+Table352[[#This Row],[Absence Days]]+Table352[[#This Row],[warning]]</f>
        <v>0</v>
      </c>
      <c r="K19" s="256">
        <v>0</v>
      </c>
      <c r="L19" s="258">
        <v>1200</v>
      </c>
      <c r="M19" s="258">
        <f>Table352[[#This Row],[Total Cuts ]]*Table352[[#This Row],[Day Value]]</f>
        <v>0</v>
      </c>
      <c r="N19" s="260">
        <f>Table352[[#This Row],[Basic Salary]]-(Table352[[#This Row],[Total cuts Cash]]+Table352[[#This Row],[Loan]])+Table352[[#This Row],[extra from last month]]</f>
        <v>5800</v>
      </c>
      <c r="O19" s="256"/>
      <c r="P19" s="261" t="s">
        <v>97</v>
      </c>
    </row>
    <row r="20" spans="1:1017 1028:3072 3083:4092 4103:5112 5123:7167 7178:8187 8198:9207 9218:11262 11273:12282 12293:13302 13313:15357 15368:16377" s="235" customFormat="1" ht="20.25" x14ac:dyDescent="0.3">
      <c r="A20" s="252" t="s">
        <v>101</v>
      </c>
      <c r="B20" s="252" t="s">
        <v>64</v>
      </c>
      <c r="C20" s="265" t="s">
        <v>17</v>
      </c>
      <c r="D20" s="254">
        <v>10000</v>
      </c>
      <c r="E20" s="255">
        <v>30</v>
      </c>
      <c r="F20" s="256">
        <v>7</v>
      </c>
      <c r="G20" s="257">
        <f>Table352[[#This Row],[Basic Salary]]/Table352[[#This Row],[Days]]</f>
        <v>333.33333333333331</v>
      </c>
      <c r="H20" s="267">
        <v>3</v>
      </c>
      <c r="I20" s="256">
        <v>5</v>
      </c>
      <c r="J20" s="259">
        <f>Table352[[#This Row],[Late Deduction]]+Table352[[#This Row],[Absence Days]]+Table352[[#This Row],[warning]]</f>
        <v>15</v>
      </c>
      <c r="K20" s="256">
        <v>0</v>
      </c>
      <c r="L20" s="258">
        <v>0</v>
      </c>
      <c r="M20" s="258">
        <f>Table352[[#This Row],[Total Cuts ]]*Table352[[#This Row],[Day Value]]</f>
        <v>5000</v>
      </c>
      <c r="N20" s="260">
        <f>Table352[[#This Row],[Basic Salary]]-(Table352[[#This Row],[Total cuts Cash]]+Table352[[#This Row],[Loan]])+Table352[[#This Row],[extra from last month]]</f>
        <v>5000</v>
      </c>
      <c r="O20" s="256"/>
      <c r="P20" s="261" t="s">
        <v>921</v>
      </c>
    </row>
    <row r="21" spans="1:1017 1028:3072 3083:4092 4103:5112 5123:7167 7178:8187 8198:9207 9218:11262 11273:12282 12293:13302 13313:15357 15368:16377" s="235" customFormat="1" ht="20.25" x14ac:dyDescent="0.3">
      <c r="A21" s="252" t="s">
        <v>101</v>
      </c>
      <c r="B21" s="252" t="s">
        <v>64</v>
      </c>
      <c r="C21" s="265" t="s">
        <v>18</v>
      </c>
      <c r="D21" s="254">
        <v>8000</v>
      </c>
      <c r="E21" s="255">
        <v>30</v>
      </c>
      <c r="F21" s="256">
        <v>0</v>
      </c>
      <c r="G21" s="257">
        <f>Table352[[#This Row],[Basic Salary]]/Table352[[#This Row],[Days]]</f>
        <v>266.66666666666669</v>
      </c>
      <c r="H21" s="258">
        <v>0</v>
      </c>
      <c r="I21" s="256">
        <f>FPs!AP1</f>
        <v>1</v>
      </c>
      <c r="J21" s="259">
        <f>Table352[[#This Row],[Late Deduction]]+Table352[[#This Row],[Absence Days]]+Table352[[#This Row],[warning]]</f>
        <v>1</v>
      </c>
      <c r="K21" s="256">
        <v>0</v>
      </c>
      <c r="L21" s="258">
        <v>0</v>
      </c>
      <c r="M21" s="258">
        <f>Table352[[#This Row],[Total Cuts ]]*Table352[[#This Row],[Day Value]]</f>
        <v>266.66666666666669</v>
      </c>
      <c r="N21" s="260">
        <f>Table352[[#This Row],[Basic Salary]]-(Table352[[#This Row],[Total cuts Cash]]+Table352[[#This Row],[Loan]])+Table352[[#This Row],[extra from last month]]</f>
        <v>7733.333333333333</v>
      </c>
      <c r="O21" s="256"/>
      <c r="P21" s="261" t="s">
        <v>951</v>
      </c>
    </row>
    <row r="22" spans="1:1017 1028:3072 3083:4092 4103:5112 5123:7167 7178:8187 8198:9207 9218:11262 11273:12282 12293:13302 13313:15357 15368:16377" s="235" customFormat="1" ht="20.25" x14ac:dyDescent="0.3">
      <c r="A22" s="252" t="s">
        <v>101</v>
      </c>
      <c r="B22" s="252" t="s">
        <v>64</v>
      </c>
      <c r="C22" s="265" t="s">
        <v>66</v>
      </c>
      <c r="D22" s="254">
        <v>9000</v>
      </c>
      <c r="E22" s="255">
        <v>30</v>
      </c>
      <c r="F22" s="256">
        <v>3</v>
      </c>
      <c r="G22" s="257">
        <f>Table352[[#This Row],[Basic Salary]]/Table352[[#This Row],[Days]]</f>
        <v>300</v>
      </c>
      <c r="H22" s="258">
        <v>0</v>
      </c>
      <c r="I22" s="256">
        <v>2</v>
      </c>
      <c r="J22" s="259">
        <f>Table352[[#This Row],[Late Deduction]]+Table352[[#This Row],[Absence Days]]+Table352[[#This Row],[warning]]</f>
        <v>5</v>
      </c>
      <c r="K22" s="256">
        <v>0</v>
      </c>
      <c r="L22" s="258">
        <v>0</v>
      </c>
      <c r="M22" s="258">
        <f>Table352[[#This Row],[Total Cuts ]]*Table352[[#This Row],[Day Value]]</f>
        <v>1500</v>
      </c>
      <c r="N22" s="260">
        <f>Table352[[#This Row],[Basic Salary]]-(Table352[[#This Row],[Total cuts Cash]]+Table352[[#This Row],[Loan]])+Table352[[#This Row],[extra from last month]]</f>
        <v>7500</v>
      </c>
      <c r="O22" s="256"/>
      <c r="P22" s="261"/>
    </row>
    <row r="23" spans="1:1017 1028:3072 3083:4092 4103:5112 5123:7167 7178:8187 8198:9207 9218:11262 11273:12282 12293:13302 13313:15357 15368:16377" s="235" customFormat="1" ht="20.25" x14ac:dyDescent="0.3">
      <c r="A23" s="252" t="s">
        <v>102</v>
      </c>
      <c r="B23" s="252" t="s">
        <v>64</v>
      </c>
      <c r="C23" s="265" t="s">
        <v>48</v>
      </c>
      <c r="D23" s="254">
        <v>7000</v>
      </c>
      <c r="E23" s="255">
        <v>30</v>
      </c>
      <c r="F23" s="256">
        <v>1</v>
      </c>
      <c r="G23" s="257">
        <f>Table352[[#This Row],[Basic Salary]]/Table352[[#This Row],[Days]]</f>
        <v>233.33333333333334</v>
      </c>
      <c r="H23" s="258">
        <v>0</v>
      </c>
      <c r="I23" s="256">
        <v>0.75</v>
      </c>
      <c r="J23" s="259">
        <f>Table352[[#This Row],[Late Deduction]]+Table352[[#This Row],[Absence Days]]+Table352[[#This Row],[warning]]</f>
        <v>1.75</v>
      </c>
      <c r="K23" s="256">
        <v>0</v>
      </c>
      <c r="L23" s="258">
        <v>0</v>
      </c>
      <c r="M23" s="258">
        <f>Table352[[#This Row],[Total Cuts ]]*Table352[[#This Row],[Day Value]]</f>
        <v>408.33333333333337</v>
      </c>
      <c r="N23" s="260">
        <f>Table352[[#This Row],[Basic Salary]]-(Table352[[#This Row],[Total cuts Cash]]+Table352[[#This Row],[Loan]])+Table352[[#This Row],[extra from last month]]</f>
        <v>6591.666666666667</v>
      </c>
      <c r="O23" s="256"/>
      <c r="P23" s="261"/>
    </row>
    <row r="24" spans="1:1017 1028:3072 3083:4092 4103:5112 5123:7167 7178:8187 8198:9207 9218:11262 11273:12282 12293:13302 13313:15357 15368:16377" s="238" customFormat="1" ht="20.25" x14ac:dyDescent="0.3">
      <c r="A24" s="268" t="s">
        <v>101</v>
      </c>
      <c r="B24" s="252" t="s">
        <v>64</v>
      </c>
      <c r="C24" s="265" t="s">
        <v>32</v>
      </c>
      <c r="D24" s="254">
        <v>30000</v>
      </c>
      <c r="E24" s="255">
        <v>30</v>
      </c>
      <c r="F24" s="256">
        <v>0</v>
      </c>
      <c r="G24" s="257">
        <f>Table352[[#This Row],[Basic Salary]]/Table352[[#This Row],[Days]]</f>
        <v>1000</v>
      </c>
      <c r="H24" s="258">
        <v>0</v>
      </c>
      <c r="I24" s="256">
        <v>0</v>
      </c>
      <c r="J24" s="259">
        <f>Table352[[#This Row],[Late Deduction]]+Table352[[#This Row],[Absence Days]]+Table352[[#This Row],[warning]]</f>
        <v>0</v>
      </c>
      <c r="K24" s="256">
        <v>0</v>
      </c>
      <c r="L24" s="258">
        <v>0</v>
      </c>
      <c r="M24" s="258">
        <f>Table352[[#This Row],[Total Cuts ]]*Table352[[#This Row],[Day Value]]</f>
        <v>0</v>
      </c>
      <c r="N24" s="260">
        <f>Table352[[#This Row],[Basic Salary]]-(Table352[[#This Row],[Total cuts Cash]]+Table352[[#This Row],[Loan]])+Table352[[#This Row],[extra from last month]]</f>
        <v>30000</v>
      </c>
      <c r="O24" s="256"/>
      <c r="P24" s="261"/>
      <c r="W24" s="239"/>
      <c r="X24" s="239"/>
      <c r="Y24" s="240"/>
      <c r="Z24" s="240"/>
      <c r="AA24" s="240"/>
      <c r="AL24" s="239"/>
      <c r="AM24" s="239"/>
      <c r="AN24" s="240"/>
      <c r="AO24" s="240"/>
      <c r="AP24" s="240"/>
      <c r="BA24" s="239"/>
      <c r="BB24" s="239"/>
      <c r="BC24" s="240"/>
      <c r="BD24" s="240"/>
      <c r="BE24" s="240"/>
      <c r="BP24" s="239"/>
      <c r="BQ24" s="239"/>
      <c r="BR24" s="240"/>
      <c r="BS24" s="240"/>
      <c r="BT24" s="240"/>
      <c r="CE24" s="239"/>
      <c r="CF24" s="239"/>
      <c r="CG24" s="240"/>
      <c r="CH24" s="240"/>
      <c r="CI24" s="240"/>
      <c r="CT24" s="239"/>
      <c r="CU24" s="239"/>
      <c r="CV24" s="240"/>
      <c r="CW24" s="240"/>
      <c r="CX24" s="240"/>
      <c r="DI24" s="239"/>
      <c r="DJ24" s="239"/>
      <c r="DK24" s="240"/>
      <c r="DL24" s="240"/>
      <c r="DM24" s="240"/>
      <c r="DX24" s="239"/>
      <c r="DY24" s="239"/>
      <c r="DZ24" s="240"/>
      <c r="EA24" s="240"/>
      <c r="EB24" s="240"/>
      <c r="EM24" s="239"/>
      <c r="EN24" s="239"/>
      <c r="EO24" s="240"/>
      <c r="EP24" s="240"/>
      <c r="EQ24" s="240"/>
      <c r="FB24" s="239"/>
      <c r="FC24" s="239"/>
      <c r="FD24" s="240"/>
      <c r="FE24" s="240"/>
      <c r="FF24" s="240"/>
      <c r="FQ24" s="239"/>
      <c r="FR24" s="239"/>
      <c r="FS24" s="240"/>
      <c r="FT24" s="240"/>
      <c r="FU24" s="240"/>
      <c r="GF24" s="239"/>
      <c r="GG24" s="239"/>
      <c r="GH24" s="240"/>
      <c r="GI24" s="240"/>
      <c r="GJ24" s="240"/>
      <c r="GU24" s="239"/>
      <c r="GV24" s="239"/>
      <c r="GW24" s="240"/>
      <c r="GX24" s="240"/>
      <c r="GY24" s="240"/>
      <c r="HJ24" s="239"/>
      <c r="HK24" s="239"/>
      <c r="HL24" s="240"/>
      <c r="HM24" s="240"/>
      <c r="HN24" s="240"/>
      <c r="HY24" s="239"/>
      <c r="HZ24" s="239"/>
      <c r="IA24" s="240"/>
      <c r="IB24" s="240"/>
      <c r="IC24" s="240"/>
      <c r="IN24" s="239"/>
      <c r="IO24" s="239"/>
      <c r="IP24" s="240"/>
      <c r="IQ24" s="240"/>
      <c r="IR24" s="240"/>
      <c r="JC24" s="239"/>
      <c r="JD24" s="239"/>
      <c r="JE24" s="240"/>
      <c r="JF24" s="240"/>
      <c r="JG24" s="240"/>
      <c r="JR24" s="239"/>
      <c r="JS24" s="239"/>
      <c r="JT24" s="240"/>
      <c r="JU24" s="240"/>
      <c r="JV24" s="240"/>
      <c r="KG24" s="239"/>
      <c r="KH24" s="239"/>
      <c r="KI24" s="240"/>
      <c r="KJ24" s="240"/>
      <c r="KK24" s="240"/>
      <c r="KV24" s="239"/>
      <c r="KW24" s="239"/>
      <c r="KX24" s="240"/>
      <c r="KY24" s="240"/>
      <c r="KZ24" s="240"/>
      <c r="LK24" s="239"/>
      <c r="LL24" s="239"/>
      <c r="LM24" s="240"/>
      <c r="LN24" s="240"/>
      <c r="LO24" s="240"/>
      <c r="LZ24" s="239"/>
      <c r="MA24" s="239"/>
      <c r="MB24" s="240"/>
      <c r="MC24" s="240"/>
      <c r="MD24" s="240"/>
      <c r="MO24" s="239"/>
      <c r="MP24" s="239"/>
      <c r="MQ24" s="240"/>
      <c r="MR24" s="240"/>
      <c r="MS24" s="240"/>
      <c r="ND24" s="239"/>
      <c r="NE24" s="239"/>
      <c r="NF24" s="240"/>
      <c r="NG24" s="240"/>
      <c r="NH24" s="240"/>
      <c r="NS24" s="239"/>
      <c r="NT24" s="239"/>
      <c r="NU24" s="240"/>
      <c r="NV24" s="240"/>
      <c r="NW24" s="240"/>
      <c r="OH24" s="239"/>
      <c r="OI24" s="239"/>
      <c r="OJ24" s="240"/>
      <c r="OK24" s="240"/>
      <c r="OL24" s="240"/>
      <c r="OW24" s="239"/>
      <c r="OX24" s="239"/>
      <c r="OY24" s="240"/>
      <c r="OZ24" s="240"/>
      <c r="PA24" s="240"/>
      <c r="PL24" s="239"/>
      <c r="PM24" s="239"/>
      <c r="PN24" s="240"/>
      <c r="PO24" s="240"/>
      <c r="PP24" s="240"/>
      <c r="QA24" s="239"/>
      <c r="QB24" s="239"/>
      <c r="QC24" s="240"/>
      <c r="QD24" s="240"/>
      <c r="QE24" s="240"/>
      <c r="QP24" s="239"/>
      <c r="QQ24" s="239"/>
      <c r="QR24" s="240"/>
      <c r="QS24" s="240"/>
      <c r="QT24" s="240"/>
      <c r="RE24" s="239"/>
      <c r="RF24" s="239"/>
      <c r="RG24" s="240"/>
      <c r="RH24" s="240"/>
      <c r="RI24" s="240"/>
      <c r="RT24" s="239"/>
      <c r="RU24" s="239"/>
      <c r="RV24" s="240"/>
      <c r="RW24" s="240"/>
      <c r="RX24" s="240"/>
      <c r="SI24" s="239"/>
      <c r="SJ24" s="239"/>
      <c r="SK24" s="240"/>
      <c r="SL24" s="240"/>
      <c r="SM24" s="240"/>
      <c r="SX24" s="239"/>
      <c r="SY24" s="239"/>
      <c r="SZ24" s="240"/>
      <c r="TA24" s="240"/>
      <c r="TB24" s="240"/>
      <c r="TM24" s="239"/>
      <c r="TN24" s="239"/>
      <c r="TO24" s="240"/>
      <c r="TP24" s="240"/>
      <c r="TQ24" s="240"/>
      <c r="UB24" s="239"/>
      <c r="UC24" s="239"/>
      <c r="UD24" s="240"/>
      <c r="UE24" s="240"/>
      <c r="UF24" s="240"/>
      <c r="UQ24" s="239"/>
      <c r="UR24" s="239"/>
      <c r="US24" s="240"/>
      <c r="UT24" s="240"/>
      <c r="UU24" s="240"/>
      <c r="VF24" s="239"/>
      <c r="VG24" s="239"/>
      <c r="VH24" s="240"/>
      <c r="VI24" s="240"/>
      <c r="VJ24" s="240"/>
      <c r="VU24" s="239"/>
      <c r="VV24" s="239"/>
      <c r="VW24" s="240"/>
      <c r="VX24" s="240"/>
      <c r="VY24" s="240"/>
      <c r="WJ24" s="239"/>
      <c r="WK24" s="239"/>
      <c r="WL24" s="240"/>
      <c r="WM24" s="240"/>
      <c r="WN24" s="240"/>
      <c r="WY24" s="239"/>
      <c r="WZ24" s="239"/>
      <c r="XA24" s="240"/>
      <c r="XB24" s="240"/>
      <c r="XC24" s="240"/>
      <c r="XN24" s="239"/>
      <c r="XO24" s="239"/>
      <c r="XP24" s="240"/>
      <c r="XQ24" s="240"/>
      <c r="XR24" s="240"/>
      <c r="YC24" s="239"/>
      <c r="YD24" s="239"/>
      <c r="YE24" s="240"/>
      <c r="YF24" s="240"/>
      <c r="YG24" s="240"/>
      <c r="YR24" s="239"/>
      <c r="YS24" s="239"/>
      <c r="YT24" s="240"/>
      <c r="YU24" s="240"/>
      <c r="YV24" s="240"/>
      <c r="ZG24" s="239"/>
      <c r="ZH24" s="239"/>
      <c r="ZI24" s="240"/>
      <c r="ZJ24" s="240"/>
      <c r="ZK24" s="240"/>
      <c r="ZV24" s="239"/>
      <c r="ZW24" s="239"/>
      <c r="ZX24" s="240"/>
      <c r="ZY24" s="240"/>
      <c r="ZZ24" s="240"/>
      <c r="AAK24" s="239"/>
      <c r="AAL24" s="239"/>
      <c r="AAM24" s="240"/>
      <c r="AAN24" s="240"/>
      <c r="AAO24" s="240"/>
      <c r="AAZ24" s="239"/>
      <c r="ABA24" s="239"/>
      <c r="ABB24" s="240"/>
      <c r="ABC24" s="240"/>
      <c r="ABD24" s="240"/>
      <c r="ABO24" s="239"/>
      <c r="ABP24" s="239"/>
      <c r="ABQ24" s="240"/>
      <c r="ABR24" s="240"/>
      <c r="ABS24" s="240"/>
      <c r="ACD24" s="239"/>
      <c r="ACE24" s="239"/>
      <c r="ACF24" s="240"/>
      <c r="ACG24" s="240"/>
      <c r="ACH24" s="240"/>
      <c r="ACS24" s="239"/>
      <c r="ACT24" s="239"/>
      <c r="ACU24" s="240"/>
      <c r="ACV24" s="240"/>
      <c r="ACW24" s="240"/>
      <c r="ADH24" s="239"/>
      <c r="ADI24" s="239"/>
      <c r="ADJ24" s="240"/>
      <c r="ADK24" s="240"/>
      <c r="ADL24" s="240"/>
      <c r="ADW24" s="239"/>
      <c r="ADX24" s="239"/>
      <c r="ADY24" s="240"/>
      <c r="ADZ24" s="240"/>
      <c r="AEA24" s="240"/>
      <c r="AEL24" s="239"/>
      <c r="AEM24" s="239"/>
      <c r="AEN24" s="240"/>
      <c r="AEO24" s="240"/>
      <c r="AEP24" s="240"/>
      <c r="AFA24" s="239"/>
      <c r="AFB24" s="239"/>
      <c r="AFC24" s="240"/>
      <c r="AFD24" s="240"/>
      <c r="AFE24" s="240"/>
      <c r="AFP24" s="239"/>
      <c r="AFQ24" s="239"/>
      <c r="AFR24" s="240"/>
      <c r="AFS24" s="240"/>
      <c r="AFT24" s="240"/>
      <c r="AGE24" s="239"/>
      <c r="AGF24" s="239"/>
      <c r="AGG24" s="240"/>
      <c r="AGH24" s="240"/>
      <c r="AGI24" s="240"/>
      <c r="AGT24" s="239"/>
      <c r="AGU24" s="239"/>
      <c r="AGV24" s="240"/>
      <c r="AGW24" s="240"/>
      <c r="AGX24" s="240"/>
      <c r="AHI24" s="239"/>
      <c r="AHJ24" s="239"/>
      <c r="AHK24" s="240"/>
      <c r="AHL24" s="240"/>
      <c r="AHM24" s="240"/>
      <c r="AHX24" s="239"/>
      <c r="AHY24" s="239"/>
      <c r="AHZ24" s="240"/>
      <c r="AIA24" s="240"/>
      <c r="AIB24" s="240"/>
      <c r="AIM24" s="239"/>
      <c r="AIN24" s="239"/>
      <c r="AIO24" s="240"/>
      <c r="AIP24" s="240"/>
      <c r="AIQ24" s="240"/>
      <c r="AJB24" s="239"/>
      <c r="AJC24" s="239"/>
      <c r="AJD24" s="240"/>
      <c r="AJE24" s="240"/>
      <c r="AJF24" s="240"/>
      <c r="AJQ24" s="239"/>
      <c r="AJR24" s="239"/>
      <c r="AJS24" s="240"/>
      <c r="AJT24" s="240"/>
      <c r="AJU24" s="240"/>
      <c r="AKF24" s="239"/>
      <c r="AKG24" s="239"/>
      <c r="AKH24" s="240"/>
      <c r="AKI24" s="240"/>
      <c r="AKJ24" s="240"/>
      <c r="AKU24" s="239"/>
      <c r="AKV24" s="239"/>
      <c r="AKW24" s="240"/>
      <c r="AKX24" s="240"/>
      <c r="AKY24" s="240"/>
      <c r="ALJ24" s="239"/>
      <c r="ALK24" s="239"/>
      <c r="ALL24" s="240"/>
      <c r="ALM24" s="240"/>
      <c r="ALN24" s="240"/>
      <c r="ALY24" s="239"/>
      <c r="ALZ24" s="239"/>
      <c r="AMA24" s="240"/>
      <c r="AMB24" s="240"/>
      <c r="AMC24" s="240"/>
      <c r="AMN24" s="239"/>
      <c r="AMO24" s="239"/>
      <c r="AMP24" s="240"/>
      <c r="AMQ24" s="240"/>
      <c r="AMR24" s="240"/>
      <c r="ANC24" s="239"/>
      <c r="AND24" s="239"/>
      <c r="ANE24" s="240"/>
      <c r="ANF24" s="240"/>
      <c r="ANG24" s="240"/>
      <c r="ANR24" s="239"/>
      <c r="ANS24" s="239"/>
      <c r="ANT24" s="240"/>
      <c r="ANU24" s="240"/>
      <c r="ANV24" s="240"/>
      <c r="AOG24" s="239"/>
      <c r="AOH24" s="239"/>
      <c r="AOI24" s="240"/>
      <c r="AOJ24" s="240"/>
      <c r="AOK24" s="240"/>
      <c r="AOV24" s="239"/>
      <c r="AOW24" s="239"/>
      <c r="AOX24" s="240"/>
      <c r="AOY24" s="240"/>
      <c r="AOZ24" s="240"/>
      <c r="APK24" s="239"/>
      <c r="APL24" s="239"/>
      <c r="APM24" s="240"/>
      <c r="APN24" s="240"/>
      <c r="APO24" s="240"/>
      <c r="APZ24" s="239"/>
      <c r="AQA24" s="239"/>
      <c r="AQB24" s="240"/>
      <c r="AQC24" s="240"/>
      <c r="AQD24" s="240"/>
      <c r="AQO24" s="239"/>
      <c r="AQP24" s="239"/>
      <c r="AQQ24" s="240"/>
      <c r="AQR24" s="240"/>
      <c r="AQS24" s="240"/>
      <c r="ARD24" s="239"/>
      <c r="ARE24" s="239"/>
      <c r="ARF24" s="240"/>
      <c r="ARG24" s="240"/>
      <c r="ARH24" s="240"/>
      <c r="ARS24" s="239"/>
      <c r="ART24" s="239"/>
      <c r="ARU24" s="240"/>
      <c r="ARV24" s="240"/>
      <c r="ARW24" s="240"/>
      <c r="ASH24" s="239"/>
      <c r="ASI24" s="239"/>
      <c r="ASJ24" s="240"/>
      <c r="ASK24" s="240"/>
      <c r="ASL24" s="240"/>
      <c r="ASW24" s="239"/>
      <c r="ASX24" s="239"/>
      <c r="ASY24" s="240"/>
      <c r="ASZ24" s="240"/>
      <c r="ATA24" s="240"/>
      <c r="ATL24" s="239"/>
      <c r="ATM24" s="239"/>
      <c r="ATN24" s="240"/>
      <c r="ATO24" s="240"/>
      <c r="ATP24" s="240"/>
      <c r="AUA24" s="239"/>
      <c r="AUB24" s="239"/>
      <c r="AUC24" s="240"/>
      <c r="AUD24" s="240"/>
      <c r="AUE24" s="240"/>
      <c r="AUP24" s="239"/>
      <c r="AUQ24" s="239"/>
      <c r="AUR24" s="240"/>
      <c r="AUS24" s="240"/>
      <c r="AUT24" s="240"/>
      <c r="AVE24" s="239"/>
      <c r="AVF24" s="239"/>
      <c r="AVG24" s="240"/>
      <c r="AVH24" s="240"/>
      <c r="AVI24" s="240"/>
      <c r="AVT24" s="239"/>
      <c r="AVU24" s="239"/>
      <c r="AVV24" s="240"/>
      <c r="AVW24" s="240"/>
      <c r="AVX24" s="240"/>
      <c r="AWI24" s="239"/>
      <c r="AWJ24" s="239"/>
      <c r="AWK24" s="240"/>
      <c r="AWL24" s="240"/>
      <c r="AWM24" s="240"/>
      <c r="AWX24" s="239"/>
      <c r="AWY24" s="239"/>
      <c r="AWZ24" s="240"/>
      <c r="AXA24" s="240"/>
      <c r="AXB24" s="240"/>
      <c r="AXM24" s="239"/>
      <c r="AXN24" s="239"/>
      <c r="AXO24" s="240"/>
      <c r="AXP24" s="240"/>
      <c r="AXQ24" s="240"/>
      <c r="AYB24" s="239"/>
      <c r="AYC24" s="239"/>
      <c r="AYD24" s="240"/>
      <c r="AYE24" s="240"/>
      <c r="AYF24" s="240"/>
      <c r="AYQ24" s="239"/>
      <c r="AYR24" s="239"/>
      <c r="AYS24" s="240"/>
      <c r="AYT24" s="240"/>
      <c r="AYU24" s="240"/>
      <c r="AZF24" s="239"/>
      <c r="AZG24" s="239"/>
      <c r="AZH24" s="240"/>
      <c r="AZI24" s="240"/>
      <c r="AZJ24" s="240"/>
      <c r="AZU24" s="239"/>
      <c r="AZV24" s="239"/>
      <c r="AZW24" s="240"/>
      <c r="AZX24" s="240"/>
      <c r="AZY24" s="240"/>
      <c r="BAJ24" s="239"/>
      <c r="BAK24" s="239"/>
      <c r="BAL24" s="240"/>
      <c r="BAM24" s="240"/>
      <c r="BAN24" s="240"/>
      <c r="BAY24" s="239"/>
      <c r="BAZ24" s="239"/>
      <c r="BBA24" s="240"/>
      <c r="BBB24" s="240"/>
      <c r="BBC24" s="240"/>
      <c r="BBN24" s="239"/>
      <c r="BBO24" s="239"/>
      <c r="BBP24" s="240"/>
      <c r="BBQ24" s="240"/>
      <c r="BBR24" s="240"/>
      <c r="BCC24" s="239"/>
      <c r="BCD24" s="239"/>
      <c r="BCE24" s="240"/>
      <c r="BCF24" s="240"/>
      <c r="BCG24" s="240"/>
      <c r="BCR24" s="239"/>
      <c r="BCS24" s="239"/>
      <c r="BCT24" s="240"/>
      <c r="BCU24" s="240"/>
      <c r="BCV24" s="240"/>
      <c r="BDG24" s="239"/>
      <c r="BDH24" s="239"/>
      <c r="BDI24" s="240"/>
      <c r="BDJ24" s="240"/>
      <c r="BDK24" s="240"/>
      <c r="BDV24" s="239"/>
      <c r="BDW24" s="239"/>
      <c r="BDX24" s="240"/>
      <c r="BDY24" s="240"/>
      <c r="BDZ24" s="240"/>
      <c r="BEK24" s="239"/>
      <c r="BEL24" s="239"/>
      <c r="BEM24" s="240"/>
      <c r="BEN24" s="240"/>
      <c r="BEO24" s="240"/>
      <c r="BEZ24" s="239"/>
      <c r="BFA24" s="239"/>
      <c r="BFB24" s="240"/>
      <c r="BFC24" s="240"/>
      <c r="BFD24" s="240"/>
      <c r="BFO24" s="239"/>
      <c r="BFP24" s="239"/>
      <c r="BFQ24" s="240"/>
      <c r="BFR24" s="240"/>
      <c r="BFS24" s="240"/>
      <c r="BGD24" s="239"/>
      <c r="BGE24" s="239"/>
      <c r="BGF24" s="240"/>
      <c r="BGG24" s="240"/>
      <c r="BGH24" s="240"/>
      <c r="BGS24" s="239"/>
      <c r="BGT24" s="239"/>
      <c r="BGU24" s="240"/>
      <c r="BGV24" s="240"/>
      <c r="BGW24" s="240"/>
      <c r="BHH24" s="239"/>
      <c r="BHI24" s="239"/>
      <c r="BHJ24" s="240"/>
      <c r="BHK24" s="240"/>
      <c r="BHL24" s="240"/>
      <c r="BHW24" s="239"/>
      <c r="BHX24" s="239"/>
      <c r="BHY24" s="240"/>
      <c r="BHZ24" s="240"/>
      <c r="BIA24" s="240"/>
      <c r="BIL24" s="239"/>
      <c r="BIM24" s="239"/>
      <c r="BIN24" s="240"/>
      <c r="BIO24" s="240"/>
      <c r="BIP24" s="240"/>
      <c r="BJA24" s="239"/>
      <c r="BJB24" s="239"/>
      <c r="BJC24" s="240"/>
      <c r="BJD24" s="240"/>
      <c r="BJE24" s="240"/>
      <c r="BJP24" s="239"/>
      <c r="BJQ24" s="239"/>
      <c r="BJR24" s="240"/>
      <c r="BJS24" s="240"/>
      <c r="BJT24" s="240"/>
      <c r="BKE24" s="239"/>
      <c r="BKF24" s="239"/>
      <c r="BKG24" s="240"/>
      <c r="BKH24" s="240"/>
      <c r="BKI24" s="240"/>
      <c r="BKT24" s="239"/>
      <c r="BKU24" s="239"/>
      <c r="BKV24" s="240"/>
      <c r="BKW24" s="240"/>
      <c r="BKX24" s="240"/>
      <c r="BLI24" s="239"/>
      <c r="BLJ24" s="239"/>
      <c r="BLK24" s="240"/>
      <c r="BLL24" s="240"/>
      <c r="BLM24" s="240"/>
      <c r="BLX24" s="239"/>
      <c r="BLY24" s="239"/>
      <c r="BLZ24" s="240"/>
      <c r="BMA24" s="240"/>
      <c r="BMB24" s="240"/>
      <c r="BMM24" s="239"/>
      <c r="BMN24" s="239"/>
      <c r="BMO24" s="240"/>
      <c r="BMP24" s="240"/>
      <c r="BMQ24" s="240"/>
      <c r="BNB24" s="239"/>
      <c r="BNC24" s="239"/>
      <c r="BND24" s="240"/>
      <c r="BNE24" s="240"/>
      <c r="BNF24" s="240"/>
      <c r="BNQ24" s="239"/>
      <c r="BNR24" s="239"/>
      <c r="BNS24" s="240"/>
      <c r="BNT24" s="240"/>
      <c r="BNU24" s="240"/>
      <c r="BOF24" s="239"/>
      <c r="BOG24" s="239"/>
      <c r="BOH24" s="240"/>
      <c r="BOI24" s="240"/>
      <c r="BOJ24" s="240"/>
      <c r="BOU24" s="239"/>
      <c r="BOV24" s="239"/>
      <c r="BOW24" s="240"/>
      <c r="BOX24" s="240"/>
      <c r="BOY24" s="240"/>
      <c r="BPJ24" s="239"/>
      <c r="BPK24" s="239"/>
      <c r="BPL24" s="240"/>
      <c r="BPM24" s="240"/>
      <c r="BPN24" s="240"/>
      <c r="BPY24" s="239"/>
      <c r="BPZ24" s="239"/>
      <c r="BQA24" s="240"/>
      <c r="BQB24" s="240"/>
      <c r="BQC24" s="240"/>
      <c r="BQN24" s="239"/>
      <c r="BQO24" s="239"/>
      <c r="BQP24" s="240"/>
      <c r="BQQ24" s="240"/>
      <c r="BQR24" s="240"/>
      <c r="BRC24" s="239"/>
      <c r="BRD24" s="239"/>
      <c r="BRE24" s="240"/>
      <c r="BRF24" s="240"/>
      <c r="BRG24" s="240"/>
      <c r="BRR24" s="239"/>
      <c r="BRS24" s="239"/>
      <c r="BRT24" s="240"/>
      <c r="BRU24" s="240"/>
      <c r="BRV24" s="240"/>
      <c r="BSG24" s="239"/>
      <c r="BSH24" s="239"/>
      <c r="BSI24" s="240"/>
      <c r="BSJ24" s="240"/>
      <c r="BSK24" s="240"/>
      <c r="BSV24" s="239"/>
      <c r="BSW24" s="239"/>
      <c r="BSX24" s="240"/>
      <c r="BSY24" s="240"/>
      <c r="BSZ24" s="240"/>
      <c r="BTK24" s="239"/>
      <c r="BTL24" s="239"/>
      <c r="BTM24" s="240"/>
      <c r="BTN24" s="240"/>
      <c r="BTO24" s="240"/>
      <c r="BTZ24" s="239"/>
      <c r="BUA24" s="239"/>
      <c r="BUB24" s="240"/>
      <c r="BUC24" s="240"/>
      <c r="BUD24" s="240"/>
      <c r="BUO24" s="239"/>
      <c r="BUP24" s="239"/>
      <c r="BUQ24" s="240"/>
      <c r="BUR24" s="240"/>
      <c r="BUS24" s="240"/>
      <c r="BVD24" s="239"/>
      <c r="BVE24" s="239"/>
      <c r="BVF24" s="240"/>
      <c r="BVG24" s="240"/>
      <c r="BVH24" s="240"/>
      <c r="BVS24" s="239"/>
      <c r="BVT24" s="239"/>
      <c r="BVU24" s="240"/>
      <c r="BVV24" s="240"/>
      <c r="BVW24" s="240"/>
      <c r="BWH24" s="239"/>
      <c r="BWI24" s="239"/>
      <c r="BWJ24" s="240"/>
      <c r="BWK24" s="240"/>
      <c r="BWL24" s="240"/>
      <c r="BWW24" s="239"/>
      <c r="BWX24" s="239"/>
      <c r="BWY24" s="240"/>
      <c r="BWZ24" s="240"/>
      <c r="BXA24" s="240"/>
      <c r="BXL24" s="239"/>
      <c r="BXM24" s="239"/>
      <c r="BXN24" s="240"/>
      <c r="BXO24" s="240"/>
      <c r="BXP24" s="240"/>
      <c r="BYA24" s="239"/>
      <c r="BYB24" s="239"/>
      <c r="BYC24" s="240"/>
      <c r="BYD24" s="240"/>
      <c r="BYE24" s="240"/>
      <c r="BYP24" s="239"/>
      <c r="BYQ24" s="239"/>
      <c r="BYR24" s="240"/>
      <c r="BYS24" s="240"/>
      <c r="BYT24" s="240"/>
      <c r="BZE24" s="239"/>
      <c r="BZF24" s="239"/>
      <c r="BZG24" s="240"/>
      <c r="BZH24" s="240"/>
      <c r="BZI24" s="240"/>
      <c r="BZT24" s="239"/>
      <c r="BZU24" s="239"/>
      <c r="BZV24" s="240"/>
      <c r="BZW24" s="240"/>
      <c r="BZX24" s="240"/>
      <c r="CAI24" s="239"/>
      <c r="CAJ24" s="239"/>
      <c r="CAK24" s="240"/>
      <c r="CAL24" s="240"/>
      <c r="CAM24" s="240"/>
      <c r="CAX24" s="239"/>
      <c r="CAY24" s="239"/>
      <c r="CAZ24" s="240"/>
      <c r="CBA24" s="240"/>
      <c r="CBB24" s="240"/>
      <c r="CBM24" s="239"/>
      <c r="CBN24" s="239"/>
      <c r="CBO24" s="240"/>
      <c r="CBP24" s="240"/>
      <c r="CBQ24" s="240"/>
      <c r="CCB24" s="239"/>
      <c r="CCC24" s="239"/>
      <c r="CCD24" s="240"/>
      <c r="CCE24" s="240"/>
      <c r="CCF24" s="240"/>
      <c r="CCQ24" s="239"/>
      <c r="CCR24" s="239"/>
      <c r="CCS24" s="240"/>
      <c r="CCT24" s="240"/>
      <c r="CCU24" s="240"/>
      <c r="CDF24" s="239"/>
      <c r="CDG24" s="239"/>
      <c r="CDH24" s="240"/>
      <c r="CDI24" s="240"/>
      <c r="CDJ24" s="240"/>
      <c r="CDU24" s="239"/>
      <c r="CDV24" s="239"/>
      <c r="CDW24" s="240"/>
      <c r="CDX24" s="240"/>
      <c r="CDY24" s="240"/>
      <c r="CEJ24" s="239"/>
      <c r="CEK24" s="239"/>
      <c r="CEL24" s="240"/>
      <c r="CEM24" s="240"/>
      <c r="CEN24" s="240"/>
      <c r="CEY24" s="239"/>
      <c r="CEZ24" s="239"/>
      <c r="CFA24" s="240"/>
      <c r="CFB24" s="240"/>
      <c r="CFC24" s="240"/>
      <c r="CFN24" s="239"/>
      <c r="CFO24" s="239"/>
      <c r="CFP24" s="240"/>
      <c r="CFQ24" s="240"/>
      <c r="CFR24" s="240"/>
      <c r="CGC24" s="239"/>
      <c r="CGD24" s="239"/>
      <c r="CGE24" s="240"/>
      <c r="CGF24" s="240"/>
      <c r="CGG24" s="240"/>
      <c r="CGR24" s="239"/>
      <c r="CGS24" s="239"/>
      <c r="CGT24" s="240"/>
      <c r="CGU24" s="240"/>
      <c r="CGV24" s="240"/>
      <c r="CHG24" s="239"/>
      <c r="CHH24" s="239"/>
      <c r="CHI24" s="240"/>
      <c r="CHJ24" s="240"/>
      <c r="CHK24" s="240"/>
      <c r="CHV24" s="239"/>
      <c r="CHW24" s="239"/>
      <c r="CHX24" s="240"/>
      <c r="CHY24" s="240"/>
      <c r="CHZ24" s="240"/>
      <c r="CIK24" s="239"/>
      <c r="CIL24" s="239"/>
      <c r="CIM24" s="240"/>
      <c r="CIN24" s="240"/>
      <c r="CIO24" s="240"/>
      <c r="CIZ24" s="239"/>
      <c r="CJA24" s="239"/>
      <c r="CJB24" s="240"/>
      <c r="CJC24" s="240"/>
      <c r="CJD24" s="240"/>
      <c r="CJO24" s="239"/>
      <c r="CJP24" s="239"/>
      <c r="CJQ24" s="240"/>
      <c r="CJR24" s="240"/>
      <c r="CJS24" s="240"/>
      <c r="CKD24" s="239"/>
      <c r="CKE24" s="239"/>
      <c r="CKF24" s="240"/>
      <c r="CKG24" s="240"/>
      <c r="CKH24" s="240"/>
      <c r="CKS24" s="239"/>
      <c r="CKT24" s="239"/>
      <c r="CKU24" s="240"/>
      <c r="CKV24" s="240"/>
      <c r="CKW24" s="240"/>
      <c r="CLH24" s="239"/>
      <c r="CLI24" s="239"/>
      <c r="CLJ24" s="240"/>
      <c r="CLK24" s="240"/>
      <c r="CLL24" s="240"/>
      <c r="CLW24" s="239"/>
      <c r="CLX24" s="239"/>
      <c r="CLY24" s="240"/>
      <c r="CLZ24" s="240"/>
      <c r="CMA24" s="240"/>
      <c r="CML24" s="239"/>
      <c r="CMM24" s="239"/>
      <c r="CMN24" s="240"/>
      <c r="CMO24" s="240"/>
      <c r="CMP24" s="240"/>
      <c r="CNA24" s="239"/>
      <c r="CNB24" s="239"/>
      <c r="CNC24" s="240"/>
      <c r="CND24" s="240"/>
      <c r="CNE24" s="240"/>
      <c r="CNP24" s="239"/>
      <c r="CNQ24" s="239"/>
      <c r="CNR24" s="240"/>
      <c r="CNS24" s="240"/>
      <c r="CNT24" s="240"/>
      <c r="COE24" s="239"/>
      <c r="COF24" s="239"/>
      <c r="COG24" s="240"/>
      <c r="COH24" s="240"/>
      <c r="COI24" s="240"/>
      <c r="COT24" s="239"/>
      <c r="COU24" s="239"/>
      <c r="COV24" s="240"/>
      <c r="COW24" s="240"/>
      <c r="COX24" s="240"/>
      <c r="CPI24" s="239"/>
      <c r="CPJ24" s="239"/>
      <c r="CPK24" s="240"/>
      <c r="CPL24" s="240"/>
      <c r="CPM24" s="240"/>
      <c r="CPX24" s="239"/>
      <c r="CPY24" s="239"/>
      <c r="CPZ24" s="240"/>
      <c r="CQA24" s="240"/>
      <c r="CQB24" s="240"/>
      <c r="CQM24" s="239"/>
      <c r="CQN24" s="239"/>
      <c r="CQO24" s="240"/>
      <c r="CQP24" s="240"/>
      <c r="CQQ24" s="240"/>
      <c r="CRB24" s="239"/>
      <c r="CRC24" s="239"/>
      <c r="CRD24" s="240"/>
      <c r="CRE24" s="240"/>
      <c r="CRF24" s="240"/>
      <c r="CRQ24" s="239"/>
      <c r="CRR24" s="239"/>
      <c r="CRS24" s="240"/>
      <c r="CRT24" s="240"/>
      <c r="CRU24" s="240"/>
      <c r="CSF24" s="239"/>
      <c r="CSG24" s="239"/>
      <c r="CSH24" s="240"/>
      <c r="CSI24" s="240"/>
      <c r="CSJ24" s="240"/>
      <c r="CSU24" s="239"/>
      <c r="CSV24" s="239"/>
      <c r="CSW24" s="240"/>
      <c r="CSX24" s="240"/>
      <c r="CSY24" s="240"/>
      <c r="CTJ24" s="239"/>
      <c r="CTK24" s="239"/>
      <c r="CTL24" s="240"/>
      <c r="CTM24" s="240"/>
      <c r="CTN24" s="240"/>
      <c r="CTY24" s="239"/>
      <c r="CTZ24" s="239"/>
      <c r="CUA24" s="240"/>
      <c r="CUB24" s="240"/>
      <c r="CUC24" s="240"/>
      <c r="CUN24" s="239"/>
      <c r="CUO24" s="239"/>
      <c r="CUP24" s="240"/>
      <c r="CUQ24" s="240"/>
      <c r="CUR24" s="240"/>
      <c r="CVC24" s="239"/>
      <c r="CVD24" s="239"/>
      <c r="CVE24" s="240"/>
      <c r="CVF24" s="240"/>
      <c r="CVG24" s="240"/>
      <c r="CVR24" s="239"/>
      <c r="CVS24" s="239"/>
      <c r="CVT24" s="240"/>
      <c r="CVU24" s="240"/>
      <c r="CVV24" s="240"/>
      <c r="CWG24" s="239"/>
      <c r="CWH24" s="239"/>
      <c r="CWI24" s="240"/>
      <c r="CWJ24" s="240"/>
      <c r="CWK24" s="240"/>
      <c r="CWV24" s="239"/>
      <c r="CWW24" s="239"/>
      <c r="CWX24" s="240"/>
      <c r="CWY24" s="240"/>
      <c r="CWZ24" s="240"/>
      <c r="CXK24" s="239"/>
      <c r="CXL24" s="239"/>
      <c r="CXM24" s="240"/>
      <c r="CXN24" s="240"/>
      <c r="CXO24" s="240"/>
      <c r="CXZ24" s="239"/>
      <c r="CYA24" s="239"/>
      <c r="CYB24" s="240"/>
      <c r="CYC24" s="240"/>
      <c r="CYD24" s="240"/>
      <c r="CYO24" s="239"/>
      <c r="CYP24" s="239"/>
      <c r="CYQ24" s="240"/>
      <c r="CYR24" s="240"/>
      <c r="CYS24" s="240"/>
      <c r="CZD24" s="239"/>
      <c r="CZE24" s="239"/>
      <c r="CZF24" s="240"/>
      <c r="CZG24" s="240"/>
      <c r="CZH24" s="240"/>
      <c r="CZS24" s="239"/>
      <c r="CZT24" s="239"/>
      <c r="CZU24" s="240"/>
      <c r="CZV24" s="240"/>
      <c r="CZW24" s="240"/>
      <c r="DAH24" s="239"/>
      <c r="DAI24" s="239"/>
      <c r="DAJ24" s="240"/>
      <c r="DAK24" s="240"/>
      <c r="DAL24" s="240"/>
      <c r="DAW24" s="239"/>
      <c r="DAX24" s="239"/>
      <c r="DAY24" s="240"/>
      <c r="DAZ24" s="240"/>
      <c r="DBA24" s="240"/>
      <c r="DBL24" s="239"/>
      <c r="DBM24" s="239"/>
      <c r="DBN24" s="240"/>
      <c r="DBO24" s="240"/>
      <c r="DBP24" s="240"/>
      <c r="DCA24" s="239"/>
      <c r="DCB24" s="239"/>
      <c r="DCC24" s="240"/>
      <c r="DCD24" s="240"/>
      <c r="DCE24" s="240"/>
      <c r="DCP24" s="239"/>
      <c r="DCQ24" s="239"/>
      <c r="DCR24" s="240"/>
      <c r="DCS24" s="240"/>
      <c r="DCT24" s="240"/>
      <c r="DDE24" s="239"/>
      <c r="DDF24" s="239"/>
      <c r="DDG24" s="240"/>
      <c r="DDH24" s="240"/>
      <c r="DDI24" s="240"/>
      <c r="DDT24" s="239"/>
      <c r="DDU24" s="239"/>
      <c r="DDV24" s="240"/>
      <c r="DDW24" s="240"/>
      <c r="DDX24" s="240"/>
      <c r="DEI24" s="239"/>
      <c r="DEJ24" s="239"/>
      <c r="DEK24" s="240"/>
      <c r="DEL24" s="240"/>
      <c r="DEM24" s="240"/>
      <c r="DEX24" s="239"/>
      <c r="DEY24" s="239"/>
      <c r="DEZ24" s="240"/>
      <c r="DFA24" s="240"/>
      <c r="DFB24" s="240"/>
      <c r="DFM24" s="239"/>
      <c r="DFN24" s="239"/>
      <c r="DFO24" s="240"/>
      <c r="DFP24" s="240"/>
      <c r="DFQ24" s="240"/>
      <c r="DGB24" s="239"/>
      <c r="DGC24" s="239"/>
      <c r="DGD24" s="240"/>
      <c r="DGE24" s="240"/>
      <c r="DGF24" s="240"/>
      <c r="DGQ24" s="239"/>
      <c r="DGR24" s="239"/>
      <c r="DGS24" s="240"/>
      <c r="DGT24" s="240"/>
      <c r="DGU24" s="240"/>
      <c r="DHF24" s="239"/>
      <c r="DHG24" s="239"/>
      <c r="DHH24" s="240"/>
      <c r="DHI24" s="240"/>
      <c r="DHJ24" s="240"/>
      <c r="DHU24" s="239"/>
      <c r="DHV24" s="239"/>
      <c r="DHW24" s="240"/>
      <c r="DHX24" s="240"/>
      <c r="DHY24" s="240"/>
      <c r="DIJ24" s="239"/>
      <c r="DIK24" s="239"/>
      <c r="DIL24" s="240"/>
      <c r="DIM24" s="240"/>
      <c r="DIN24" s="240"/>
      <c r="DIY24" s="239"/>
      <c r="DIZ24" s="239"/>
      <c r="DJA24" s="240"/>
      <c r="DJB24" s="240"/>
      <c r="DJC24" s="240"/>
      <c r="DJN24" s="239"/>
      <c r="DJO24" s="239"/>
      <c r="DJP24" s="240"/>
      <c r="DJQ24" s="240"/>
      <c r="DJR24" s="240"/>
      <c r="DKC24" s="239"/>
      <c r="DKD24" s="239"/>
      <c r="DKE24" s="240"/>
      <c r="DKF24" s="240"/>
      <c r="DKG24" s="240"/>
      <c r="DKR24" s="239"/>
      <c r="DKS24" s="239"/>
      <c r="DKT24" s="240"/>
      <c r="DKU24" s="240"/>
      <c r="DKV24" s="240"/>
      <c r="DLG24" s="239"/>
      <c r="DLH24" s="239"/>
      <c r="DLI24" s="240"/>
      <c r="DLJ24" s="240"/>
      <c r="DLK24" s="240"/>
      <c r="DLV24" s="239"/>
      <c r="DLW24" s="239"/>
      <c r="DLX24" s="240"/>
      <c r="DLY24" s="240"/>
      <c r="DLZ24" s="240"/>
      <c r="DMK24" s="239"/>
      <c r="DML24" s="239"/>
      <c r="DMM24" s="240"/>
      <c r="DMN24" s="240"/>
      <c r="DMO24" s="240"/>
      <c r="DMZ24" s="239"/>
      <c r="DNA24" s="239"/>
      <c r="DNB24" s="240"/>
      <c r="DNC24" s="240"/>
      <c r="DND24" s="240"/>
      <c r="DNO24" s="239"/>
      <c r="DNP24" s="239"/>
      <c r="DNQ24" s="240"/>
      <c r="DNR24" s="240"/>
      <c r="DNS24" s="240"/>
      <c r="DOD24" s="239"/>
      <c r="DOE24" s="239"/>
      <c r="DOF24" s="240"/>
      <c r="DOG24" s="240"/>
      <c r="DOH24" s="240"/>
      <c r="DOS24" s="239"/>
      <c r="DOT24" s="239"/>
      <c r="DOU24" s="240"/>
      <c r="DOV24" s="240"/>
      <c r="DOW24" s="240"/>
      <c r="DPH24" s="239"/>
      <c r="DPI24" s="239"/>
      <c r="DPJ24" s="240"/>
      <c r="DPK24" s="240"/>
      <c r="DPL24" s="240"/>
      <c r="DPW24" s="239"/>
      <c r="DPX24" s="239"/>
      <c r="DPY24" s="240"/>
      <c r="DPZ24" s="240"/>
      <c r="DQA24" s="240"/>
      <c r="DQL24" s="239"/>
      <c r="DQM24" s="239"/>
      <c r="DQN24" s="240"/>
      <c r="DQO24" s="240"/>
      <c r="DQP24" s="240"/>
      <c r="DRA24" s="239"/>
      <c r="DRB24" s="239"/>
      <c r="DRC24" s="240"/>
      <c r="DRD24" s="240"/>
      <c r="DRE24" s="240"/>
      <c r="DRP24" s="239"/>
      <c r="DRQ24" s="239"/>
      <c r="DRR24" s="240"/>
      <c r="DRS24" s="240"/>
      <c r="DRT24" s="240"/>
      <c r="DSE24" s="239"/>
      <c r="DSF24" s="239"/>
      <c r="DSG24" s="240"/>
      <c r="DSH24" s="240"/>
      <c r="DSI24" s="240"/>
      <c r="DST24" s="239"/>
      <c r="DSU24" s="239"/>
      <c r="DSV24" s="240"/>
      <c r="DSW24" s="240"/>
      <c r="DSX24" s="240"/>
      <c r="DTI24" s="239"/>
      <c r="DTJ24" s="239"/>
      <c r="DTK24" s="240"/>
      <c r="DTL24" s="240"/>
      <c r="DTM24" s="240"/>
      <c r="DTX24" s="239"/>
      <c r="DTY24" s="239"/>
      <c r="DTZ24" s="240"/>
      <c r="DUA24" s="240"/>
      <c r="DUB24" s="240"/>
      <c r="DUM24" s="239"/>
      <c r="DUN24" s="239"/>
      <c r="DUO24" s="240"/>
      <c r="DUP24" s="240"/>
      <c r="DUQ24" s="240"/>
      <c r="DVB24" s="239"/>
      <c r="DVC24" s="239"/>
      <c r="DVD24" s="240"/>
      <c r="DVE24" s="240"/>
      <c r="DVF24" s="240"/>
      <c r="DVQ24" s="239"/>
      <c r="DVR24" s="239"/>
      <c r="DVS24" s="240"/>
      <c r="DVT24" s="240"/>
      <c r="DVU24" s="240"/>
      <c r="DWF24" s="239"/>
      <c r="DWG24" s="239"/>
      <c r="DWH24" s="240"/>
      <c r="DWI24" s="240"/>
      <c r="DWJ24" s="240"/>
      <c r="DWU24" s="239"/>
      <c r="DWV24" s="239"/>
      <c r="DWW24" s="240"/>
      <c r="DWX24" s="240"/>
      <c r="DWY24" s="240"/>
      <c r="DXJ24" s="239"/>
      <c r="DXK24" s="239"/>
      <c r="DXL24" s="240"/>
      <c r="DXM24" s="240"/>
      <c r="DXN24" s="240"/>
      <c r="DXY24" s="239"/>
      <c r="DXZ24" s="239"/>
      <c r="DYA24" s="240"/>
      <c r="DYB24" s="240"/>
      <c r="DYC24" s="240"/>
      <c r="DYN24" s="239"/>
      <c r="DYO24" s="239"/>
      <c r="DYP24" s="240"/>
      <c r="DYQ24" s="240"/>
      <c r="DYR24" s="240"/>
      <c r="DZC24" s="239"/>
      <c r="DZD24" s="239"/>
      <c r="DZE24" s="240"/>
      <c r="DZF24" s="240"/>
      <c r="DZG24" s="240"/>
      <c r="DZR24" s="239"/>
      <c r="DZS24" s="239"/>
      <c r="DZT24" s="240"/>
      <c r="DZU24" s="240"/>
      <c r="DZV24" s="240"/>
      <c r="EAG24" s="239"/>
      <c r="EAH24" s="239"/>
      <c r="EAI24" s="240"/>
      <c r="EAJ24" s="240"/>
      <c r="EAK24" s="240"/>
      <c r="EAV24" s="239"/>
      <c r="EAW24" s="239"/>
      <c r="EAX24" s="240"/>
      <c r="EAY24" s="240"/>
      <c r="EAZ24" s="240"/>
      <c r="EBK24" s="239"/>
      <c r="EBL24" s="239"/>
      <c r="EBM24" s="240"/>
      <c r="EBN24" s="240"/>
      <c r="EBO24" s="240"/>
      <c r="EBZ24" s="239"/>
      <c r="ECA24" s="239"/>
      <c r="ECB24" s="240"/>
      <c r="ECC24" s="240"/>
      <c r="ECD24" s="240"/>
      <c r="ECO24" s="239"/>
      <c r="ECP24" s="239"/>
      <c r="ECQ24" s="240"/>
      <c r="ECR24" s="240"/>
      <c r="ECS24" s="240"/>
      <c r="EDD24" s="239"/>
      <c r="EDE24" s="239"/>
      <c r="EDF24" s="240"/>
      <c r="EDG24" s="240"/>
      <c r="EDH24" s="240"/>
      <c r="EDS24" s="239"/>
      <c r="EDT24" s="239"/>
      <c r="EDU24" s="240"/>
      <c r="EDV24" s="240"/>
      <c r="EDW24" s="240"/>
      <c r="EEH24" s="239"/>
      <c r="EEI24" s="239"/>
      <c r="EEJ24" s="240"/>
      <c r="EEK24" s="240"/>
      <c r="EEL24" s="240"/>
      <c r="EEW24" s="239"/>
      <c r="EEX24" s="239"/>
      <c r="EEY24" s="240"/>
      <c r="EEZ24" s="240"/>
      <c r="EFA24" s="240"/>
      <c r="EFL24" s="239"/>
      <c r="EFM24" s="239"/>
      <c r="EFN24" s="240"/>
      <c r="EFO24" s="240"/>
      <c r="EFP24" s="240"/>
      <c r="EGA24" s="239"/>
      <c r="EGB24" s="239"/>
      <c r="EGC24" s="240"/>
      <c r="EGD24" s="240"/>
      <c r="EGE24" s="240"/>
      <c r="EGP24" s="239"/>
      <c r="EGQ24" s="239"/>
      <c r="EGR24" s="240"/>
      <c r="EGS24" s="240"/>
      <c r="EGT24" s="240"/>
      <c r="EHE24" s="239"/>
      <c r="EHF24" s="239"/>
      <c r="EHG24" s="240"/>
      <c r="EHH24" s="240"/>
      <c r="EHI24" s="240"/>
      <c r="EHT24" s="239"/>
      <c r="EHU24" s="239"/>
      <c r="EHV24" s="240"/>
      <c r="EHW24" s="240"/>
      <c r="EHX24" s="240"/>
      <c r="EII24" s="239"/>
      <c r="EIJ24" s="239"/>
      <c r="EIK24" s="240"/>
      <c r="EIL24" s="240"/>
      <c r="EIM24" s="240"/>
      <c r="EIX24" s="239"/>
      <c r="EIY24" s="239"/>
      <c r="EIZ24" s="240"/>
      <c r="EJA24" s="240"/>
      <c r="EJB24" s="240"/>
      <c r="EJM24" s="239"/>
      <c r="EJN24" s="239"/>
      <c r="EJO24" s="240"/>
      <c r="EJP24" s="240"/>
      <c r="EJQ24" s="240"/>
      <c r="EKB24" s="239"/>
      <c r="EKC24" s="239"/>
      <c r="EKD24" s="240"/>
      <c r="EKE24" s="240"/>
      <c r="EKF24" s="240"/>
      <c r="EKQ24" s="239"/>
      <c r="EKR24" s="239"/>
      <c r="EKS24" s="240"/>
      <c r="EKT24" s="240"/>
      <c r="EKU24" s="240"/>
      <c r="ELF24" s="239"/>
      <c r="ELG24" s="239"/>
      <c r="ELH24" s="240"/>
      <c r="ELI24" s="240"/>
      <c r="ELJ24" s="240"/>
      <c r="ELU24" s="239"/>
      <c r="ELV24" s="239"/>
      <c r="ELW24" s="240"/>
      <c r="ELX24" s="240"/>
      <c r="ELY24" s="240"/>
      <c r="EMJ24" s="239"/>
      <c r="EMK24" s="239"/>
      <c r="EML24" s="240"/>
      <c r="EMM24" s="240"/>
      <c r="EMN24" s="240"/>
      <c r="EMY24" s="239"/>
      <c r="EMZ24" s="239"/>
      <c r="ENA24" s="240"/>
      <c r="ENB24" s="240"/>
      <c r="ENC24" s="240"/>
      <c r="ENN24" s="239"/>
      <c r="ENO24" s="239"/>
      <c r="ENP24" s="240"/>
      <c r="ENQ24" s="240"/>
      <c r="ENR24" s="240"/>
      <c r="EOC24" s="239"/>
      <c r="EOD24" s="239"/>
      <c r="EOE24" s="240"/>
      <c r="EOF24" s="240"/>
      <c r="EOG24" s="240"/>
      <c r="EOR24" s="239"/>
      <c r="EOS24" s="239"/>
      <c r="EOT24" s="240"/>
      <c r="EOU24" s="240"/>
      <c r="EOV24" s="240"/>
      <c r="EPG24" s="239"/>
      <c r="EPH24" s="239"/>
      <c r="EPI24" s="240"/>
      <c r="EPJ24" s="240"/>
      <c r="EPK24" s="240"/>
      <c r="EPV24" s="239"/>
      <c r="EPW24" s="239"/>
      <c r="EPX24" s="240"/>
      <c r="EPY24" s="240"/>
      <c r="EPZ24" s="240"/>
      <c r="EQK24" s="239"/>
      <c r="EQL24" s="239"/>
      <c r="EQM24" s="240"/>
      <c r="EQN24" s="240"/>
      <c r="EQO24" s="240"/>
      <c r="EQZ24" s="239"/>
      <c r="ERA24" s="239"/>
      <c r="ERB24" s="240"/>
      <c r="ERC24" s="240"/>
      <c r="ERD24" s="240"/>
      <c r="ERO24" s="239"/>
      <c r="ERP24" s="239"/>
      <c r="ERQ24" s="240"/>
      <c r="ERR24" s="240"/>
      <c r="ERS24" s="240"/>
      <c r="ESD24" s="239"/>
      <c r="ESE24" s="239"/>
      <c r="ESF24" s="240"/>
      <c r="ESG24" s="240"/>
      <c r="ESH24" s="240"/>
      <c r="ESS24" s="239"/>
      <c r="EST24" s="239"/>
      <c r="ESU24" s="240"/>
      <c r="ESV24" s="240"/>
      <c r="ESW24" s="240"/>
      <c r="ETH24" s="239"/>
      <c r="ETI24" s="239"/>
      <c r="ETJ24" s="240"/>
      <c r="ETK24" s="240"/>
      <c r="ETL24" s="240"/>
      <c r="ETW24" s="239"/>
      <c r="ETX24" s="239"/>
      <c r="ETY24" s="240"/>
      <c r="ETZ24" s="240"/>
      <c r="EUA24" s="240"/>
      <c r="EUL24" s="239"/>
      <c r="EUM24" s="239"/>
      <c r="EUN24" s="240"/>
      <c r="EUO24" s="240"/>
      <c r="EUP24" s="240"/>
      <c r="EVA24" s="239"/>
      <c r="EVB24" s="239"/>
      <c r="EVC24" s="240"/>
      <c r="EVD24" s="240"/>
      <c r="EVE24" s="240"/>
      <c r="EVP24" s="239"/>
      <c r="EVQ24" s="239"/>
      <c r="EVR24" s="240"/>
      <c r="EVS24" s="240"/>
      <c r="EVT24" s="240"/>
      <c r="EWE24" s="239"/>
      <c r="EWF24" s="239"/>
      <c r="EWG24" s="240"/>
      <c r="EWH24" s="240"/>
      <c r="EWI24" s="240"/>
      <c r="EWT24" s="239"/>
      <c r="EWU24" s="239"/>
      <c r="EWV24" s="240"/>
      <c r="EWW24" s="240"/>
      <c r="EWX24" s="240"/>
      <c r="EXI24" s="239"/>
      <c r="EXJ24" s="239"/>
      <c r="EXK24" s="240"/>
      <c r="EXL24" s="240"/>
      <c r="EXM24" s="240"/>
      <c r="EXX24" s="239"/>
      <c r="EXY24" s="239"/>
      <c r="EXZ24" s="240"/>
      <c r="EYA24" s="240"/>
      <c r="EYB24" s="240"/>
      <c r="EYM24" s="239"/>
      <c r="EYN24" s="239"/>
      <c r="EYO24" s="240"/>
      <c r="EYP24" s="240"/>
      <c r="EYQ24" s="240"/>
      <c r="EZB24" s="239"/>
      <c r="EZC24" s="239"/>
      <c r="EZD24" s="240"/>
      <c r="EZE24" s="240"/>
      <c r="EZF24" s="240"/>
      <c r="EZQ24" s="239"/>
      <c r="EZR24" s="239"/>
      <c r="EZS24" s="240"/>
      <c r="EZT24" s="240"/>
      <c r="EZU24" s="240"/>
      <c r="FAF24" s="239"/>
      <c r="FAG24" s="239"/>
      <c r="FAH24" s="240"/>
      <c r="FAI24" s="240"/>
      <c r="FAJ24" s="240"/>
      <c r="FAU24" s="239"/>
      <c r="FAV24" s="239"/>
      <c r="FAW24" s="240"/>
      <c r="FAX24" s="240"/>
      <c r="FAY24" s="240"/>
      <c r="FBJ24" s="239"/>
      <c r="FBK24" s="239"/>
      <c r="FBL24" s="240"/>
      <c r="FBM24" s="240"/>
      <c r="FBN24" s="240"/>
      <c r="FBY24" s="239"/>
      <c r="FBZ24" s="239"/>
      <c r="FCA24" s="240"/>
      <c r="FCB24" s="240"/>
      <c r="FCC24" s="240"/>
      <c r="FCN24" s="239"/>
      <c r="FCO24" s="239"/>
      <c r="FCP24" s="240"/>
      <c r="FCQ24" s="240"/>
      <c r="FCR24" s="240"/>
      <c r="FDC24" s="239"/>
      <c r="FDD24" s="239"/>
      <c r="FDE24" s="240"/>
      <c r="FDF24" s="240"/>
      <c r="FDG24" s="240"/>
      <c r="FDR24" s="239"/>
      <c r="FDS24" s="239"/>
      <c r="FDT24" s="240"/>
      <c r="FDU24" s="240"/>
      <c r="FDV24" s="240"/>
      <c r="FEG24" s="239"/>
      <c r="FEH24" s="239"/>
      <c r="FEI24" s="240"/>
      <c r="FEJ24" s="240"/>
      <c r="FEK24" s="240"/>
      <c r="FEV24" s="239"/>
      <c r="FEW24" s="239"/>
      <c r="FEX24" s="240"/>
      <c r="FEY24" s="240"/>
      <c r="FEZ24" s="240"/>
      <c r="FFK24" s="239"/>
      <c r="FFL24" s="239"/>
      <c r="FFM24" s="240"/>
      <c r="FFN24" s="240"/>
      <c r="FFO24" s="240"/>
      <c r="FFZ24" s="239"/>
      <c r="FGA24" s="239"/>
      <c r="FGB24" s="240"/>
      <c r="FGC24" s="240"/>
      <c r="FGD24" s="240"/>
      <c r="FGO24" s="239"/>
      <c r="FGP24" s="239"/>
      <c r="FGQ24" s="240"/>
      <c r="FGR24" s="240"/>
      <c r="FGS24" s="240"/>
      <c r="FHD24" s="239"/>
      <c r="FHE24" s="239"/>
      <c r="FHF24" s="240"/>
      <c r="FHG24" s="240"/>
      <c r="FHH24" s="240"/>
      <c r="FHS24" s="239"/>
      <c r="FHT24" s="239"/>
      <c r="FHU24" s="240"/>
      <c r="FHV24" s="240"/>
      <c r="FHW24" s="240"/>
      <c r="FIH24" s="239"/>
      <c r="FII24" s="239"/>
      <c r="FIJ24" s="240"/>
      <c r="FIK24" s="240"/>
      <c r="FIL24" s="240"/>
      <c r="FIW24" s="239"/>
      <c r="FIX24" s="239"/>
      <c r="FIY24" s="240"/>
      <c r="FIZ24" s="240"/>
      <c r="FJA24" s="240"/>
      <c r="FJL24" s="239"/>
      <c r="FJM24" s="239"/>
      <c r="FJN24" s="240"/>
      <c r="FJO24" s="240"/>
      <c r="FJP24" s="240"/>
      <c r="FKA24" s="239"/>
      <c r="FKB24" s="239"/>
      <c r="FKC24" s="240"/>
      <c r="FKD24" s="240"/>
      <c r="FKE24" s="240"/>
      <c r="FKP24" s="239"/>
      <c r="FKQ24" s="239"/>
      <c r="FKR24" s="240"/>
      <c r="FKS24" s="240"/>
      <c r="FKT24" s="240"/>
      <c r="FLE24" s="239"/>
      <c r="FLF24" s="239"/>
      <c r="FLG24" s="240"/>
      <c r="FLH24" s="240"/>
      <c r="FLI24" s="240"/>
      <c r="FLT24" s="239"/>
      <c r="FLU24" s="239"/>
      <c r="FLV24" s="240"/>
      <c r="FLW24" s="240"/>
      <c r="FLX24" s="240"/>
      <c r="FMI24" s="239"/>
      <c r="FMJ24" s="239"/>
      <c r="FMK24" s="240"/>
      <c r="FML24" s="240"/>
      <c r="FMM24" s="240"/>
      <c r="FMX24" s="239"/>
      <c r="FMY24" s="239"/>
      <c r="FMZ24" s="240"/>
      <c r="FNA24" s="240"/>
      <c r="FNB24" s="240"/>
      <c r="FNM24" s="239"/>
      <c r="FNN24" s="239"/>
      <c r="FNO24" s="240"/>
      <c r="FNP24" s="240"/>
      <c r="FNQ24" s="240"/>
      <c r="FOB24" s="239"/>
      <c r="FOC24" s="239"/>
      <c r="FOD24" s="240"/>
      <c r="FOE24" s="240"/>
      <c r="FOF24" s="240"/>
      <c r="FOQ24" s="239"/>
      <c r="FOR24" s="239"/>
      <c r="FOS24" s="240"/>
      <c r="FOT24" s="240"/>
      <c r="FOU24" s="240"/>
      <c r="FPF24" s="239"/>
      <c r="FPG24" s="239"/>
      <c r="FPH24" s="240"/>
      <c r="FPI24" s="240"/>
      <c r="FPJ24" s="240"/>
      <c r="FPU24" s="239"/>
      <c r="FPV24" s="239"/>
      <c r="FPW24" s="240"/>
      <c r="FPX24" s="240"/>
      <c r="FPY24" s="240"/>
      <c r="FQJ24" s="239"/>
      <c r="FQK24" s="239"/>
      <c r="FQL24" s="240"/>
      <c r="FQM24" s="240"/>
      <c r="FQN24" s="240"/>
      <c r="FQY24" s="239"/>
      <c r="FQZ24" s="239"/>
      <c r="FRA24" s="240"/>
      <c r="FRB24" s="240"/>
      <c r="FRC24" s="240"/>
      <c r="FRN24" s="239"/>
      <c r="FRO24" s="239"/>
      <c r="FRP24" s="240"/>
      <c r="FRQ24" s="240"/>
      <c r="FRR24" s="240"/>
      <c r="FSC24" s="239"/>
      <c r="FSD24" s="239"/>
      <c r="FSE24" s="240"/>
      <c r="FSF24" s="240"/>
      <c r="FSG24" s="240"/>
      <c r="FSR24" s="239"/>
      <c r="FSS24" s="239"/>
      <c r="FST24" s="240"/>
      <c r="FSU24" s="240"/>
      <c r="FSV24" s="240"/>
      <c r="FTG24" s="239"/>
      <c r="FTH24" s="239"/>
      <c r="FTI24" s="240"/>
      <c r="FTJ24" s="240"/>
      <c r="FTK24" s="240"/>
      <c r="FTV24" s="239"/>
      <c r="FTW24" s="239"/>
      <c r="FTX24" s="240"/>
      <c r="FTY24" s="240"/>
      <c r="FTZ24" s="240"/>
      <c r="FUK24" s="239"/>
      <c r="FUL24" s="239"/>
      <c r="FUM24" s="240"/>
      <c r="FUN24" s="240"/>
      <c r="FUO24" s="240"/>
      <c r="FUZ24" s="239"/>
      <c r="FVA24" s="239"/>
      <c r="FVB24" s="240"/>
      <c r="FVC24" s="240"/>
      <c r="FVD24" s="240"/>
      <c r="FVO24" s="239"/>
      <c r="FVP24" s="239"/>
      <c r="FVQ24" s="240"/>
      <c r="FVR24" s="240"/>
      <c r="FVS24" s="240"/>
      <c r="FWD24" s="239"/>
      <c r="FWE24" s="239"/>
      <c r="FWF24" s="240"/>
      <c r="FWG24" s="240"/>
      <c r="FWH24" s="240"/>
      <c r="FWS24" s="239"/>
      <c r="FWT24" s="239"/>
      <c r="FWU24" s="240"/>
      <c r="FWV24" s="240"/>
      <c r="FWW24" s="240"/>
      <c r="FXH24" s="239"/>
      <c r="FXI24" s="239"/>
      <c r="FXJ24" s="240"/>
      <c r="FXK24" s="240"/>
      <c r="FXL24" s="240"/>
      <c r="FXW24" s="239"/>
      <c r="FXX24" s="239"/>
      <c r="FXY24" s="240"/>
      <c r="FXZ24" s="240"/>
      <c r="FYA24" s="240"/>
      <c r="FYL24" s="239"/>
      <c r="FYM24" s="239"/>
      <c r="FYN24" s="240"/>
      <c r="FYO24" s="240"/>
      <c r="FYP24" s="240"/>
      <c r="FZA24" s="239"/>
      <c r="FZB24" s="239"/>
      <c r="FZC24" s="240"/>
      <c r="FZD24" s="240"/>
      <c r="FZE24" s="240"/>
      <c r="FZP24" s="239"/>
      <c r="FZQ24" s="239"/>
      <c r="FZR24" s="240"/>
      <c r="FZS24" s="240"/>
      <c r="FZT24" s="240"/>
      <c r="GAE24" s="239"/>
      <c r="GAF24" s="239"/>
      <c r="GAG24" s="240"/>
      <c r="GAH24" s="240"/>
      <c r="GAI24" s="240"/>
      <c r="GAT24" s="239"/>
      <c r="GAU24" s="239"/>
      <c r="GAV24" s="240"/>
      <c r="GAW24" s="240"/>
      <c r="GAX24" s="240"/>
      <c r="GBI24" s="239"/>
      <c r="GBJ24" s="239"/>
      <c r="GBK24" s="240"/>
      <c r="GBL24" s="240"/>
      <c r="GBM24" s="240"/>
      <c r="GBX24" s="239"/>
      <c r="GBY24" s="239"/>
      <c r="GBZ24" s="240"/>
      <c r="GCA24" s="240"/>
      <c r="GCB24" s="240"/>
      <c r="GCM24" s="239"/>
      <c r="GCN24" s="239"/>
      <c r="GCO24" s="240"/>
      <c r="GCP24" s="240"/>
      <c r="GCQ24" s="240"/>
      <c r="GDB24" s="239"/>
      <c r="GDC24" s="239"/>
      <c r="GDD24" s="240"/>
      <c r="GDE24" s="240"/>
      <c r="GDF24" s="240"/>
      <c r="GDQ24" s="239"/>
      <c r="GDR24" s="239"/>
      <c r="GDS24" s="240"/>
      <c r="GDT24" s="240"/>
      <c r="GDU24" s="240"/>
      <c r="GEF24" s="239"/>
      <c r="GEG24" s="239"/>
      <c r="GEH24" s="240"/>
      <c r="GEI24" s="240"/>
      <c r="GEJ24" s="240"/>
      <c r="GEU24" s="239"/>
      <c r="GEV24" s="239"/>
      <c r="GEW24" s="240"/>
      <c r="GEX24" s="240"/>
      <c r="GEY24" s="240"/>
      <c r="GFJ24" s="239"/>
      <c r="GFK24" s="239"/>
      <c r="GFL24" s="240"/>
      <c r="GFM24" s="240"/>
      <c r="GFN24" s="240"/>
      <c r="GFY24" s="239"/>
      <c r="GFZ24" s="239"/>
      <c r="GGA24" s="240"/>
      <c r="GGB24" s="240"/>
      <c r="GGC24" s="240"/>
      <c r="GGN24" s="239"/>
      <c r="GGO24" s="239"/>
      <c r="GGP24" s="240"/>
      <c r="GGQ24" s="240"/>
      <c r="GGR24" s="240"/>
      <c r="GHC24" s="239"/>
      <c r="GHD24" s="239"/>
      <c r="GHE24" s="240"/>
      <c r="GHF24" s="240"/>
      <c r="GHG24" s="240"/>
      <c r="GHR24" s="239"/>
      <c r="GHS24" s="239"/>
      <c r="GHT24" s="240"/>
      <c r="GHU24" s="240"/>
      <c r="GHV24" s="240"/>
      <c r="GIG24" s="239"/>
      <c r="GIH24" s="239"/>
      <c r="GII24" s="240"/>
      <c r="GIJ24" s="240"/>
      <c r="GIK24" s="240"/>
      <c r="GIV24" s="239"/>
      <c r="GIW24" s="239"/>
      <c r="GIX24" s="240"/>
      <c r="GIY24" s="240"/>
      <c r="GIZ24" s="240"/>
      <c r="GJK24" s="239"/>
      <c r="GJL24" s="239"/>
      <c r="GJM24" s="240"/>
      <c r="GJN24" s="240"/>
      <c r="GJO24" s="240"/>
      <c r="GJZ24" s="239"/>
      <c r="GKA24" s="239"/>
      <c r="GKB24" s="240"/>
      <c r="GKC24" s="240"/>
      <c r="GKD24" s="240"/>
      <c r="GKO24" s="239"/>
      <c r="GKP24" s="239"/>
      <c r="GKQ24" s="240"/>
      <c r="GKR24" s="240"/>
      <c r="GKS24" s="240"/>
      <c r="GLD24" s="239"/>
      <c r="GLE24" s="239"/>
      <c r="GLF24" s="240"/>
      <c r="GLG24" s="240"/>
      <c r="GLH24" s="240"/>
      <c r="GLS24" s="239"/>
      <c r="GLT24" s="239"/>
      <c r="GLU24" s="240"/>
      <c r="GLV24" s="240"/>
      <c r="GLW24" s="240"/>
      <c r="GMH24" s="239"/>
      <c r="GMI24" s="239"/>
      <c r="GMJ24" s="240"/>
      <c r="GMK24" s="240"/>
      <c r="GML24" s="240"/>
      <c r="GMW24" s="239"/>
      <c r="GMX24" s="239"/>
      <c r="GMY24" s="240"/>
      <c r="GMZ24" s="240"/>
      <c r="GNA24" s="240"/>
      <c r="GNL24" s="239"/>
      <c r="GNM24" s="239"/>
      <c r="GNN24" s="240"/>
      <c r="GNO24" s="240"/>
      <c r="GNP24" s="240"/>
      <c r="GOA24" s="239"/>
      <c r="GOB24" s="239"/>
      <c r="GOC24" s="240"/>
      <c r="GOD24" s="240"/>
      <c r="GOE24" s="240"/>
      <c r="GOP24" s="239"/>
      <c r="GOQ24" s="239"/>
      <c r="GOR24" s="240"/>
      <c r="GOS24" s="240"/>
      <c r="GOT24" s="240"/>
      <c r="GPE24" s="239"/>
      <c r="GPF24" s="239"/>
      <c r="GPG24" s="240"/>
      <c r="GPH24" s="240"/>
      <c r="GPI24" s="240"/>
      <c r="GPT24" s="239"/>
      <c r="GPU24" s="239"/>
      <c r="GPV24" s="240"/>
      <c r="GPW24" s="240"/>
      <c r="GPX24" s="240"/>
      <c r="GQI24" s="239"/>
      <c r="GQJ24" s="239"/>
      <c r="GQK24" s="240"/>
      <c r="GQL24" s="240"/>
      <c r="GQM24" s="240"/>
      <c r="GQX24" s="239"/>
      <c r="GQY24" s="239"/>
      <c r="GQZ24" s="240"/>
      <c r="GRA24" s="240"/>
      <c r="GRB24" s="240"/>
      <c r="GRM24" s="239"/>
      <c r="GRN24" s="239"/>
      <c r="GRO24" s="240"/>
      <c r="GRP24" s="240"/>
      <c r="GRQ24" s="240"/>
      <c r="GSB24" s="239"/>
      <c r="GSC24" s="239"/>
      <c r="GSD24" s="240"/>
      <c r="GSE24" s="240"/>
      <c r="GSF24" s="240"/>
      <c r="GSQ24" s="239"/>
      <c r="GSR24" s="239"/>
      <c r="GSS24" s="240"/>
      <c r="GST24" s="240"/>
      <c r="GSU24" s="240"/>
      <c r="GTF24" s="239"/>
      <c r="GTG24" s="239"/>
      <c r="GTH24" s="240"/>
      <c r="GTI24" s="240"/>
      <c r="GTJ24" s="240"/>
      <c r="GTU24" s="239"/>
      <c r="GTV24" s="239"/>
      <c r="GTW24" s="240"/>
      <c r="GTX24" s="240"/>
      <c r="GTY24" s="240"/>
      <c r="GUJ24" s="239"/>
      <c r="GUK24" s="239"/>
      <c r="GUL24" s="240"/>
      <c r="GUM24" s="240"/>
      <c r="GUN24" s="240"/>
      <c r="GUY24" s="239"/>
      <c r="GUZ24" s="239"/>
      <c r="GVA24" s="240"/>
      <c r="GVB24" s="240"/>
      <c r="GVC24" s="240"/>
      <c r="GVN24" s="239"/>
      <c r="GVO24" s="239"/>
      <c r="GVP24" s="240"/>
      <c r="GVQ24" s="240"/>
      <c r="GVR24" s="240"/>
      <c r="GWC24" s="239"/>
      <c r="GWD24" s="239"/>
      <c r="GWE24" s="240"/>
      <c r="GWF24" s="240"/>
      <c r="GWG24" s="240"/>
      <c r="GWR24" s="239"/>
      <c r="GWS24" s="239"/>
      <c r="GWT24" s="240"/>
      <c r="GWU24" s="240"/>
      <c r="GWV24" s="240"/>
      <c r="GXG24" s="239"/>
      <c r="GXH24" s="239"/>
      <c r="GXI24" s="240"/>
      <c r="GXJ24" s="240"/>
      <c r="GXK24" s="240"/>
      <c r="GXV24" s="239"/>
      <c r="GXW24" s="239"/>
      <c r="GXX24" s="240"/>
      <c r="GXY24" s="240"/>
      <c r="GXZ24" s="240"/>
      <c r="GYK24" s="239"/>
      <c r="GYL24" s="239"/>
      <c r="GYM24" s="240"/>
      <c r="GYN24" s="240"/>
      <c r="GYO24" s="240"/>
      <c r="GYZ24" s="239"/>
      <c r="GZA24" s="239"/>
      <c r="GZB24" s="240"/>
      <c r="GZC24" s="240"/>
      <c r="GZD24" s="240"/>
      <c r="GZO24" s="239"/>
      <c r="GZP24" s="239"/>
      <c r="GZQ24" s="240"/>
      <c r="GZR24" s="240"/>
      <c r="GZS24" s="240"/>
      <c r="HAD24" s="239"/>
      <c r="HAE24" s="239"/>
      <c r="HAF24" s="240"/>
      <c r="HAG24" s="240"/>
      <c r="HAH24" s="240"/>
      <c r="HAS24" s="239"/>
      <c r="HAT24" s="239"/>
      <c r="HAU24" s="240"/>
      <c r="HAV24" s="240"/>
      <c r="HAW24" s="240"/>
      <c r="HBH24" s="239"/>
      <c r="HBI24" s="239"/>
      <c r="HBJ24" s="240"/>
      <c r="HBK24" s="240"/>
      <c r="HBL24" s="240"/>
      <c r="HBW24" s="239"/>
      <c r="HBX24" s="239"/>
      <c r="HBY24" s="240"/>
      <c r="HBZ24" s="240"/>
      <c r="HCA24" s="240"/>
      <c r="HCL24" s="239"/>
      <c r="HCM24" s="239"/>
      <c r="HCN24" s="240"/>
      <c r="HCO24" s="240"/>
      <c r="HCP24" s="240"/>
      <c r="HDA24" s="239"/>
      <c r="HDB24" s="239"/>
      <c r="HDC24" s="240"/>
      <c r="HDD24" s="240"/>
      <c r="HDE24" s="240"/>
      <c r="HDP24" s="239"/>
      <c r="HDQ24" s="239"/>
      <c r="HDR24" s="240"/>
      <c r="HDS24" s="240"/>
      <c r="HDT24" s="240"/>
      <c r="HEE24" s="239"/>
      <c r="HEF24" s="239"/>
      <c r="HEG24" s="240"/>
      <c r="HEH24" s="240"/>
      <c r="HEI24" s="240"/>
      <c r="HET24" s="239"/>
      <c r="HEU24" s="239"/>
      <c r="HEV24" s="240"/>
      <c r="HEW24" s="240"/>
      <c r="HEX24" s="240"/>
      <c r="HFI24" s="239"/>
      <c r="HFJ24" s="239"/>
      <c r="HFK24" s="240"/>
      <c r="HFL24" s="240"/>
      <c r="HFM24" s="240"/>
      <c r="HFX24" s="239"/>
      <c r="HFY24" s="239"/>
      <c r="HFZ24" s="240"/>
      <c r="HGA24" s="240"/>
      <c r="HGB24" s="240"/>
      <c r="HGM24" s="239"/>
      <c r="HGN24" s="239"/>
      <c r="HGO24" s="240"/>
      <c r="HGP24" s="240"/>
      <c r="HGQ24" s="240"/>
      <c r="HHB24" s="239"/>
      <c r="HHC24" s="239"/>
      <c r="HHD24" s="240"/>
      <c r="HHE24" s="240"/>
      <c r="HHF24" s="240"/>
      <c r="HHQ24" s="239"/>
      <c r="HHR24" s="239"/>
      <c r="HHS24" s="240"/>
      <c r="HHT24" s="240"/>
      <c r="HHU24" s="240"/>
      <c r="HIF24" s="239"/>
      <c r="HIG24" s="239"/>
      <c r="HIH24" s="240"/>
      <c r="HII24" s="240"/>
      <c r="HIJ24" s="240"/>
      <c r="HIU24" s="239"/>
      <c r="HIV24" s="239"/>
      <c r="HIW24" s="240"/>
      <c r="HIX24" s="240"/>
      <c r="HIY24" s="240"/>
      <c r="HJJ24" s="239"/>
      <c r="HJK24" s="239"/>
      <c r="HJL24" s="240"/>
      <c r="HJM24" s="240"/>
      <c r="HJN24" s="240"/>
      <c r="HJY24" s="239"/>
      <c r="HJZ24" s="239"/>
      <c r="HKA24" s="240"/>
      <c r="HKB24" s="240"/>
      <c r="HKC24" s="240"/>
      <c r="HKN24" s="239"/>
      <c r="HKO24" s="239"/>
      <c r="HKP24" s="240"/>
      <c r="HKQ24" s="240"/>
      <c r="HKR24" s="240"/>
      <c r="HLC24" s="239"/>
      <c r="HLD24" s="239"/>
      <c r="HLE24" s="240"/>
      <c r="HLF24" s="240"/>
      <c r="HLG24" s="240"/>
      <c r="HLR24" s="239"/>
      <c r="HLS24" s="239"/>
      <c r="HLT24" s="240"/>
      <c r="HLU24" s="240"/>
      <c r="HLV24" s="240"/>
      <c r="HMG24" s="239"/>
      <c r="HMH24" s="239"/>
      <c r="HMI24" s="240"/>
      <c r="HMJ24" s="240"/>
      <c r="HMK24" s="240"/>
      <c r="HMV24" s="239"/>
      <c r="HMW24" s="239"/>
      <c r="HMX24" s="240"/>
      <c r="HMY24" s="240"/>
      <c r="HMZ24" s="240"/>
      <c r="HNK24" s="239"/>
      <c r="HNL24" s="239"/>
      <c r="HNM24" s="240"/>
      <c r="HNN24" s="240"/>
      <c r="HNO24" s="240"/>
      <c r="HNZ24" s="239"/>
      <c r="HOA24" s="239"/>
      <c r="HOB24" s="240"/>
      <c r="HOC24" s="240"/>
      <c r="HOD24" s="240"/>
      <c r="HOO24" s="239"/>
      <c r="HOP24" s="239"/>
      <c r="HOQ24" s="240"/>
      <c r="HOR24" s="240"/>
      <c r="HOS24" s="240"/>
      <c r="HPD24" s="239"/>
      <c r="HPE24" s="239"/>
      <c r="HPF24" s="240"/>
      <c r="HPG24" s="240"/>
      <c r="HPH24" s="240"/>
      <c r="HPS24" s="239"/>
      <c r="HPT24" s="239"/>
      <c r="HPU24" s="240"/>
      <c r="HPV24" s="240"/>
      <c r="HPW24" s="240"/>
      <c r="HQH24" s="239"/>
      <c r="HQI24" s="239"/>
      <c r="HQJ24" s="240"/>
      <c r="HQK24" s="240"/>
      <c r="HQL24" s="240"/>
      <c r="HQW24" s="239"/>
      <c r="HQX24" s="239"/>
      <c r="HQY24" s="240"/>
      <c r="HQZ24" s="240"/>
      <c r="HRA24" s="240"/>
      <c r="HRL24" s="239"/>
      <c r="HRM24" s="239"/>
      <c r="HRN24" s="240"/>
      <c r="HRO24" s="240"/>
      <c r="HRP24" s="240"/>
      <c r="HSA24" s="239"/>
      <c r="HSB24" s="239"/>
      <c r="HSC24" s="240"/>
      <c r="HSD24" s="240"/>
      <c r="HSE24" s="240"/>
      <c r="HSP24" s="239"/>
      <c r="HSQ24" s="239"/>
      <c r="HSR24" s="240"/>
      <c r="HSS24" s="240"/>
      <c r="HST24" s="240"/>
      <c r="HTE24" s="239"/>
      <c r="HTF24" s="239"/>
      <c r="HTG24" s="240"/>
      <c r="HTH24" s="240"/>
      <c r="HTI24" s="240"/>
      <c r="HTT24" s="239"/>
      <c r="HTU24" s="239"/>
      <c r="HTV24" s="240"/>
      <c r="HTW24" s="240"/>
      <c r="HTX24" s="240"/>
      <c r="HUI24" s="239"/>
      <c r="HUJ24" s="239"/>
      <c r="HUK24" s="240"/>
      <c r="HUL24" s="240"/>
      <c r="HUM24" s="240"/>
      <c r="HUX24" s="239"/>
      <c r="HUY24" s="239"/>
      <c r="HUZ24" s="240"/>
      <c r="HVA24" s="240"/>
      <c r="HVB24" s="240"/>
      <c r="HVM24" s="239"/>
      <c r="HVN24" s="239"/>
      <c r="HVO24" s="240"/>
      <c r="HVP24" s="240"/>
      <c r="HVQ24" s="240"/>
      <c r="HWB24" s="239"/>
      <c r="HWC24" s="239"/>
      <c r="HWD24" s="240"/>
      <c r="HWE24" s="240"/>
      <c r="HWF24" s="240"/>
      <c r="HWQ24" s="239"/>
      <c r="HWR24" s="239"/>
      <c r="HWS24" s="240"/>
      <c r="HWT24" s="240"/>
      <c r="HWU24" s="240"/>
      <c r="HXF24" s="239"/>
      <c r="HXG24" s="239"/>
      <c r="HXH24" s="240"/>
      <c r="HXI24" s="240"/>
      <c r="HXJ24" s="240"/>
      <c r="HXU24" s="239"/>
      <c r="HXV24" s="239"/>
      <c r="HXW24" s="240"/>
      <c r="HXX24" s="240"/>
      <c r="HXY24" s="240"/>
      <c r="HYJ24" s="239"/>
      <c r="HYK24" s="239"/>
      <c r="HYL24" s="240"/>
      <c r="HYM24" s="240"/>
      <c r="HYN24" s="240"/>
      <c r="HYY24" s="239"/>
      <c r="HYZ24" s="239"/>
      <c r="HZA24" s="240"/>
      <c r="HZB24" s="240"/>
      <c r="HZC24" s="240"/>
      <c r="HZN24" s="239"/>
      <c r="HZO24" s="239"/>
      <c r="HZP24" s="240"/>
      <c r="HZQ24" s="240"/>
      <c r="HZR24" s="240"/>
      <c r="IAC24" s="239"/>
      <c r="IAD24" s="239"/>
      <c r="IAE24" s="240"/>
      <c r="IAF24" s="240"/>
      <c r="IAG24" s="240"/>
      <c r="IAR24" s="239"/>
      <c r="IAS24" s="239"/>
      <c r="IAT24" s="240"/>
      <c r="IAU24" s="240"/>
      <c r="IAV24" s="240"/>
      <c r="IBG24" s="239"/>
      <c r="IBH24" s="239"/>
      <c r="IBI24" s="240"/>
      <c r="IBJ24" s="240"/>
      <c r="IBK24" s="240"/>
      <c r="IBV24" s="239"/>
      <c r="IBW24" s="239"/>
      <c r="IBX24" s="240"/>
      <c r="IBY24" s="240"/>
      <c r="IBZ24" s="240"/>
      <c r="ICK24" s="239"/>
      <c r="ICL24" s="239"/>
      <c r="ICM24" s="240"/>
      <c r="ICN24" s="240"/>
      <c r="ICO24" s="240"/>
      <c r="ICZ24" s="239"/>
      <c r="IDA24" s="239"/>
      <c r="IDB24" s="240"/>
      <c r="IDC24" s="240"/>
      <c r="IDD24" s="240"/>
      <c r="IDO24" s="239"/>
      <c r="IDP24" s="239"/>
      <c r="IDQ24" s="240"/>
      <c r="IDR24" s="240"/>
      <c r="IDS24" s="240"/>
      <c r="IED24" s="239"/>
      <c r="IEE24" s="239"/>
      <c r="IEF24" s="240"/>
      <c r="IEG24" s="240"/>
      <c r="IEH24" s="240"/>
      <c r="IES24" s="239"/>
      <c r="IET24" s="239"/>
      <c r="IEU24" s="240"/>
      <c r="IEV24" s="240"/>
      <c r="IEW24" s="240"/>
      <c r="IFH24" s="239"/>
      <c r="IFI24" s="239"/>
      <c r="IFJ24" s="240"/>
      <c r="IFK24" s="240"/>
      <c r="IFL24" s="240"/>
      <c r="IFW24" s="239"/>
      <c r="IFX24" s="239"/>
      <c r="IFY24" s="240"/>
      <c r="IFZ24" s="240"/>
      <c r="IGA24" s="240"/>
      <c r="IGL24" s="239"/>
      <c r="IGM24" s="239"/>
      <c r="IGN24" s="240"/>
      <c r="IGO24" s="240"/>
      <c r="IGP24" s="240"/>
      <c r="IHA24" s="239"/>
      <c r="IHB24" s="239"/>
      <c r="IHC24" s="240"/>
      <c r="IHD24" s="240"/>
      <c r="IHE24" s="240"/>
      <c r="IHP24" s="239"/>
      <c r="IHQ24" s="239"/>
      <c r="IHR24" s="240"/>
      <c r="IHS24" s="240"/>
      <c r="IHT24" s="240"/>
      <c r="IIE24" s="239"/>
      <c r="IIF24" s="239"/>
      <c r="IIG24" s="240"/>
      <c r="IIH24" s="240"/>
      <c r="III24" s="240"/>
      <c r="IIT24" s="239"/>
      <c r="IIU24" s="239"/>
      <c r="IIV24" s="240"/>
      <c r="IIW24" s="240"/>
      <c r="IIX24" s="240"/>
      <c r="IJI24" s="239"/>
      <c r="IJJ24" s="239"/>
      <c r="IJK24" s="240"/>
      <c r="IJL24" s="240"/>
      <c r="IJM24" s="240"/>
      <c r="IJX24" s="239"/>
      <c r="IJY24" s="239"/>
      <c r="IJZ24" s="240"/>
      <c r="IKA24" s="240"/>
      <c r="IKB24" s="240"/>
      <c r="IKM24" s="239"/>
      <c r="IKN24" s="239"/>
      <c r="IKO24" s="240"/>
      <c r="IKP24" s="240"/>
      <c r="IKQ24" s="240"/>
      <c r="ILB24" s="239"/>
      <c r="ILC24" s="239"/>
      <c r="ILD24" s="240"/>
      <c r="ILE24" s="240"/>
      <c r="ILF24" s="240"/>
      <c r="ILQ24" s="239"/>
      <c r="ILR24" s="239"/>
      <c r="ILS24" s="240"/>
      <c r="ILT24" s="240"/>
      <c r="ILU24" s="240"/>
      <c r="IMF24" s="239"/>
      <c r="IMG24" s="239"/>
      <c r="IMH24" s="240"/>
      <c r="IMI24" s="240"/>
      <c r="IMJ24" s="240"/>
      <c r="IMU24" s="239"/>
      <c r="IMV24" s="239"/>
      <c r="IMW24" s="240"/>
      <c r="IMX24" s="240"/>
      <c r="IMY24" s="240"/>
      <c r="INJ24" s="239"/>
      <c r="INK24" s="239"/>
      <c r="INL24" s="240"/>
      <c r="INM24" s="240"/>
      <c r="INN24" s="240"/>
      <c r="INY24" s="239"/>
      <c r="INZ24" s="239"/>
      <c r="IOA24" s="240"/>
      <c r="IOB24" s="240"/>
      <c r="IOC24" s="240"/>
      <c r="ION24" s="239"/>
      <c r="IOO24" s="239"/>
      <c r="IOP24" s="240"/>
      <c r="IOQ24" s="240"/>
      <c r="IOR24" s="240"/>
      <c r="IPC24" s="239"/>
      <c r="IPD24" s="239"/>
      <c r="IPE24" s="240"/>
      <c r="IPF24" s="240"/>
      <c r="IPG24" s="240"/>
      <c r="IPR24" s="239"/>
      <c r="IPS24" s="239"/>
      <c r="IPT24" s="240"/>
      <c r="IPU24" s="240"/>
      <c r="IPV24" s="240"/>
      <c r="IQG24" s="239"/>
      <c r="IQH24" s="239"/>
      <c r="IQI24" s="240"/>
      <c r="IQJ24" s="240"/>
      <c r="IQK24" s="240"/>
      <c r="IQV24" s="239"/>
      <c r="IQW24" s="239"/>
      <c r="IQX24" s="240"/>
      <c r="IQY24" s="240"/>
      <c r="IQZ24" s="240"/>
      <c r="IRK24" s="239"/>
      <c r="IRL24" s="239"/>
      <c r="IRM24" s="240"/>
      <c r="IRN24" s="240"/>
      <c r="IRO24" s="240"/>
      <c r="IRZ24" s="239"/>
      <c r="ISA24" s="239"/>
      <c r="ISB24" s="240"/>
      <c r="ISC24" s="240"/>
      <c r="ISD24" s="240"/>
      <c r="ISO24" s="239"/>
      <c r="ISP24" s="239"/>
      <c r="ISQ24" s="240"/>
      <c r="ISR24" s="240"/>
      <c r="ISS24" s="240"/>
      <c r="ITD24" s="239"/>
      <c r="ITE24" s="239"/>
      <c r="ITF24" s="240"/>
      <c r="ITG24" s="240"/>
      <c r="ITH24" s="240"/>
      <c r="ITS24" s="239"/>
      <c r="ITT24" s="239"/>
      <c r="ITU24" s="240"/>
      <c r="ITV24" s="240"/>
      <c r="ITW24" s="240"/>
      <c r="IUH24" s="239"/>
      <c r="IUI24" s="239"/>
      <c r="IUJ24" s="240"/>
      <c r="IUK24" s="240"/>
      <c r="IUL24" s="240"/>
      <c r="IUW24" s="239"/>
      <c r="IUX24" s="239"/>
      <c r="IUY24" s="240"/>
      <c r="IUZ24" s="240"/>
      <c r="IVA24" s="240"/>
      <c r="IVL24" s="239"/>
      <c r="IVM24" s="239"/>
      <c r="IVN24" s="240"/>
      <c r="IVO24" s="240"/>
      <c r="IVP24" s="240"/>
      <c r="IWA24" s="239"/>
      <c r="IWB24" s="239"/>
      <c r="IWC24" s="240"/>
      <c r="IWD24" s="240"/>
      <c r="IWE24" s="240"/>
      <c r="IWP24" s="239"/>
      <c r="IWQ24" s="239"/>
      <c r="IWR24" s="240"/>
      <c r="IWS24" s="240"/>
      <c r="IWT24" s="240"/>
      <c r="IXE24" s="239"/>
      <c r="IXF24" s="239"/>
      <c r="IXG24" s="240"/>
      <c r="IXH24" s="240"/>
      <c r="IXI24" s="240"/>
      <c r="IXT24" s="239"/>
      <c r="IXU24" s="239"/>
      <c r="IXV24" s="240"/>
      <c r="IXW24" s="240"/>
      <c r="IXX24" s="240"/>
      <c r="IYI24" s="239"/>
      <c r="IYJ24" s="239"/>
      <c r="IYK24" s="240"/>
      <c r="IYL24" s="240"/>
      <c r="IYM24" s="240"/>
      <c r="IYX24" s="239"/>
      <c r="IYY24" s="239"/>
      <c r="IYZ24" s="240"/>
      <c r="IZA24" s="240"/>
      <c r="IZB24" s="240"/>
      <c r="IZM24" s="239"/>
      <c r="IZN24" s="239"/>
      <c r="IZO24" s="240"/>
      <c r="IZP24" s="240"/>
      <c r="IZQ24" s="240"/>
      <c r="JAB24" s="239"/>
      <c r="JAC24" s="239"/>
      <c r="JAD24" s="240"/>
      <c r="JAE24" s="240"/>
      <c r="JAF24" s="240"/>
      <c r="JAQ24" s="239"/>
      <c r="JAR24" s="239"/>
      <c r="JAS24" s="240"/>
      <c r="JAT24" s="240"/>
      <c r="JAU24" s="240"/>
      <c r="JBF24" s="239"/>
      <c r="JBG24" s="239"/>
      <c r="JBH24" s="240"/>
      <c r="JBI24" s="240"/>
      <c r="JBJ24" s="240"/>
      <c r="JBU24" s="239"/>
      <c r="JBV24" s="239"/>
      <c r="JBW24" s="240"/>
      <c r="JBX24" s="240"/>
      <c r="JBY24" s="240"/>
      <c r="JCJ24" s="239"/>
      <c r="JCK24" s="239"/>
      <c r="JCL24" s="240"/>
      <c r="JCM24" s="240"/>
      <c r="JCN24" s="240"/>
      <c r="JCY24" s="239"/>
      <c r="JCZ24" s="239"/>
      <c r="JDA24" s="240"/>
      <c r="JDB24" s="240"/>
      <c r="JDC24" s="240"/>
      <c r="JDN24" s="239"/>
      <c r="JDO24" s="239"/>
      <c r="JDP24" s="240"/>
      <c r="JDQ24" s="240"/>
      <c r="JDR24" s="240"/>
      <c r="JEC24" s="239"/>
      <c r="JED24" s="239"/>
      <c r="JEE24" s="240"/>
      <c r="JEF24" s="240"/>
      <c r="JEG24" s="240"/>
      <c r="JER24" s="239"/>
      <c r="JES24" s="239"/>
      <c r="JET24" s="240"/>
      <c r="JEU24" s="240"/>
      <c r="JEV24" s="240"/>
      <c r="JFG24" s="239"/>
      <c r="JFH24" s="239"/>
      <c r="JFI24" s="240"/>
      <c r="JFJ24" s="240"/>
      <c r="JFK24" s="240"/>
      <c r="JFV24" s="239"/>
      <c r="JFW24" s="239"/>
      <c r="JFX24" s="240"/>
      <c r="JFY24" s="240"/>
      <c r="JFZ24" s="240"/>
      <c r="JGK24" s="239"/>
      <c r="JGL24" s="239"/>
      <c r="JGM24" s="240"/>
      <c r="JGN24" s="240"/>
      <c r="JGO24" s="240"/>
      <c r="JGZ24" s="239"/>
      <c r="JHA24" s="239"/>
      <c r="JHB24" s="240"/>
      <c r="JHC24" s="240"/>
      <c r="JHD24" s="240"/>
      <c r="JHO24" s="239"/>
      <c r="JHP24" s="239"/>
      <c r="JHQ24" s="240"/>
      <c r="JHR24" s="240"/>
      <c r="JHS24" s="240"/>
      <c r="JID24" s="239"/>
      <c r="JIE24" s="239"/>
      <c r="JIF24" s="240"/>
      <c r="JIG24" s="240"/>
      <c r="JIH24" s="240"/>
      <c r="JIS24" s="239"/>
      <c r="JIT24" s="239"/>
      <c r="JIU24" s="240"/>
      <c r="JIV24" s="240"/>
      <c r="JIW24" s="240"/>
      <c r="JJH24" s="239"/>
      <c r="JJI24" s="239"/>
      <c r="JJJ24" s="240"/>
      <c r="JJK24" s="240"/>
      <c r="JJL24" s="240"/>
      <c r="JJW24" s="239"/>
      <c r="JJX24" s="239"/>
      <c r="JJY24" s="240"/>
      <c r="JJZ24" s="240"/>
      <c r="JKA24" s="240"/>
      <c r="JKL24" s="239"/>
      <c r="JKM24" s="239"/>
      <c r="JKN24" s="240"/>
      <c r="JKO24" s="240"/>
      <c r="JKP24" s="240"/>
      <c r="JLA24" s="239"/>
      <c r="JLB24" s="239"/>
      <c r="JLC24" s="240"/>
      <c r="JLD24" s="240"/>
      <c r="JLE24" s="240"/>
      <c r="JLP24" s="239"/>
      <c r="JLQ24" s="239"/>
      <c r="JLR24" s="240"/>
      <c r="JLS24" s="240"/>
      <c r="JLT24" s="240"/>
      <c r="JME24" s="239"/>
      <c r="JMF24" s="239"/>
      <c r="JMG24" s="240"/>
      <c r="JMH24" s="240"/>
      <c r="JMI24" s="240"/>
      <c r="JMT24" s="239"/>
      <c r="JMU24" s="239"/>
      <c r="JMV24" s="240"/>
      <c r="JMW24" s="240"/>
      <c r="JMX24" s="240"/>
      <c r="JNI24" s="239"/>
      <c r="JNJ24" s="239"/>
      <c r="JNK24" s="240"/>
      <c r="JNL24" s="240"/>
      <c r="JNM24" s="240"/>
      <c r="JNX24" s="239"/>
      <c r="JNY24" s="239"/>
      <c r="JNZ24" s="240"/>
      <c r="JOA24" s="240"/>
      <c r="JOB24" s="240"/>
      <c r="JOM24" s="239"/>
      <c r="JON24" s="239"/>
      <c r="JOO24" s="240"/>
      <c r="JOP24" s="240"/>
      <c r="JOQ24" s="240"/>
      <c r="JPB24" s="239"/>
      <c r="JPC24" s="239"/>
      <c r="JPD24" s="240"/>
      <c r="JPE24" s="240"/>
      <c r="JPF24" s="240"/>
      <c r="JPQ24" s="239"/>
      <c r="JPR24" s="239"/>
      <c r="JPS24" s="240"/>
      <c r="JPT24" s="240"/>
      <c r="JPU24" s="240"/>
      <c r="JQF24" s="239"/>
      <c r="JQG24" s="239"/>
      <c r="JQH24" s="240"/>
      <c r="JQI24" s="240"/>
      <c r="JQJ24" s="240"/>
      <c r="JQU24" s="239"/>
      <c r="JQV24" s="239"/>
      <c r="JQW24" s="240"/>
      <c r="JQX24" s="240"/>
      <c r="JQY24" s="240"/>
      <c r="JRJ24" s="239"/>
      <c r="JRK24" s="239"/>
      <c r="JRL24" s="240"/>
      <c r="JRM24" s="240"/>
      <c r="JRN24" s="240"/>
      <c r="JRY24" s="239"/>
      <c r="JRZ24" s="239"/>
      <c r="JSA24" s="240"/>
      <c r="JSB24" s="240"/>
      <c r="JSC24" s="240"/>
      <c r="JSN24" s="239"/>
      <c r="JSO24" s="239"/>
      <c r="JSP24" s="240"/>
      <c r="JSQ24" s="240"/>
      <c r="JSR24" s="240"/>
      <c r="JTC24" s="239"/>
      <c r="JTD24" s="239"/>
      <c r="JTE24" s="240"/>
      <c r="JTF24" s="240"/>
      <c r="JTG24" s="240"/>
      <c r="JTR24" s="239"/>
      <c r="JTS24" s="239"/>
      <c r="JTT24" s="240"/>
      <c r="JTU24" s="240"/>
      <c r="JTV24" s="240"/>
      <c r="JUG24" s="239"/>
      <c r="JUH24" s="239"/>
      <c r="JUI24" s="240"/>
      <c r="JUJ24" s="240"/>
      <c r="JUK24" s="240"/>
      <c r="JUV24" s="239"/>
      <c r="JUW24" s="239"/>
      <c r="JUX24" s="240"/>
      <c r="JUY24" s="240"/>
      <c r="JUZ24" s="240"/>
      <c r="JVK24" s="239"/>
      <c r="JVL24" s="239"/>
      <c r="JVM24" s="240"/>
      <c r="JVN24" s="240"/>
      <c r="JVO24" s="240"/>
      <c r="JVZ24" s="239"/>
      <c r="JWA24" s="239"/>
      <c r="JWB24" s="240"/>
      <c r="JWC24" s="240"/>
      <c r="JWD24" s="240"/>
      <c r="JWO24" s="239"/>
      <c r="JWP24" s="239"/>
      <c r="JWQ24" s="240"/>
      <c r="JWR24" s="240"/>
      <c r="JWS24" s="240"/>
      <c r="JXD24" s="239"/>
      <c r="JXE24" s="239"/>
      <c r="JXF24" s="240"/>
      <c r="JXG24" s="240"/>
      <c r="JXH24" s="240"/>
      <c r="JXS24" s="239"/>
      <c r="JXT24" s="239"/>
      <c r="JXU24" s="240"/>
      <c r="JXV24" s="240"/>
      <c r="JXW24" s="240"/>
      <c r="JYH24" s="239"/>
      <c r="JYI24" s="239"/>
      <c r="JYJ24" s="240"/>
      <c r="JYK24" s="240"/>
      <c r="JYL24" s="240"/>
      <c r="JYW24" s="239"/>
      <c r="JYX24" s="239"/>
      <c r="JYY24" s="240"/>
      <c r="JYZ24" s="240"/>
      <c r="JZA24" s="240"/>
      <c r="JZL24" s="239"/>
      <c r="JZM24" s="239"/>
      <c r="JZN24" s="240"/>
      <c r="JZO24" s="240"/>
      <c r="JZP24" s="240"/>
      <c r="KAA24" s="239"/>
      <c r="KAB24" s="239"/>
      <c r="KAC24" s="240"/>
      <c r="KAD24" s="240"/>
      <c r="KAE24" s="240"/>
      <c r="KAP24" s="239"/>
      <c r="KAQ24" s="239"/>
      <c r="KAR24" s="240"/>
      <c r="KAS24" s="240"/>
      <c r="KAT24" s="240"/>
      <c r="KBE24" s="239"/>
      <c r="KBF24" s="239"/>
      <c r="KBG24" s="240"/>
      <c r="KBH24" s="240"/>
      <c r="KBI24" s="240"/>
      <c r="KBT24" s="239"/>
      <c r="KBU24" s="239"/>
      <c r="KBV24" s="240"/>
      <c r="KBW24" s="240"/>
      <c r="KBX24" s="240"/>
      <c r="KCI24" s="239"/>
      <c r="KCJ24" s="239"/>
      <c r="KCK24" s="240"/>
      <c r="KCL24" s="240"/>
      <c r="KCM24" s="240"/>
      <c r="KCX24" s="239"/>
      <c r="KCY24" s="239"/>
      <c r="KCZ24" s="240"/>
      <c r="KDA24" s="240"/>
      <c r="KDB24" s="240"/>
      <c r="KDM24" s="239"/>
      <c r="KDN24" s="239"/>
      <c r="KDO24" s="240"/>
      <c r="KDP24" s="240"/>
      <c r="KDQ24" s="240"/>
      <c r="KEB24" s="239"/>
      <c r="KEC24" s="239"/>
      <c r="KED24" s="240"/>
      <c r="KEE24" s="240"/>
      <c r="KEF24" s="240"/>
      <c r="KEQ24" s="239"/>
      <c r="KER24" s="239"/>
      <c r="KES24" s="240"/>
      <c r="KET24" s="240"/>
      <c r="KEU24" s="240"/>
      <c r="KFF24" s="239"/>
      <c r="KFG24" s="239"/>
      <c r="KFH24" s="240"/>
      <c r="KFI24" s="240"/>
      <c r="KFJ24" s="240"/>
      <c r="KFU24" s="239"/>
      <c r="KFV24" s="239"/>
      <c r="KFW24" s="240"/>
      <c r="KFX24" s="240"/>
      <c r="KFY24" s="240"/>
      <c r="KGJ24" s="239"/>
      <c r="KGK24" s="239"/>
      <c r="KGL24" s="240"/>
      <c r="KGM24" s="240"/>
      <c r="KGN24" s="240"/>
      <c r="KGY24" s="239"/>
      <c r="KGZ24" s="239"/>
      <c r="KHA24" s="240"/>
      <c r="KHB24" s="240"/>
      <c r="KHC24" s="240"/>
      <c r="KHN24" s="239"/>
      <c r="KHO24" s="239"/>
      <c r="KHP24" s="240"/>
      <c r="KHQ24" s="240"/>
      <c r="KHR24" s="240"/>
      <c r="KIC24" s="239"/>
      <c r="KID24" s="239"/>
      <c r="KIE24" s="240"/>
      <c r="KIF24" s="240"/>
      <c r="KIG24" s="240"/>
      <c r="KIR24" s="239"/>
      <c r="KIS24" s="239"/>
      <c r="KIT24" s="240"/>
      <c r="KIU24" s="240"/>
      <c r="KIV24" s="240"/>
      <c r="KJG24" s="239"/>
      <c r="KJH24" s="239"/>
      <c r="KJI24" s="240"/>
      <c r="KJJ24" s="240"/>
      <c r="KJK24" s="240"/>
      <c r="KJV24" s="239"/>
      <c r="KJW24" s="239"/>
      <c r="KJX24" s="240"/>
      <c r="KJY24" s="240"/>
      <c r="KJZ24" s="240"/>
      <c r="KKK24" s="239"/>
      <c r="KKL24" s="239"/>
      <c r="KKM24" s="240"/>
      <c r="KKN24" s="240"/>
      <c r="KKO24" s="240"/>
      <c r="KKZ24" s="239"/>
      <c r="KLA24" s="239"/>
      <c r="KLB24" s="240"/>
      <c r="KLC24" s="240"/>
      <c r="KLD24" s="240"/>
      <c r="KLO24" s="239"/>
      <c r="KLP24" s="239"/>
      <c r="KLQ24" s="240"/>
      <c r="KLR24" s="240"/>
      <c r="KLS24" s="240"/>
      <c r="KMD24" s="239"/>
      <c r="KME24" s="239"/>
      <c r="KMF24" s="240"/>
      <c r="KMG24" s="240"/>
      <c r="KMH24" s="240"/>
      <c r="KMS24" s="239"/>
      <c r="KMT24" s="239"/>
      <c r="KMU24" s="240"/>
      <c r="KMV24" s="240"/>
      <c r="KMW24" s="240"/>
      <c r="KNH24" s="239"/>
      <c r="KNI24" s="239"/>
      <c r="KNJ24" s="240"/>
      <c r="KNK24" s="240"/>
      <c r="KNL24" s="240"/>
      <c r="KNW24" s="239"/>
      <c r="KNX24" s="239"/>
      <c r="KNY24" s="240"/>
      <c r="KNZ24" s="240"/>
      <c r="KOA24" s="240"/>
      <c r="KOL24" s="239"/>
      <c r="KOM24" s="239"/>
      <c r="KON24" s="240"/>
      <c r="KOO24" s="240"/>
      <c r="KOP24" s="240"/>
      <c r="KPA24" s="239"/>
      <c r="KPB24" s="239"/>
      <c r="KPC24" s="240"/>
      <c r="KPD24" s="240"/>
      <c r="KPE24" s="240"/>
      <c r="KPP24" s="239"/>
      <c r="KPQ24" s="239"/>
      <c r="KPR24" s="240"/>
      <c r="KPS24" s="240"/>
      <c r="KPT24" s="240"/>
      <c r="KQE24" s="239"/>
      <c r="KQF24" s="239"/>
      <c r="KQG24" s="240"/>
      <c r="KQH24" s="240"/>
      <c r="KQI24" s="240"/>
      <c r="KQT24" s="239"/>
      <c r="KQU24" s="239"/>
      <c r="KQV24" s="240"/>
      <c r="KQW24" s="240"/>
      <c r="KQX24" s="240"/>
      <c r="KRI24" s="239"/>
      <c r="KRJ24" s="239"/>
      <c r="KRK24" s="240"/>
      <c r="KRL24" s="240"/>
      <c r="KRM24" s="240"/>
      <c r="KRX24" s="239"/>
      <c r="KRY24" s="239"/>
      <c r="KRZ24" s="240"/>
      <c r="KSA24" s="240"/>
      <c r="KSB24" s="240"/>
      <c r="KSM24" s="239"/>
      <c r="KSN24" s="239"/>
      <c r="KSO24" s="240"/>
      <c r="KSP24" s="240"/>
      <c r="KSQ24" s="240"/>
      <c r="KTB24" s="239"/>
      <c r="KTC24" s="239"/>
      <c r="KTD24" s="240"/>
      <c r="KTE24" s="240"/>
      <c r="KTF24" s="240"/>
      <c r="KTQ24" s="239"/>
      <c r="KTR24" s="239"/>
      <c r="KTS24" s="240"/>
      <c r="KTT24" s="240"/>
      <c r="KTU24" s="240"/>
      <c r="KUF24" s="239"/>
      <c r="KUG24" s="239"/>
      <c r="KUH24" s="240"/>
      <c r="KUI24" s="240"/>
      <c r="KUJ24" s="240"/>
      <c r="KUU24" s="239"/>
      <c r="KUV24" s="239"/>
      <c r="KUW24" s="240"/>
      <c r="KUX24" s="240"/>
      <c r="KUY24" s="240"/>
      <c r="KVJ24" s="239"/>
      <c r="KVK24" s="239"/>
      <c r="KVL24" s="240"/>
      <c r="KVM24" s="240"/>
      <c r="KVN24" s="240"/>
      <c r="KVY24" s="239"/>
      <c r="KVZ24" s="239"/>
      <c r="KWA24" s="240"/>
      <c r="KWB24" s="240"/>
      <c r="KWC24" s="240"/>
      <c r="KWN24" s="239"/>
      <c r="KWO24" s="239"/>
      <c r="KWP24" s="240"/>
      <c r="KWQ24" s="240"/>
      <c r="KWR24" s="240"/>
      <c r="KXC24" s="239"/>
      <c r="KXD24" s="239"/>
      <c r="KXE24" s="240"/>
      <c r="KXF24" s="240"/>
      <c r="KXG24" s="240"/>
      <c r="KXR24" s="239"/>
      <c r="KXS24" s="239"/>
      <c r="KXT24" s="240"/>
      <c r="KXU24" s="240"/>
      <c r="KXV24" s="240"/>
      <c r="KYG24" s="239"/>
      <c r="KYH24" s="239"/>
      <c r="KYI24" s="240"/>
      <c r="KYJ24" s="240"/>
      <c r="KYK24" s="240"/>
      <c r="KYV24" s="239"/>
      <c r="KYW24" s="239"/>
      <c r="KYX24" s="240"/>
      <c r="KYY24" s="240"/>
      <c r="KYZ24" s="240"/>
      <c r="KZK24" s="239"/>
      <c r="KZL24" s="239"/>
      <c r="KZM24" s="240"/>
      <c r="KZN24" s="240"/>
      <c r="KZO24" s="240"/>
      <c r="KZZ24" s="239"/>
      <c r="LAA24" s="239"/>
      <c r="LAB24" s="240"/>
      <c r="LAC24" s="240"/>
      <c r="LAD24" s="240"/>
      <c r="LAO24" s="239"/>
      <c r="LAP24" s="239"/>
      <c r="LAQ24" s="240"/>
      <c r="LAR24" s="240"/>
      <c r="LAS24" s="240"/>
      <c r="LBD24" s="239"/>
      <c r="LBE24" s="239"/>
      <c r="LBF24" s="240"/>
      <c r="LBG24" s="240"/>
      <c r="LBH24" s="240"/>
      <c r="LBS24" s="239"/>
      <c r="LBT24" s="239"/>
      <c r="LBU24" s="240"/>
      <c r="LBV24" s="240"/>
      <c r="LBW24" s="240"/>
      <c r="LCH24" s="239"/>
      <c r="LCI24" s="239"/>
      <c r="LCJ24" s="240"/>
      <c r="LCK24" s="240"/>
      <c r="LCL24" s="240"/>
      <c r="LCW24" s="239"/>
      <c r="LCX24" s="239"/>
      <c r="LCY24" s="240"/>
      <c r="LCZ24" s="240"/>
      <c r="LDA24" s="240"/>
      <c r="LDL24" s="239"/>
      <c r="LDM24" s="239"/>
      <c r="LDN24" s="240"/>
      <c r="LDO24" s="240"/>
      <c r="LDP24" s="240"/>
      <c r="LEA24" s="239"/>
      <c r="LEB24" s="239"/>
      <c r="LEC24" s="240"/>
      <c r="LED24" s="240"/>
      <c r="LEE24" s="240"/>
      <c r="LEP24" s="239"/>
      <c r="LEQ24" s="239"/>
      <c r="LER24" s="240"/>
      <c r="LES24" s="240"/>
      <c r="LET24" s="240"/>
      <c r="LFE24" s="239"/>
      <c r="LFF24" s="239"/>
      <c r="LFG24" s="240"/>
      <c r="LFH24" s="240"/>
      <c r="LFI24" s="240"/>
      <c r="LFT24" s="239"/>
      <c r="LFU24" s="239"/>
      <c r="LFV24" s="240"/>
      <c r="LFW24" s="240"/>
      <c r="LFX24" s="240"/>
      <c r="LGI24" s="239"/>
      <c r="LGJ24" s="239"/>
      <c r="LGK24" s="240"/>
      <c r="LGL24" s="240"/>
      <c r="LGM24" s="240"/>
      <c r="LGX24" s="239"/>
      <c r="LGY24" s="239"/>
      <c r="LGZ24" s="240"/>
      <c r="LHA24" s="240"/>
      <c r="LHB24" s="240"/>
      <c r="LHM24" s="239"/>
      <c r="LHN24" s="239"/>
      <c r="LHO24" s="240"/>
      <c r="LHP24" s="240"/>
      <c r="LHQ24" s="240"/>
      <c r="LIB24" s="239"/>
      <c r="LIC24" s="239"/>
      <c r="LID24" s="240"/>
      <c r="LIE24" s="240"/>
      <c r="LIF24" s="240"/>
      <c r="LIQ24" s="239"/>
      <c r="LIR24" s="239"/>
      <c r="LIS24" s="240"/>
      <c r="LIT24" s="240"/>
      <c r="LIU24" s="240"/>
      <c r="LJF24" s="239"/>
      <c r="LJG24" s="239"/>
      <c r="LJH24" s="240"/>
      <c r="LJI24" s="240"/>
      <c r="LJJ24" s="240"/>
      <c r="LJU24" s="239"/>
      <c r="LJV24" s="239"/>
      <c r="LJW24" s="240"/>
      <c r="LJX24" s="240"/>
      <c r="LJY24" s="240"/>
      <c r="LKJ24" s="239"/>
      <c r="LKK24" s="239"/>
      <c r="LKL24" s="240"/>
      <c r="LKM24" s="240"/>
      <c r="LKN24" s="240"/>
      <c r="LKY24" s="239"/>
      <c r="LKZ24" s="239"/>
      <c r="LLA24" s="240"/>
      <c r="LLB24" s="240"/>
      <c r="LLC24" s="240"/>
      <c r="LLN24" s="239"/>
      <c r="LLO24" s="239"/>
      <c r="LLP24" s="240"/>
      <c r="LLQ24" s="240"/>
      <c r="LLR24" s="240"/>
      <c r="LMC24" s="239"/>
      <c r="LMD24" s="239"/>
      <c r="LME24" s="240"/>
      <c r="LMF24" s="240"/>
      <c r="LMG24" s="240"/>
      <c r="LMR24" s="239"/>
      <c r="LMS24" s="239"/>
      <c r="LMT24" s="240"/>
      <c r="LMU24" s="240"/>
      <c r="LMV24" s="240"/>
      <c r="LNG24" s="239"/>
      <c r="LNH24" s="239"/>
      <c r="LNI24" s="240"/>
      <c r="LNJ24" s="240"/>
      <c r="LNK24" s="240"/>
      <c r="LNV24" s="239"/>
      <c r="LNW24" s="239"/>
      <c r="LNX24" s="240"/>
      <c r="LNY24" s="240"/>
      <c r="LNZ24" s="240"/>
      <c r="LOK24" s="239"/>
      <c r="LOL24" s="239"/>
      <c r="LOM24" s="240"/>
      <c r="LON24" s="240"/>
      <c r="LOO24" s="240"/>
      <c r="LOZ24" s="239"/>
      <c r="LPA24" s="239"/>
      <c r="LPB24" s="240"/>
      <c r="LPC24" s="240"/>
      <c r="LPD24" s="240"/>
      <c r="LPO24" s="239"/>
      <c r="LPP24" s="239"/>
      <c r="LPQ24" s="240"/>
      <c r="LPR24" s="240"/>
      <c r="LPS24" s="240"/>
      <c r="LQD24" s="239"/>
      <c r="LQE24" s="239"/>
      <c r="LQF24" s="240"/>
      <c r="LQG24" s="240"/>
      <c r="LQH24" s="240"/>
      <c r="LQS24" s="239"/>
      <c r="LQT24" s="239"/>
      <c r="LQU24" s="240"/>
      <c r="LQV24" s="240"/>
      <c r="LQW24" s="240"/>
      <c r="LRH24" s="239"/>
      <c r="LRI24" s="239"/>
      <c r="LRJ24" s="240"/>
      <c r="LRK24" s="240"/>
      <c r="LRL24" s="240"/>
      <c r="LRW24" s="239"/>
      <c r="LRX24" s="239"/>
      <c r="LRY24" s="240"/>
      <c r="LRZ24" s="240"/>
      <c r="LSA24" s="240"/>
      <c r="LSL24" s="239"/>
      <c r="LSM24" s="239"/>
      <c r="LSN24" s="240"/>
      <c r="LSO24" s="240"/>
      <c r="LSP24" s="240"/>
      <c r="LTA24" s="239"/>
      <c r="LTB24" s="239"/>
      <c r="LTC24" s="240"/>
      <c r="LTD24" s="240"/>
      <c r="LTE24" s="240"/>
      <c r="LTP24" s="239"/>
      <c r="LTQ24" s="239"/>
      <c r="LTR24" s="240"/>
      <c r="LTS24" s="240"/>
      <c r="LTT24" s="240"/>
      <c r="LUE24" s="239"/>
      <c r="LUF24" s="239"/>
      <c r="LUG24" s="240"/>
      <c r="LUH24" s="240"/>
      <c r="LUI24" s="240"/>
      <c r="LUT24" s="239"/>
      <c r="LUU24" s="239"/>
      <c r="LUV24" s="240"/>
      <c r="LUW24" s="240"/>
      <c r="LUX24" s="240"/>
      <c r="LVI24" s="239"/>
      <c r="LVJ24" s="239"/>
      <c r="LVK24" s="240"/>
      <c r="LVL24" s="240"/>
      <c r="LVM24" s="240"/>
      <c r="LVX24" s="239"/>
      <c r="LVY24" s="239"/>
      <c r="LVZ24" s="240"/>
      <c r="LWA24" s="240"/>
      <c r="LWB24" s="240"/>
      <c r="LWM24" s="239"/>
      <c r="LWN24" s="239"/>
      <c r="LWO24" s="240"/>
      <c r="LWP24" s="240"/>
      <c r="LWQ24" s="240"/>
      <c r="LXB24" s="239"/>
      <c r="LXC24" s="239"/>
      <c r="LXD24" s="240"/>
      <c r="LXE24" s="240"/>
      <c r="LXF24" s="240"/>
      <c r="LXQ24" s="239"/>
      <c r="LXR24" s="239"/>
      <c r="LXS24" s="240"/>
      <c r="LXT24" s="240"/>
      <c r="LXU24" s="240"/>
      <c r="LYF24" s="239"/>
      <c r="LYG24" s="239"/>
      <c r="LYH24" s="240"/>
      <c r="LYI24" s="240"/>
      <c r="LYJ24" s="240"/>
      <c r="LYU24" s="239"/>
      <c r="LYV24" s="239"/>
      <c r="LYW24" s="240"/>
      <c r="LYX24" s="240"/>
      <c r="LYY24" s="240"/>
      <c r="LZJ24" s="239"/>
      <c r="LZK24" s="239"/>
      <c r="LZL24" s="240"/>
      <c r="LZM24" s="240"/>
      <c r="LZN24" s="240"/>
      <c r="LZY24" s="239"/>
      <c r="LZZ24" s="239"/>
      <c r="MAA24" s="240"/>
      <c r="MAB24" s="240"/>
      <c r="MAC24" s="240"/>
      <c r="MAN24" s="239"/>
      <c r="MAO24" s="239"/>
      <c r="MAP24" s="240"/>
      <c r="MAQ24" s="240"/>
      <c r="MAR24" s="240"/>
      <c r="MBC24" s="239"/>
      <c r="MBD24" s="239"/>
      <c r="MBE24" s="240"/>
      <c r="MBF24" s="240"/>
      <c r="MBG24" s="240"/>
      <c r="MBR24" s="239"/>
      <c r="MBS24" s="239"/>
      <c r="MBT24" s="240"/>
      <c r="MBU24" s="240"/>
      <c r="MBV24" s="240"/>
      <c r="MCG24" s="239"/>
      <c r="MCH24" s="239"/>
      <c r="MCI24" s="240"/>
      <c r="MCJ24" s="240"/>
      <c r="MCK24" s="240"/>
      <c r="MCV24" s="239"/>
      <c r="MCW24" s="239"/>
      <c r="MCX24" s="240"/>
      <c r="MCY24" s="240"/>
      <c r="MCZ24" s="240"/>
      <c r="MDK24" s="239"/>
      <c r="MDL24" s="239"/>
      <c r="MDM24" s="240"/>
      <c r="MDN24" s="240"/>
      <c r="MDO24" s="240"/>
      <c r="MDZ24" s="239"/>
      <c r="MEA24" s="239"/>
      <c r="MEB24" s="240"/>
      <c r="MEC24" s="240"/>
      <c r="MED24" s="240"/>
      <c r="MEO24" s="239"/>
      <c r="MEP24" s="239"/>
      <c r="MEQ24" s="240"/>
      <c r="MER24" s="240"/>
      <c r="MES24" s="240"/>
      <c r="MFD24" s="239"/>
      <c r="MFE24" s="239"/>
      <c r="MFF24" s="240"/>
      <c r="MFG24" s="240"/>
      <c r="MFH24" s="240"/>
      <c r="MFS24" s="239"/>
      <c r="MFT24" s="239"/>
      <c r="MFU24" s="240"/>
      <c r="MFV24" s="240"/>
      <c r="MFW24" s="240"/>
      <c r="MGH24" s="239"/>
      <c r="MGI24" s="239"/>
      <c r="MGJ24" s="240"/>
      <c r="MGK24" s="240"/>
      <c r="MGL24" s="240"/>
      <c r="MGW24" s="239"/>
      <c r="MGX24" s="239"/>
      <c r="MGY24" s="240"/>
      <c r="MGZ24" s="240"/>
      <c r="MHA24" s="240"/>
      <c r="MHL24" s="239"/>
      <c r="MHM24" s="239"/>
      <c r="MHN24" s="240"/>
      <c r="MHO24" s="240"/>
      <c r="MHP24" s="240"/>
      <c r="MIA24" s="239"/>
      <c r="MIB24" s="239"/>
      <c r="MIC24" s="240"/>
      <c r="MID24" s="240"/>
      <c r="MIE24" s="240"/>
      <c r="MIP24" s="239"/>
      <c r="MIQ24" s="239"/>
      <c r="MIR24" s="240"/>
      <c r="MIS24" s="240"/>
      <c r="MIT24" s="240"/>
      <c r="MJE24" s="239"/>
      <c r="MJF24" s="239"/>
      <c r="MJG24" s="240"/>
      <c r="MJH24" s="240"/>
      <c r="MJI24" s="240"/>
      <c r="MJT24" s="239"/>
      <c r="MJU24" s="239"/>
      <c r="MJV24" s="240"/>
      <c r="MJW24" s="240"/>
      <c r="MJX24" s="240"/>
      <c r="MKI24" s="239"/>
      <c r="MKJ24" s="239"/>
      <c r="MKK24" s="240"/>
      <c r="MKL24" s="240"/>
      <c r="MKM24" s="240"/>
      <c r="MKX24" s="239"/>
      <c r="MKY24" s="239"/>
      <c r="MKZ24" s="240"/>
      <c r="MLA24" s="240"/>
      <c r="MLB24" s="240"/>
      <c r="MLM24" s="239"/>
      <c r="MLN24" s="239"/>
      <c r="MLO24" s="240"/>
      <c r="MLP24" s="240"/>
      <c r="MLQ24" s="240"/>
      <c r="MMB24" s="239"/>
      <c r="MMC24" s="239"/>
      <c r="MMD24" s="240"/>
      <c r="MME24" s="240"/>
      <c r="MMF24" s="240"/>
      <c r="MMQ24" s="239"/>
      <c r="MMR24" s="239"/>
      <c r="MMS24" s="240"/>
      <c r="MMT24" s="240"/>
      <c r="MMU24" s="240"/>
      <c r="MNF24" s="239"/>
      <c r="MNG24" s="239"/>
      <c r="MNH24" s="240"/>
      <c r="MNI24" s="240"/>
      <c r="MNJ24" s="240"/>
      <c r="MNU24" s="239"/>
      <c r="MNV24" s="239"/>
      <c r="MNW24" s="240"/>
      <c r="MNX24" s="240"/>
      <c r="MNY24" s="240"/>
      <c r="MOJ24" s="239"/>
      <c r="MOK24" s="239"/>
      <c r="MOL24" s="240"/>
      <c r="MOM24" s="240"/>
      <c r="MON24" s="240"/>
      <c r="MOY24" s="239"/>
      <c r="MOZ24" s="239"/>
      <c r="MPA24" s="240"/>
      <c r="MPB24" s="240"/>
      <c r="MPC24" s="240"/>
      <c r="MPN24" s="239"/>
      <c r="MPO24" s="239"/>
      <c r="MPP24" s="240"/>
      <c r="MPQ24" s="240"/>
      <c r="MPR24" s="240"/>
      <c r="MQC24" s="239"/>
      <c r="MQD24" s="239"/>
      <c r="MQE24" s="240"/>
      <c r="MQF24" s="240"/>
      <c r="MQG24" s="240"/>
      <c r="MQR24" s="239"/>
      <c r="MQS24" s="239"/>
      <c r="MQT24" s="240"/>
      <c r="MQU24" s="240"/>
      <c r="MQV24" s="240"/>
      <c r="MRG24" s="239"/>
      <c r="MRH24" s="239"/>
      <c r="MRI24" s="240"/>
      <c r="MRJ24" s="240"/>
      <c r="MRK24" s="240"/>
      <c r="MRV24" s="239"/>
      <c r="MRW24" s="239"/>
      <c r="MRX24" s="240"/>
      <c r="MRY24" s="240"/>
      <c r="MRZ24" s="240"/>
      <c r="MSK24" s="239"/>
      <c r="MSL24" s="239"/>
      <c r="MSM24" s="240"/>
      <c r="MSN24" s="240"/>
      <c r="MSO24" s="240"/>
      <c r="MSZ24" s="239"/>
      <c r="MTA24" s="239"/>
      <c r="MTB24" s="240"/>
      <c r="MTC24" s="240"/>
      <c r="MTD24" s="240"/>
      <c r="MTO24" s="239"/>
      <c r="MTP24" s="239"/>
      <c r="MTQ24" s="240"/>
      <c r="MTR24" s="240"/>
      <c r="MTS24" s="240"/>
      <c r="MUD24" s="239"/>
      <c r="MUE24" s="239"/>
      <c r="MUF24" s="240"/>
      <c r="MUG24" s="240"/>
      <c r="MUH24" s="240"/>
      <c r="MUS24" s="239"/>
      <c r="MUT24" s="239"/>
      <c r="MUU24" s="240"/>
      <c r="MUV24" s="240"/>
      <c r="MUW24" s="240"/>
      <c r="MVH24" s="239"/>
      <c r="MVI24" s="239"/>
      <c r="MVJ24" s="240"/>
      <c r="MVK24" s="240"/>
      <c r="MVL24" s="240"/>
      <c r="MVW24" s="239"/>
      <c r="MVX24" s="239"/>
      <c r="MVY24" s="240"/>
      <c r="MVZ24" s="240"/>
      <c r="MWA24" s="240"/>
      <c r="MWL24" s="239"/>
      <c r="MWM24" s="239"/>
      <c r="MWN24" s="240"/>
      <c r="MWO24" s="240"/>
      <c r="MWP24" s="240"/>
      <c r="MXA24" s="239"/>
      <c r="MXB24" s="239"/>
      <c r="MXC24" s="240"/>
      <c r="MXD24" s="240"/>
      <c r="MXE24" s="240"/>
      <c r="MXP24" s="239"/>
      <c r="MXQ24" s="239"/>
      <c r="MXR24" s="240"/>
      <c r="MXS24" s="240"/>
      <c r="MXT24" s="240"/>
      <c r="MYE24" s="239"/>
      <c r="MYF24" s="239"/>
      <c r="MYG24" s="240"/>
      <c r="MYH24" s="240"/>
      <c r="MYI24" s="240"/>
      <c r="MYT24" s="239"/>
      <c r="MYU24" s="239"/>
      <c r="MYV24" s="240"/>
      <c r="MYW24" s="240"/>
      <c r="MYX24" s="240"/>
      <c r="MZI24" s="239"/>
      <c r="MZJ24" s="239"/>
      <c r="MZK24" s="240"/>
      <c r="MZL24" s="240"/>
      <c r="MZM24" s="240"/>
      <c r="MZX24" s="239"/>
      <c r="MZY24" s="239"/>
      <c r="MZZ24" s="240"/>
      <c r="NAA24" s="240"/>
      <c r="NAB24" s="240"/>
      <c r="NAM24" s="239"/>
      <c r="NAN24" s="239"/>
      <c r="NAO24" s="240"/>
      <c r="NAP24" s="240"/>
      <c r="NAQ24" s="240"/>
      <c r="NBB24" s="239"/>
      <c r="NBC24" s="239"/>
      <c r="NBD24" s="240"/>
      <c r="NBE24" s="240"/>
      <c r="NBF24" s="240"/>
      <c r="NBQ24" s="239"/>
      <c r="NBR24" s="239"/>
      <c r="NBS24" s="240"/>
      <c r="NBT24" s="240"/>
      <c r="NBU24" s="240"/>
      <c r="NCF24" s="239"/>
      <c r="NCG24" s="239"/>
      <c r="NCH24" s="240"/>
      <c r="NCI24" s="240"/>
      <c r="NCJ24" s="240"/>
      <c r="NCU24" s="239"/>
      <c r="NCV24" s="239"/>
      <c r="NCW24" s="240"/>
      <c r="NCX24" s="240"/>
      <c r="NCY24" s="240"/>
      <c r="NDJ24" s="239"/>
      <c r="NDK24" s="239"/>
      <c r="NDL24" s="240"/>
      <c r="NDM24" s="240"/>
      <c r="NDN24" s="240"/>
      <c r="NDY24" s="239"/>
      <c r="NDZ24" s="239"/>
      <c r="NEA24" s="240"/>
      <c r="NEB24" s="240"/>
      <c r="NEC24" s="240"/>
      <c r="NEN24" s="239"/>
      <c r="NEO24" s="239"/>
      <c r="NEP24" s="240"/>
      <c r="NEQ24" s="240"/>
      <c r="NER24" s="240"/>
      <c r="NFC24" s="239"/>
      <c r="NFD24" s="239"/>
      <c r="NFE24" s="240"/>
      <c r="NFF24" s="240"/>
      <c r="NFG24" s="240"/>
      <c r="NFR24" s="239"/>
      <c r="NFS24" s="239"/>
      <c r="NFT24" s="240"/>
      <c r="NFU24" s="240"/>
      <c r="NFV24" s="240"/>
      <c r="NGG24" s="239"/>
      <c r="NGH24" s="239"/>
      <c r="NGI24" s="240"/>
      <c r="NGJ24" s="240"/>
      <c r="NGK24" s="240"/>
      <c r="NGV24" s="239"/>
      <c r="NGW24" s="239"/>
      <c r="NGX24" s="240"/>
      <c r="NGY24" s="240"/>
      <c r="NGZ24" s="240"/>
      <c r="NHK24" s="239"/>
      <c r="NHL24" s="239"/>
      <c r="NHM24" s="240"/>
      <c r="NHN24" s="240"/>
      <c r="NHO24" s="240"/>
      <c r="NHZ24" s="239"/>
      <c r="NIA24" s="239"/>
      <c r="NIB24" s="240"/>
      <c r="NIC24" s="240"/>
      <c r="NID24" s="240"/>
      <c r="NIO24" s="239"/>
      <c r="NIP24" s="239"/>
      <c r="NIQ24" s="240"/>
      <c r="NIR24" s="240"/>
      <c r="NIS24" s="240"/>
      <c r="NJD24" s="239"/>
      <c r="NJE24" s="239"/>
      <c r="NJF24" s="240"/>
      <c r="NJG24" s="240"/>
      <c r="NJH24" s="240"/>
      <c r="NJS24" s="239"/>
      <c r="NJT24" s="239"/>
      <c r="NJU24" s="240"/>
      <c r="NJV24" s="240"/>
      <c r="NJW24" s="240"/>
      <c r="NKH24" s="239"/>
      <c r="NKI24" s="239"/>
      <c r="NKJ24" s="240"/>
      <c r="NKK24" s="240"/>
      <c r="NKL24" s="240"/>
      <c r="NKW24" s="239"/>
      <c r="NKX24" s="239"/>
      <c r="NKY24" s="240"/>
      <c r="NKZ24" s="240"/>
      <c r="NLA24" s="240"/>
      <c r="NLL24" s="239"/>
      <c r="NLM24" s="239"/>
      <c r="NLN24" s="240"/>
      <c r="NLO24" s="240"/>
      <c r="NLP24" s="240"/>
      <c r="NMA24" s="239"/>
      <c r="NMB24" s="239"/>
      <c r="NMC24" s="240"/>
      <c r="NMD24" s="240"/>
      <c r="NME24" s="240"/>
      <c r="NMP24" s="239"/>
      <c r="NMQ24" s="239"/>
      <c r="NMR24" s="240"/>
      <c r="NMS24" s="240"/>
      <c r="NMT24" s="240"/>
      <c r="NNE24" s="239"/>
      <c r="NNF24" s="239"/>
      <c r="NNG24" s="240"/>
      <c r="NNH24" s="240"/>
      <c r="NNI24" s="240"/>
      <c r="NNT24" s="239"/>
      <c r="NNU24" s="239"/>
      <c r="NNV24" s="240"/>
      <c r="NNW24" s="240"/>
      <c r="NNX24" s="240"/>
      <c r="NOI24" s="239"/>
      <c r="NOJ24" s="239"/>
      <c r="NOK24" s="240"/>
      <c r="NOL24" s="240"/>
      <c r="NOM24" s="240"/>
      <c r="NOX24" s="239"/>
      <c r="NOY24" s="239"/>
      <c r="NOZ24" s="240"/>
      <c r="NPA24" s="240"/>
      <c r="NPB24" s="240"/>
      <c r="NPM24" s="239"/>
      <c r="NPN24" s="239"/>
      <c r="NPO24" s="240"/>
      <c r="NPP24" s="240"/>
      <c r="NPQ24" s="240"/>
      <c r="NQB24" s="239"/>
      <c r="NQC24" s="239"/>
      <c r="NQD24" s="240"/>
      <c r="NQE24" s="240"/>
      <c r="NQF24" s="240"/>
      <c r="NQQ24" s="239"/>
      <c r="NQR24" s="239"/>
      <c r="NQS24" s="240"/>
      <c r="NQT24" s="240"/>
      <c r="NQU24" s="240"/>
      <c r="NRF24" s="239"/>
      <c r="NRG24" s="239"/>
      <c r="NRH24" s="240"/>
      <c r="NRI24" s="240"/>
      <c r="NRJ24" s="240"/>
      <c r="NRU24" s="239"/>
      <c r="NRV24" s="239"/>
      <c r="NRW24" s="240"/>
      <c r="NRX24" s="240"/>
      <c r="NRY24" s="240"/>
      <c r="NSJ24" s="239"/>
      <c r="NSK24" s="239"/>
      <c r="NSL24" s="240"/>
      <c r="NSM24" s="240"/>
      <c r="NSN24" s="240"/>
      <c r="NSY24" s="239"/>
      <c r="NSZ24" s="239"/>
      <c r="NTA24" s="240"/>
      <c r="NTB24" s="240"/>
      <c r="NTC24" s="240"/>
      <c r="NTN24" s="239"/>
      <c r="NTO24" s="239"/>
      <c r="NTP24" s="240"/>
      <c r="NTQ24" s="240"/>
      <c r="NTR24" s="240"/>
      <c r="NUC24" s="239"/>
      <c r="NUD24" s="239"/>
      <c r="NUE24" s="240"/>
      <c r="NUF24" s="240"/>
      <c r="NUG24" s="240"/>
      <c r="NUR24" s="239"/>
      <c r="NUS24" s="239"/>
      <c r="NUT24" s="240"/>
      <c r="NUU24" s="240"/>
      <c r="NUV24" s="240"/>
      <c r="NVG24" s="239"/>
      <c r="NVH24" s="239"/>
      <c r="NVI24" s="240"/>
      <c r="NVJ24" s="240"/>
      <c r="NVK24" s="240"/>
      <c r="NVV24" s="239"/>
      <c r="NVW24" s="239"/>
      <c r="NVX24" s="240"/>
      <c r="NVY24" s="240"/>
      <c r="NVZ24" s="240"/>
      <c r="NWK24" s="239"/>
      <c r="NWL24" s="239"/>
      <c r="NWM24" s="240"/>
      <c r="NWN24" s="240"/>
      <c r="NWO24" s="240"/>
      <c r="NWZ24" s="239"/>
      <c r="NXA24" s="239"/>
      <c r="NXB24" s="240"/>
      <c r="NXC24" s="240"/>
      <c r="NXD24" s="240"/>
      <c r="NXO24" s="239"/>
      <c r="NXP24" s="239"/>
      <c r="NXQ24" s="240"/>
      <c r="NXR24" s="240"/>
      <c r="NXS24" s="240"/>
      <c r="NYD24" s="239"/>
      <c r="NYE24" s="239"/>
      <c r="NYF24" s="240"/>
      <c r="NYG24" s="240"/>
      <c r="NYH24" s="240"/>
      <c r="NYS24" s="239"/>
      <c r="NYT24" s="239"/>
      <c r="NYU24" s="240"/>
      <c r="NYV24" s="240"/>
      <c r="NYW24" s="240"/>
      <c r="NZH24" s="239"/>
      <c r="NZI24" s="239"/>
      <c r="NZJ24" s="240"/>
      <c r="NZK24" s="240"/>
      <c r="NZL24" s="240"/>
      <c r="NZW24" s="239"/>
      <c r="NZX24" s="239"/>
      <c r="NZY24" s="240"/>
      <c r="NZZ24" s="240"/>
      <c r="OAA24" s="240"/>
      <c r="OAL24" s="239"/>
      <c r="OAM24" s="239"/>
      <c r="OAN24" s="240"/>
      <c r="OAO24" s="240"/>
      <c r="OAP24" s="240"/>
      <c r="OBA24" s="239"/>
      <c r="OBB24" s="239"/>
      <c r="OBC24" s="240"/>
      <c r="OBD24" s="240"/>
      <c r="OBE24" s="240"/>
      <c r="OBP24" s="239"/>
      <c r="OBQ24" s="239"/>
      <c r="OBR24" s="240"/>
      <c r="OBS24" s="240"/>
      <c r="OBT24" s="240"/>
      <c r="OCE24" s="239"/>
      <c r="OCF24" s="239"/>
      <c r="OCG24" s="240"/>
      <c r="OCH24" s="240"/>
      <c r="OCI24" s="240"/>
      <c r="OCT24" s="239"/>
      <c r="OCU24" s="239"/>
      <c r="OCV24" s="240"/>
      <c r="OCW24" s="240"/>
      <c r="OCX24" s="240"/>
      <c r="ODI24" s="239"/>
      <c r="ODJ24" s="239"/>
      <c r="ODK24" s="240"/>
      <c r="ODL24" s="240"/>
      <c r="ODM24" s="240"/>
      <c r="ODX24" s="239"/>
      <c r="ODY24" s="239"/>
      <c r="ODZ24" s="240"/>
      <c r="OEA24" s="240"/>
      <c r="OEB24" s="240"/>
      <c r="OEM24" s="239"/>
      <c r="OEN24" s="239"/>
      <c r="OEO24" s="240"/>
      <c r="OEP24" s="240"/>
      <c r="OEQ24" s="240"/>
      <c r="OFB24" s="239"/>
      <c r="OFC24" s="239"/>
      <c r="OFD24" s="240"/>
      <c r="OFE24" s="240"/>
      <c r="OFF24" s="240"/>
      <c r="OFQ24" s="239"/>
      <c r="OFR24" s="239"/>
      <c r="OFS24" s="240"/>
      <c r="OFT24" s="240"/>
      <c r="OFU24" s="240"/>
      <c r="OGF24" s="239"/>
      <c r="OGG24" s="239"/>
      <c r="OGH24" s="240"/>
      <c r="OGI24" s="240"/>
      <c r="OGJ24" s="240"/>
      <c r="OGU24" s="239"/>
      <c r="OGV24" s="239"/>
      <c r="OGW24" s="240"/>
      <c r="OGX24" s="240"/>
      <c r="OGY24" s="240"/>
      <c r="OHJ24" s="239"/>
      <c r="OHK24" s="239"/>
      <c r="OHL24" s="240"/>
      <c r="OHM24" s="240"/>
      <c r="OHN24" s="240"/>
      <c r="OHY24" s="239"/>
      <c r="OHZ24" s="239"/>
      <c r="OIA24" s="240"/>
      <c r="OIB24" s="240"/>
      <c r="OIC24" s="240"/>
      <c r="OIN24" s="239"/>
      <c r="OIO24" s="239"/>
      <c r="OIP24" s="240"/>
      <c r="OIQ24" s="240"/>
      <c r="OIR24" s="240"/>
      <c r="OJC24" s="239"/>
      <c r="OJD24" s="239"/>
      <c r="OJE24" s="240"/>
      <c r="OJF24" s="240"/>
      <c r="OJG24" s="240"/>
      <c r="OJR24" s="239"/>
      <c r="OJS24" s="239"/>
      <c r="OJT24" s="240"/>
      <c r="OJU24" s="240"/>
      <c r="OJV24" s="240"/>
      <c r="OKG24" s="239"/>
      <c r="OKH24" s="239"/>
      <c r="OKI24" s="240"/>
      <c r="OKJ24" s="240"/>
      <c r="OKK24" s="240"/>
      <c r="OKV24" s="239"/>
      <c r="OKW24" s="239"/>
      <c r="OKX24" s="240"/>
      <c r="OKY24" s="240"/>
      <c r="OKZ24" s="240"/>
      <c r="OLK24" s="239"/>
      <c r="OLL24" s="239"/>
      <c r="OLM24" s="240"/>
      <c r="OLN24" s="240"/>
      <c r="OLO24" s="240"/>
      <c r="OLZ24" s="239"/>
      <c r="OMA24" s="239"/>
      <c r="OMB24" s="240"/>
      <c r="OMC24" s="240"/>
      <c r="OMD24" s="240"/>
      <c r="OMO24" s="239"/>
      <c r="OMP24" s="239"/>
      <c r="OMQ24" s="240"/>
      <c r="OMR24" s="240"/>
      <c r="OMS24" s="240"/>
      <c r="OND24" s="239"/>
      <c r="ONE24" s="239"/>
      <c r="ONF24" s="240"/>
      <c r="ONG24" s="240"/>
      <c r="ONH24" s="240"/>
      <c r="ONS24" s="239"/>
      <c r="ONT24" s="239"/>
      <c r="ONU24" s="240"/>
      <c r="ONV24" s="240"/>
      <c r="ONW24" s="240"/>
      <c r="OOH24" s="239"/>
      <c r="OOI24" s="239"/>
      <c r="OOJ24" s="240"/>
      <c r="OOK24" s="240"/>
      <c r="OOL24" s="240"/>
      <c r="OOW24" s="239"/>
      <c r="OOX24" s="239"/>
      <c r="OOY24" s="240"/>
      <c r="OOZ24" s="240"/>
      <c r="OPA24" s="240"/>
      <c r="OPL24" s="239"/>
      <c r="OPM24" s="239"/>
      <c r="OPN24" s="240"/>
      <c r="OPO24" s="240"/>
      <c r="OPP24" s="240"/>
      <c r="OQA24" s="239"/>
      <c r="OQB24" s="239"/>
      <c r="OQC24" s="240"/>
      <c r="OQD24" s="240"/>
      <c r="OQE24" s="240"/>
      <c r="OQP24" s="239"/>
      <c r="OQQ24" s="239"/>
      <c r="OQR24" s="240"/>
      <c r="OQS24" s="240"/>
      <c r="OQT24" s="240"/>
      <c r="ORE24" s="239"/>
      <c r="ORF24" s="239"/>
      <c r="ORG24" s="240"/>
      <c r="ORH24" s="240"/>
      <c r="ORI24" s="240"/>
      <c r="ORT24" s="239"/>
      <c r="ORU24" s="239"/>
      <c r="ORV24" s="240"/>
      <c r="ORW24" s="240"/>
      <c r="ORX24" s="240"/>
      <c r="OSI24" s="239"/>
      <c r="OSJ24" s="239"/>
      <c r="OSK24" s="240"/>
      <c r="OSL24" s="240"/>
      <c r="OSM24" s="240"/>
      <c r="OSX24" s="239"/>
      <c r="OSY24" s="239"/>
      <c r="OSZ24" s="240"/>
      <c r="OTA24" s="240"/>
      <c r="OTB24" s="240"/>
      <c r="OTM24" s="239"/>
      <c r="OTN24" s="239"/>
      <c r="OTO24" s="240"/>
      <c r="OTP24" s="240"/>
      <c r="OTQ24" s="240"/>
      <c r="OUB24" s="239"/>
      <c r="OUC24" s="239"/>
      <c r="OUD24" s="240"/>
      <c r="OUE24" s="240"/>
      <c r="OUF24" s="240"/>
      <c r="OUQ24" s="239"/>
      <c r="OUR24" s="239"/>
      <c r="OUS24" s="240"/>
      <c r="OUT24" s="240"/>
      <c r="OUU24" s="240"/>
      <c r="OVF24" s="239"/>
      <c r="OVG24" s="239"/>
      <c r="OVH24" s="240"/>
      <c r="OVI24" s="240"/>
      <c r="OVJ24" s="240"/>
      <c r="OVU24" s="239"/>
      <c r="OVV24" s="239"/>
      <c r="OVW24" s="240"/>
      <c r="OVX24" s="240"/>
      <c r="OVY24" s="240"/>
      <c r="OWJ24" s="239"/>
      <c r="OWK24" s="239"/>
      <c r="OWL24" s="240"/>
      <c r="OWM24" s="240"/>
      <c r="OWN24" s="240"/>
      <c r="OWY24" s="239"/>
      <c r="OWZ24" s="239"/>
      <c r="OXA24" s="240"/>
      <c r="OXB24" s="240"/>
      <c r="OXC24" s="240"/>
      <c r="OXN24" s="239"/>
      <c r="OXO24" s="239"/>
      <c r="OXP24" s="240"/>
      <c r="OXQ24" s="240"/>
      <c r="OXR24" s="240"/>
      <c r="OYC24" s="239"/>
      <c r="OYD24" s="239"/>
      <c r="OYE24" s="240"/>
      <c r="OYF24" s="240"/>
      <c r="OYG24" s="240"/>
      <c r="OYR24" s="239"/>
      <c r="OYS24" s="239"/>
      <c r="OYT24" s="240"/>
      <c r="OYU24" s="240"/>
      <c r="OYV24" s="240"/>
      <c r="OZG24" s="239"/>
      <c r="OZH24" s="239"/>
      <c r="OZI24" s="240"/>
      <c r="OZJ24" s="240"/>
      <c r="OZK24" s="240"/>
      <c r="OZV24" s="239"/>
      <c r="OZW24" s="239"/>
      <c r="OZX24" s="240"/>
      <c r="OZY24" s="240"/>
      <c r="OZZ24" s="240"/>
      <c r="PAK24" s="239"/>
      <c r="PAL24" s="239"/>
      <c r="PAM24" s="240"/>
      <c r="PAN24" s="240"/>
      <c r="PAO24" s="240"/>
      <c r="PAZ24" s="239"/>
      <c r="PBA24" s="239"/>
      <c r="PBB24" s="240"/>
      <c r="PBC24" s="240"/>
      <c r="PBD24" s="240"/>
      <c r="PBO24" s="239"/>
      <c r="PBP24" s="239"/>
      <c r="PBQ24" s="240"/>
      <c r="PBR24" s="240"/>
      <c r="PBS24" s="240"/>
      <c r="PCD24" s="239"/>
      <c r="PCE24" s="239"/>
      <c r="PCF24" s="240"/>
      <c r="PCG24" s="240"/>
      <c r="PCH24" s="240"/>
      <c r="PCS24" s="239"/>
      <c r="PCT24" s="239"/>
      <c r="PCU24" s="240"/>
      <c r="PCV24" s="240"/>
      <c r="PCW24" s="240"/>
      <c r="PDH24" s="239"/>
      <c r="PDI24" s="239"/>
      <c r="PDJ24" s="240"/>
      <c r="PDK24" s="240"/>
      <c r="PDL24" s="240"/>
      <c r="PDW24" s="239"/>
      <c r="PDX24" s="239"/>
      <c r="PDY24" s="240"/>
      <c r="PDZ24" s="240"/>
      <c r="PEA24" s="240"/>
      <c r="PEL24" s="239"/>
      <c r="PEM24" s="239"/>
      <c r="PEN24" s="240"/>
      <c r="PEO24" s="240"/>
      <c r="PEP24" s="240"/>
      <c r="PFA24" s="239"/>
      <c r="PFB24" s="239"/>
      <c r="PFC24" s="240"/>
      <c r="PFD24" s="240"/>
      <c r="PFE24" s="240"/>
      <c r="PFP24" s="239"/>
      <c r="PFQ24" s="239"/>
      <c r="PFR24" s="240"/>
      <c r="PFS24" s="240"/>
      <c r="PFT24" s="240"/>
      <c r="PGE24" s="239"/>
      <c r="PGF24" s="239"/>
      <c r="PGG24" s="240"/>
      <c r="PGH24" s="240"/>
      <c r="PGI24" s="240"/>
      <c r="PGT24" s="239"/>
      <c r="PGU24" s="239"/>
      <c r="PGV24" s="240"/>
      <c r="PGW24" s="240"/>
      <c r="PGX24" s="240"/>
      <c r="PHI24" s="239"/>
      <c r="PHJ24" s="239"/>
      <c r="PHK24" s="240"/>
      <c r="PHL24" s="240"/>
      <c r="PHM24" s="240"/>
      <c r="PHX24" s="239"/>
      <c r="PHY24" s="239"/>
      <c r="PHZ24" s="240"/>
      <c r="PIA24" s="240"/>
      <c r="PIB24" s="240"/>
      <c r="PIM24" s="239"/>
      <c r="PIN24" s="239"/>
      <c r="PIO24" s="240"/>
      <c r="PIP24" s="240"/>
      <c r="PIQ24" s="240"/>
      <c r="PJB24" s="239"/>
      <c r="PJC24" s="239"/>
      <c r="PJD24" s="240"/>
      <c r="PJE24" s="240"/>
      <c r="PJF24" s="240"/>
      <c r="PJQ24" s="239"/>
      <c r="PJR24" s="239"/>
      <c r="PJS24" s="240"/>
      <c r="PJT24" s="240"/>
      <c r="PJU24" s="240"/>
      <c r="PKF24" s="239"/>
      <c r="PKG24" s="239"/>
      <c r="PKH24" s="240"/>
      <c r="PKI24" s="240"/>
      <c r="PKJ24" s="240"/>
      <c r="PKU24" s="239"/>
      <c r="PKV24" s="239"/>
      <c r="PKW24" s="240"/>
      <c r="PKX24" s="240"/>
      <c r="PKY24" s="240"/>
      <c r="PLJ24" s="239"/>
      <c r="PLK24" s="239"/>
      <c r="PLL24" s="240"/>
      <c r="PLM24" s="240"/>
      <c r="PLN24" s="240"/>
      <c r="PLY24" s="239"/>
      <c r="PLZ24" s="239"/>
      <c r="PMA24" s="240"/>
      <c r="PMB24" s="240"/>
      <c r="PMC24" s="240"/>
      <c r="PMN24" s="239"/>
      <c r="PMO24" s="239"/>
      <c r="PMP24" s="240"/>
      <c r="PMQ24" s="240"/>
      <c r="PMR24" s="240"/>
      <c r="PNC24" s="239"/>
      <c r="PND24" s="239"/>
      <c r="PNE24" s="240"/>
      <c r="PNF24" s="240"/>
      <c r="PNG24" s="240"/>
      <c r="PNR24" s="239"/>
      <c r="PNS24" s="239"/>
      <c r="PNT24" s="240"/>
      <c r="PNU24" s="240"/>
      <c r="PNV24" s="240"/>
      <c r="POG24" s="239"/>
      <c r="POH24" s="239"/>
      <c r="POI24" s="240"/>
      <c r="POJ24" s="240"/>
      <c r="POK24" s="240"/>
      <c r="POV24" s="239"/>
      <c r="POW24" s="239"/>
      <c r="POX24" s="240"/>
      <c r="POY24" s="240"/>
      <c r="POZ24" s="240"/>
      <c r="PPK24" s="239"/>
      <c r="PPL24" s="239"/>
      <c r="PPM24" s="240"/>
      <c r="PPN24" s="240"/>
      <c r="PPO24" s="240"/>
      <c r="PPZ24" s="239"/>
      <c r="PQA24" s="239"/>
      <c r="PQB24" s="240"/>
      <c r="PQC24" s="240"/>
      <c r="PQD24" s="240"/>
      <c r="PQO24" s="239"/>
      <c r="PQP24" s="239"/>
      <c r="PQQ24" s="240"/>
      <c r="PQR24" s="240"/>
      <c r="PQS24" s="240"/>
      <c r="PRD24" s="239"/>
      <c r="PRE24" s="239"/>
      <c r="PRF24" s="240"/>
      <c r="PRG24" s="240"/>
      <c r="PRH24" s="240"/>
      <c r="PRS24" s="239"/>
      <c r="PRT24" s="239"/>
      <c r="PRU24" s="240"/>
      <c r="PRV24" s="240"/>
      <c r="PRW24" s="240"/>
      <c r="PSH24" s="239"/>
      <c r="PSI24" s="239"/>
      <c r="PSJ24" s="240"/>
      <c r="PSK24" s="240"/>
      <c r="PSL24" s="240"/>
      <c r="PSW24" s="239"/>
      <c r="PSX24" s="239"/>
      <c r="PSY24" s="240"/>
      <c r="PSZ24" s="240"/>
      <c r="PTA24" s="240"/>
      <c r="PTL24" s="239"/>
      <c r="PTM24" s="239"/>
      <c r="PTN24" s="240"/>
      <c r="PTO24" s="240"/>
      <c r="PTP24" s="240"/>
      <c r="PUA24" s="239"/>
      <c r="PUB24" s="239"/>
      <c r="PUC24" s="240"/>
      <c r="PUD24" s="240"/>
      <c r="PUE24" s="240"/>
      <c r="PUP24" s="239"/>
      <c r="PUQ24" s="239"/>
      <c r="PUR24" s="240"/>
      <c r="PUS24" s="240"/>
      <c r="PUT24" s="240"/>
      <c r="PVE24" s="239"/>
      <c r="PVF24" s="239"/>
      <c r="PVG24" s="240"/>
      <c r="PVH24" s="240"/>
      <c r="PVI24" s="240"/>
      <c r="PVT24" s="239"/>
      <c r="PVU24" s="239"/>
      <c r="PVV24" s="240"/>
      <c r="PVW24" s="240"/>
      <c r="PVX24" s="240"/>
      <c r="PWI24" s="239"/>
      <c r="PWJ24" s="239"/>
      <c r="PWK24" s="240"/>
      <c r="PWL24" s="240"/>
      <c r="PWM24" s="240"/>
      <c r="PWX24" s="239"/>
      <c r="PWY24" s="239"/>
      <c r="PWZ24" s="240"/>
      <c r="PXA24" s="240"/>
      <c r="PXB24" s="240"/>
      <c r="PXM24" s="239"/>
      <c r="PXN24" s="239"/>
      <c r="PXO24" s="240"/>
      <c r="PXP24" s="240"/>
      <c r="PXQ24" s="240"/>
      <c r="PYB24" s="239"/>
      <c r="PYC24" s="239"/>
      <c r="PYD24" s="240"/>
      <c r="PYE24" s="240"/>
      <c r="PYF24" s="240"/>
      <c r="PYQ24" s="239"/>
      <c r="PYR24" s="239"/>
      <c r="PYS24" s="240"/>
      <c r="PYT24" s="240"/>
      <c r="PYU24" s="240"/>
      <c r="PZF24" s="239"/>
      <c r="PZG24" s="239"/>
      <c r="PZH24" s="240"/>
      <c r="PZI24" s="240"/>
      <c r="PZJ24" s="240"/>
      <c r="PZU24" s="239"/>
      <c r="PZV24" s="239"/>
      <c r="PZW24" s="240"/>
      <c r="PZX24" s="240"/>
      <c r="PZY24" s="240"/>
      <c r="QAJ24" s="239"/>
      <c r="QAK24" s="239"/>
      <c r="QAL24" s="240"/>
      <c r="QAM24" s="240"/>
      <c r="QAN24" s="240"/>
      <c r="QAY24" s="239"/>
      <c r="QAZ24" s="239"/>
      <c r="QBA24" s="240"/>
      <c r="QBB24" s="240"/>
      <c r="QBC24" s="240"/>
      <c r="QBN24" s="239"/>
      <c r="QBO24" s="239"/>
      <c r="QBP24" s="240"/>
      <c r="QBQ24" s="240"/>
      <c r="QBR24" s="240"/>
      <c r="QCC24" s="239"/>
      <c r="QCD24" s="239"/>
      <c r="QCE24" s="240"/>
      <c r="QCF24" s="240"/>
      <c r="QCG24" s="240"/>
      <c r="QCR24" s="239"/>
      <c r="QCS24" s="239"/>
      <c r="QCT24" s="240"/>
      <c r="QCU24" s="240"/>
      <c r="QCV24" s="240"/>
      <c r="QDG24" s="239"/>
      <c r="QDH24" s="239"/>
      <c r="QDI24" s="240"/>
      <c r="QDJ24" s="240"/>
      <c r="QDK24" s="240"/>
      <c r="QDV24" s="239"/>
      <c r="QDW24" s="239"/>
      <c r="QDX24" s="240"/>
      <c r="QDY24" s="240"/>
      <c r="QDZ24" s="240"/>
      <c r="QEK24" s="239"/>
      <c r="QEL24" s="239"/>
      <c r="QEM24" s="240"/>
      <c r="QEN24" s="240"/>
      <c r="QEO24" s="240"/>
      <c r="QEZ24" s="239"/>
      <c r="QFA24" s="239"/>
      <c r="QFB24" s="240"/>
      <c r="QFC24" s="240"/>
      <c r="QFD24" s="240"/>
      <c r="QFO24" s="239"/>
      <c r="QFP24" s="239"/>
      <c r="QFQ24" s="240"/>
      <c r="QFR24" s="240"/>
      <c r="QFS24" s="240"/>
      <c r="QGD24" s="239"/>
      <c r="QGE24" s="239"/>
      <c r="QGF24" s="240"/>
      <c r="QGG24" s="240"/>
      <c r="QGH24" s="240"/>
      <c r="QGS24" s="239"/>
      <c r="QGT24" s="239"/>
      <c r="QGU24" s="240"/>
      <c r="QGV24" s="240"/>
      <c r="QGW24" s="240"/>
      <c r="QHH24" s="239"/>
      <c r="QHI24" s="239"/>
      <c r="QHJ24" s="240"/>
      <c r="QHK24" s="240"/>
      <c r="QHL24" s="240"/>
      <c r="QHW24" s="239"/>
      <c r="QHX24" s="239"/>
      <c r="QHY24" s="240"/>
      <c r="QHZ24" s="240"/>
      <c r="QIA24" s="240"/>
      <c r="QIL24" s="239"/>
      <c r="QIM24" s="239"/>
      <c r="QIN24" s="240"/>
      <c r="QIO24" s="240"/>
      <c r="QIP24" s="240"/>
      <c r="QJA24" s="239"/>
      <c r="QJB24" s="239"/>
      <c r="QJC24" s="240"/>
      <c r="QJD24" s="240"/>
      <c r="QJE24" s="240"/>
      <c r="QJP24" s="239"/>
      <c r="QJQ24" s="239"/>
      <c r="QJR24" s="240"/>
      <c r="QJS24" s="240"/>
      <c r="QJT24" s="240"/>
      <c r="QKE24" s="239"/>
      <c r="QKF24" s="239"/>
      <c r="QKG24" s="240"/>
      <c r="QKH24" s="240"/>
      <c r="QKI24" s="240"/>
      <c r="QKT24" s="239"/>
      <c r="QKU24" s="239"/>
      <c r="QKV24" s="240"/>
      <c r="QKW24" s="240"/>
      <c r="QKX24" s="240"/>
      <c r="QLI24" s="239"/>
      <c r="QLJ24" s="239"/>
      <c r="QLK24" s="240"/>
      <c r="QLL24" s="240"/>
      <c r="QLM24" s="240"/>
      <c r="QLX24" s="239"/>
      <c r="QLY24" s="239"/>
      <c r="QLZ24" s="240"/>
      <c r="QMA24" s="240"/>
      <c r="QMB24" s="240"/>
      <c r="QMM24" s="239"/>
      <c r="QMN24" s="239"/>
      <c r="QMO24" s="240"/>
      <c r="QMP24" s="240"/>
      <c r="QMQ24" s="240"/>
      <c r="QNB24" s="239"/>
      <c r="QNC24" s="239"/>
      <c r="QND24" s="240"/>
      <c r="QNE24" s="240"/>
      <c r="QNF24" s="240"/>
      <c r="QNQ24" s="239"/>
      <c r="QNR24" s="239"/>
      <c r="QNS24" s="240"/>
      <c r="QNT24" s="240"/>
      <c r="QNU24" s="240"/>
      <c r="QOF24" s="239"/>
      <c r="QOG24" s="239"/>
      <c r="QOH24" s="240"/>
      <c r="QOI24" s="240"/>
      <c r="QOJ24" s="240"/>
      <c r="QOU24" s="239"/>
      <c r="QOV24" s="239"/>
      <c r="QOW24" s="240"/>
      <c r="QOX24" s="240"/>
      <c r="QOY24" s="240"/>
      <c r="QPJ24" s="239"/>
      <c r="QPK24" s="239"/>
      <c r="QPL24" s="240"/>
      <c r="QPM24" s="240"/>
      <c r="QPN24" s="240"/>
      <c r="QPY24" s="239"/>
      <c r="QPZ24" s="239"/>
      <c r="QQA24" s="240"/>
      <c r="QQB24" s="240"/>
      <c r="QQC24" s="240"/>
      <c r="QQN24" s="239"/>
      <c r="QQO24" s="239"/>
      <c r="QQP24" s="240"/>
      <c r="QQQ24" s="240"/>
      <c r="QQR24" s="240"/>
      <c r="QRC24" s="239"/>
      <c r="QRD24" s="239"/>
      <c r="QRE24" s="240"/>
      <c r="QRF24" s="240"/>
      <c r="QRG24" s="240"/>
      <c r="QRR24" s="239"/>
      <c r="QRS24" s="239"/>
      <c r="QRT24" s="240"/>
      <c r="QRU24" s="240"/>
      <c r="QRV24" s="240"/>
      <c r="QSG24" s="239"/>
      <c r="QSH24" s="239"/>
      <c r="QSI24" s="240"/>
      <c r="QSJ24" s="240"/>
      <c r="QSK24" s="240"/>
      <c r="QSV24" s="239"/>
      <c r="QSW24" s="239"/>
      <c r="QSX24" s="240"/>
      <c r="QSY24" s="240"/>
      <c r="QSZ24" s="240"/>
      <c r="QTK24" s="239"/>
      <c r="QTL24" s="239"/>
      <c r="QTM24" s="240"/>
      <c r="QTN24" s="240"/>
      <c r="QTO24" s="240"/>
      <c r="QTZ24" s="239"/>
      <c r="QUA24" s="239"/>
      <c r="QUB24" s="240"/>
      <c r="QUC24" s="240"/>
      <c r="QUD24" s="240"/>
      <c r="QUO24" s="239"/>
      <c r="QUP24" s="239"/>
      <c r="QUQ24" s="240"/>
      <c r="QUR24" s="240"/>
      <c r="QUS24" s="240"/>
      <c r="QVD24" s="239"/>
      <c r="QVE24" s="239"/>
      <c r="QVF24" s="240"/>
      <c r="QVG24" s="240"/>
      <c r="QVH24" s="240"/>
      <c r="QVS24" s="239"/>
      <c r="QVT24" s="239"/>
      <c r="QVU24" s="240"/>
      <c r="QVV24" s="240"/>
      <c r="QVW24" s="240"/>
      <c r="QWH24" s="239"/>
      <c r="QWI24" s="239"/>
      <c r="QWJ24" s="240"/>
      <c r="QWK24" s="240"/>
      <c r="QWL24" s="240"/>
      <c r="QWW24" s="239"/>
      <c r="QWX24" s="239"/>
      <c r="QWY24" s="240"/>
      <c r="QWZ24" s="240"/>
      <c r="QXA24" s="240"/>
      <c r="QXL24" s="239"/>
      <c r="QXM24" s="239"/>
      <c r="QXN24" s="240"/>
      <c r="QXO24" s="240"/>
      <c r="QXP24" s="240"/>
      <c r="QYA24" s="239"/>
      <c r="QYB24" s="239"/>
      <c r="QYC24" s="240"/>
      <c r="QYD24" s="240"/>
      <c r="QYE24" s="240"/>
      <c r="QYP24" s="239"/>
      <c r="QYQ24" s="239"/>
      <c r="QYR24" s="240"/>
      <c r="QYS24" s="240"/>
      <c r="QYT24" s="240"/>
      <c r="QZE24" s="239"/>
      <c r="QZF24" s="239"/>
      <c r="QZG24" s="240"/>
      <c r="QZH24" s="240"/>
      <c r="QZI24" s="240"/>
      <c r="QZT24" s="239"/>
      <c r="QZU24" s="239"/>
      <c r="QZV24" s="240"/>
      <c r="QZW24" s="240"/>
      <c r="QZX24" s="240"/>
      <c r="RAI24" s="239"/>
      <c r="RAJ24" s="239"/>
      <c r="RAK24" s="240"/>
      <c r="RAL24" s="240"/>
      <c r="RAM24" s="240"/>
      <c r="RAX24" s="239"/>
      <c r="RAY24" s="239"/>
      <c r="RAZ24" s="240"/>
      <c r="RBA24" s="240"/>
      <c r="RBB24" s="240"/>
      <c r="RBM24" s="239"/>
      <c r="RBN24" s="239"/>
      <c r="RBO24" s="240"/>
      <c r="RBP24" s="240"/>
      <c r="RBQ24" s="240"/>
      <c r="RCB24" s="239"/>
      <c r="RCC24" s="239"/>
      <c r="RCD24" s="240"/>
      <c r="RCE24" s="240"/>
      <c r="RCF24" s="240"/>
      <c r="RCQ24" s="239"/>
      <c r="RCR24" s="239"/>
      <c r="RCS24" s="240"/>
      <c r="RCT24" s="240"/>
      <c r="RCU24" s="240"/>
      <c r="RDF24" s="239"/>
      <c r="RDG24" s="239"/>
      <c r="RDH24" s="240"/>
      <c r="RDI24" s="240"/>
      <c r="RDJ24" s="240"/>
      <c r="RDU24" s="239"/>
      <c r="RDV24" s="239"/>
      <c r="RDW24" s="240"/>
      <c r="RDX24" s="240"/>
      <c r="RDY24" s="240"/>
      <c r="REJ24" s="239"/>
      <c r="REK24" s="239"/>
      <c r="REL24" s="240"/>
      <c r="REM24" s="240"/>
      <c r="REN24" s="240"/>
      <c r="REY24" s="239"/>
      <c r="REZ24" s="239"/>
      <c r="RFA24" s="240"/>
      <c r="RFB24" s="240"/>
      <c r="RFC24" s="240"/>
      <c r="RFN24" s="239"/>
      <c r="RFO24" s="239"/>
      <c r="RFP24" s="240"/>
      <c r="RFQ24" s="240"/>
      <c r="RFR24" s="240"/>
      <c r="RGC24" s="239"/>
      <c r="RGD24" s="239"/>
      <c r="RGE24" s="240"/>
      <c r="RGF24" s="240"/>
      <c r="RGG24" s="240"/>
      <c r="RGR24" s="239"/>
      <c r="RGS24" s="239"/>
      <c r="RGT24" s="240"/>
      <c r="RGU24" s="240"/>
      <c r="RGV24" s="240"/>
      <c r="RHG24" s="239"/>
      <c r="RHH24" s="239"/>
      <c r="RHI24" s="240"/>
      <c r="RHJ24" s="240"/>
      <c r="RHK24" s="240"/>
      <c r="RHV24" s="239"/>
      <c r="RHW24" s="239"/>
      <c r="RHX24" s="240"/>
      <c r="RHY24" s="240"/>
      <c r="RHZ24" s="240"/>
      <c r="RIK24" s="239"/>
      <c r="RIL24" s="239"/>
      <c r="RIM24" s="240"/>
      <c r="RIN24" s="240"/>
      <c r="RIO24" s="240"/>
      <c r="RIZ24" s="239"/>
      <c r="RJA24" s="239"/>
      <c r="RJB24" s="240"/>
      <c r="RJC24" s="240"/>
      <c r="RJD24" s="240"/>
      <c r="RJO24" s="239"/>
      <c r="RJP24" s="239"/>
      <c r="RJQ24" s="240"/>
      <c r="RJR24" s="240"/>
      <c r="RJS24" s="240"/>
      <c r="RKD24" s="239"/>
      <c r="RKE24" s="239"/>
      <c r="RKF24" s="240"/>
      <c r="RKG24" s="240"/>
      <c r="RKH24" s="240"/>
      <c r="RKS24" s="239"/>
      <c r="RKT24" s="239"/>
      <c r="RKU24" s="240"/>
      <c r="RKV24" s="240"/>
      <c r="RKW24" s="240"/>
      <c r="RLH24" s="239"/>
      <c r="RLI24" s="239"/>
      <c r="RLJ24" s="240"/>
      <c r="RLK24" s="240"/>
      <c r="RLL24" s="240"/>
      <c r="RLW24" s="239"/>
      <c r="RLX24" s="239"/>
      <c r="RLY24" s="240"/>
      <c r="RLZ24" s="240"/>
      <c r="RMA24" s="240"/>
      <c r="RML24" s="239"/>
      <c r="RMM24" s="239"/>
      <c r="RMN24" s="240"/>
      <c r="RMO24" s="240"/>
      <c r="RMP24" s="240"/>
      <c r="RNA24" s="239"/>
      <c r="RNB24" s="239"/>
      <c r="RNC24" s="240"/>
      <c r="RND24" s="240"/>
      <c r="RNE24" s="240"/>
      <c r="RNP24" s="239"/>
      <c r="RNQ24" s="239"/>
      <c r="RNR24" s="240"/>
      <c r="RNS24" s="240"/>
      <c r="RNT24" s="240"/>
      <c r="ROE24" s="239"/>
      <c r="ROF24" s="239"/>
      <c r="ROG24" s="240"/>
      <c r="ROH24" s="240"/>
      <c r="ROI24" s="240"/>
      <c r="ROT24" s="239"/>
      <c r="ROU24" s="239"/>
      <c r="ROV24" s="240"/>
      <c r="ROW24" s="240"/>
      <c r="ROX24" s="240"/>
      <c r="RPI24" s="239"/>
      <c r="RPJ24" s="239"/>
      <c r="RPK24" s="240"/>
      <c r="RPL24" s="240"/>
      <c r="RPM24" s="240"/>
      <c r="RPX24" s="239"/>
      <c r="RPY24" s="239"/>
      <c r="RPZ24" s="240"/>
      <c r="RQA24" s="240"/>
      <c r="RQB24" s="240"/>
      <c r="RQM24" s="239"/>
      <c r="RQN24" s="239"/>
      <c r="RQO24" s="240"/>
      <c r="RQP24" s="240"/>
      <c r="RQQ24" s="240"/>
      <c r="RRB24" s="239"/>
      <c r="RRC24" s="239"/>
      <c r="RRD24" s="240"/>
      <c r="RRE24" s="240"/>
      <c r="RRF24" s="240"/>
      <c r="RRQ24" s="239"/>
      <c r="RRR24" s="239"/>
      <c r="RRS24" s="240"/>
      <c r="RRT24" s="240"/>
      <c r="RRU24" s="240"/>
      <c r="RSF24" s="239"/>
      <c r="RSG24" s="239"/>
      <c r="RSH24" s="240"/>
      <c r="RSI24" s="240"/>
      <c r="RSJ24" s="240"/>
      <c r="RSU24" s="239"/>
      <c r="RSV24" s="239"/>
      <c r="RSW24" s="240"/>
      <c r="RSX24" s="240"/>
      <c r="RSY24" s="240"/>
      <c r="RTJ24" s="239"/>
      <c r="RTK24" s="239"/>
      <c r="RTL24" s="240"/>
      <c r="RTM24" s="240"/>
      <c r="RTN24" s="240"/>
      <c r="RTY24" s="239"/>
      <c r="RTZ24" s="239"/>
      <c r="RUA24" s="240"/>
      <c r="RUB24" s="240"/>
      <c r="RUC24" s="240"/>
      <c r="RUN24" s="239"/>
      <c r="RUO24" s="239"/>
      <c r="RUP24" s="240"/>
      <c r="RUQ24" s="240"/>
      <c r="RUR24" s="240"/>
      <c r="RVC24" s="239"/>
      <c r="RVD24" s="239"/>
      <c r="RVE24" s="240"/>
      <c r="RVF24" s="240"/>
      <c r="RVG24" s="240"/>
      <c r="RVR24" s="239"/>
      <c r="RVS24" s="239"/>
      <c r="RVT24" s="240"/>
      <c r="RVU24" s="240"/>
      <c r="RVV24" s="240"/>
      <c r="RWG24" s="239"/>
      <c r="RWH24" s="239"/>
      <c r="RWI24" s="240"/>
      <c r="RWJ24" s="240"/>
      <c r="RWK24" s="240"/>
      <c r="RWV24" s="239"/>
      <c r="RWW24" s="239"/>
      <c r="RWX24" s="240"/>
      <c r="RWY24" s="240"/>
      <c r="RWZ24" s="240"/>
      <c r="RXK24" s="239"/>
      <c r="RXL24" s="239"/>
      <c r="RXM24" s="240"/>
      <c r="RXN24" s="240"/>
      <c r="RXO24" s="240"/>
      <c r="RXZ24" s="239"/>
      <c r="RYA24" s="239"/>
      <c r="RYB24" s="240"/>
      <c r="RYC24" s="240"/>
      <c r="RYD24" s="240"/>
      <c r="RYO24" s="239"/>
      <c r="RYP24" s="239"/>
      <c r="RYQ24" s="240"/>
      <c r="RYR24" s="240"/>
      <c r="RYS24" s="240"/>
      <c r="RZD24" s="239"/>
      <c r="RZE24" s="239"/>
      <c r="RZF24" s="240"/>
      <c r="RZG24" s="240"/>
      <c r="RZH24" s="240"/>
      <c r="RZS24" s="239"/>
      <c r="RZT24" s="239"/>
      <c r="RZU24" s="240"/>
      <c r="RZV24" s="240"/>
      <c r="RZW24" s="240"/>
      <c r="SAH24" s="239"/>
      <c r="SAI24" s="239"/>
      <c r="SAJ24" s="240"/>
      <c r="SAK24" s="240"/>
      <c r="SAL24" s="240"/>
      <c r="SAW24" s="239"/>
      <c r="SAX24" s="239"/>
      <c r="SAY24" s="240"/>
      <c r="SAZ24" s="240"/>
      <c r="SBA24" s="240"/>
      <c r="SBL24" s="239"/>
      <c r="SBM24" s="239"/>
      <c r="SBN24" s="240"/>
      <c r="SBO24" s="240"/>
      <c r="SBP24" s="240"/>
      <c r="SCA24" s="239"/>
      <c r="SCB24" s="239"/>
      <c r="SCC24" s="240"/>
      <c r="SCD24" s="240"/>
      <c r="SCE24" s="240"/>
      <c r="SCP24" s="239"/>
      <c r="SCQ24" s="239"/>
      <c r="SCR24" s="240"/>
      <c r="SCS24" s="240"/>
      <c r="SCT24" s="240"/>
      <c r="SDE24" s="239"/>
      <c r="SDF24" s="239"/>
      <c r="SDG24" s="240"/>
      <c r="SDH24" s="240"/>
      <c r="SDI24" s="240"/>
      <c r="SDT24" s="239"/>
      <c r="SDU24" s="239"/>
      <c r="SDV24" s="240"/>
      <c r="SDW24" s="240"/>
      <c r="SDX24" s="240"/>
      <c r="SEI24" s="239"/>
      <c r="SEJ24" s="239"/>
      <c r="SEK24" s="240"/>
      <c r="SEL24" s="240"/>
      <c r="SEM24" s="240"/>
      <c r="SEX24" s="239"/>
      <c r="SEY24" s="239"/>
      <c r="SEZ24" s="240"/>
      <c r="SFA24" s="240"/>
      <c r="SFB24" s="240"/>
      <c r="SFM24" s="239"/>
      <c r="SFN24" s="239"/>
      <c r="SFO24" s="240"/>
      <c r="SFP24" s="240"/>
      <c r="SFQ24" s="240"/>
      <c r="SGB24" s="239"/>
      <c r="SGC24" s="239"/>
      <c r="SGD24" s="240"/>
      <c r="SGE24" s="240"/>
      <c r="SGF24" s="240"/>
      <c r="SGQ24" s="239"/>
      <c r="SGR24" s="239"/>
      <c r="SGS24" s="240"/>
      <c r="SGT24" s="240"/>
      <c r="SGU24" s="240"/>
      <c r="SHF24" s="239"/>
      <c r="SHG24" s="239"/>
      <c r="SHH24" s="240"/>
      <c r="SHI24" s="240"/>
      <c r="SHJ24" s="240"/>
      <c r="SHU24" s="239"/>
      <c r="SHV24" s="239"/>
      <c r="SHW24" s="240"/>
      <c r="SHX24" s="240"/>
      <c r="SHY24" s="240"/>
      <c r="SIJ24" s="239"/>
      <c r="SIK24" s="239"/>
      <c r="SIL24" s="240"/>
      <c r="SIM24" s="240"/>
      <c r="SIN24" s="240"/>
      <c r="SIY24" s="239"/>
      <c r="SIZ24" s="239"/>
      <c r="SJA24" s="240"/>
      <c r="SJB24" s="240"/>
      <c r="SJC24" s="240"/>
      <c r="SJN24" s="239"/>
      <c r="SJO24" s="239"/>
      <c r="SJP24" s="240"/>
      <c r="SJQ24" s="240"/>
      <c r="SJR24" s="240"/>
      <c r="SKC24" s="239"/>
      <c r="SKD24" s="239"/>
      <c r="SKE24" s="240"/>
      <c r="SKF24" s="240"/>
      <c r="SKG24" s="240"/>
      <c r="SKR24" s="239"/>
      <c r="SKS24" s="239"/>
      <c r="SKT24" s="240"/>
      <c r="SKU24" s="240"/>
      <c r="SKV24" s="240"/>
      <c r="SLG24" s="239"/>
      <c r="SLH24" s="239"/>
      <c r="SLI24" s="240"/>
      <c r="SLJ24" s="240"/>
      <c r="SLK24" s="240"/>
      <c r="SLV24" s="239"/>
      <c r="SLW24" s="239"/>
      <c r="SLX24" s="240"/>
      <c r="SLY24" s="240"/>
      <c r="SLZ24" s="240"/>
      <c r="SMK24" s="239"/>
      <c r="SML24" s="239"/>
      <c r="SMM24" s="240"/>
      <c r="SMN24" s="240"/>
      <c r="SMO24" s="240"/>
      <c r="SMZ24" s="239"/>
      <c r="SNA24" s="239"/>
      <c r="SNB24" s="240"/>
      <c r="SNC24" s="240"/>
      <c r="SND24" s="240"/>
      <c r="SNO24" s="239"/>
      <c r="SNP24" s="239"/>
      <c r="SNQ24" s="240"/>
      <c r="SNR24" s="240"/>
      <c r="SNS24" s="240"/>
      <c r="SOD24" s="239"/>
      <c r="SOE24" s="239"/>
      <c r="SOF24" s="240"/>
      <c r="SOG24" s="240"/>
      <c r="SOH24" s="240"/>
      <c r="SOS24" s="239"/>
      <c r="SOT24" s="239"/>
      <c r="SOU24" s="240"/>
      <c r="SOV24" s="240"/>
      <c r="SOW24" s="240"/>
      <c r="SPH24" s="239"/>
      <c r="SPI24" s="239"/>
      <c r="SPJ24" s="240"/>
      <c r="SPK24" s="240"/>
      <c r="SPL24" s="240"/>
      <c r="SPW24" s="239"/>
      <c r="SPX24" s="239"/>
      <c r="SPY24" s="240"/>
      <c r="SPZ24" s="240"/>
      <c r="SQA24" s="240"/>
      <c r="SQL24" s="239"/>
      <c r="SQM24" s="239"/>
      <c r="SQN24" s="240"/>
      <c r="SQO24" s="240"/>
      <c r="SQP24" s="240"/>
      <c r="SRA24" s="239"/>
      <c r="SRB24" s="239"/>
      <c r="SRC24" s="240"/>
      <c r="SRD24" s="240"/>
      <c r="SRE24" s="240"/>
      <c r="SRP24" s="239"/>
      <c r="SRQ24" s="239"/>
      <c r="SRR24" s="240"/>
      <c r="SRS24" s="240"/>
      <c r="SRT24" s="240"/>
      <c r="SSE24" s="239"/>
      <c r="SSF24" s="239"/>
      <c r="SSG24" s="240"/>
      <c r="SSH24" s="240"/>
      <c r="SSI24" s="240"/>
      <c r="SST24" s="239"/>
      <c r="SSU24" s="239"/>
      <c r="SSV24" s="240"/>
      <c r="SSW24" s="240"/>
      <c r="SSX24" s="240"/>
      <c r="STI24" s="239"/>
      <c r="STJ24" s="239"/>
      <c r="STK24" s="240"/>
      <c r="STL24" s="240"/>
      <c r="STM24" s="240"/>
      <c r="STX24" s="239"/>
      <c r="STY24" s="239"/>
      <c r="STZ24" s="240"/>
      <c r="SUA24" s="240"/>
      <c r="SUB24" s="240"/>
      <c r="SUM24" s="239"/>
      <c r="SUN24" s="239"/>
      <c r="SUO24" s="240"/>
      <c r="SUP24" s="240"/>
      <c r="SUQ24" s="240"/>
      <c r="SVB24" s="239"/>
      <c r="SVC24" s="239"/>
      <c r="SVD24" s="240"/>
      <c r="SVE24" s="240"/>
      <c r="SVF24" s="240"/>
      <c r="SVQ24" s="239"/>
      <c r="SVR24" s="239"/>
      <c r="SVS24" s="240"/>
      <c r="SVT24" s="240"/>
      <c r="SVU24" s="240"/>
      <c r="SWF24" s="239"/>
      <c r="SWG24" s="239"/>
      <c r="SWH24" s="240"/>
      <c r="SWI24" s="240"/>
      <c r="SWJ24" s="240"/>
      <c r="SWU24" s="239"/>
      <c r="SWV24" s="239"/>
      <c r="SWW24" s="240"/>
      <c r="SWX24" s="240"/>
      <c r="SWY24" s="240"/>
      <c r="SXJ24" s="239"/>
      <c r="SXK24" s="239"/>
      <c r="SXL24" s="240"/>
      <c r="SXM24" s="240"/>
      <c r="SXN24" s="240"/>
      <c r="SXY24" s="239"/>
      <c r="SXZ24" s="239"/>
      <c r="SYA24" s="240"/>
      <c r="SYB24" s="240"/>
      <c r="SYC24" s="240"/>
      <c r="SYN24" s="239"/>
      <c r="SYO24" s="239"/>
      <c r="SYP24" s="240"/>
      <c r="SYQ24" s="240"/>
      <c r="SYR24" s="240"/>
      <c r="SZC24" s="239"/>
      <c r="SZD24" s="239"/>
      <c r="SZE24" s="240"/>
      <c r="SZF24" s="240"/>
      <c r="SZG24" s="240"/>
      <c r="SZR24" s="239"/>
      <c r="SZS24" s="239"/>
      <c r="SZT24" s="240"/>
      <c r="SZU24" s="240"/>
      <c r="SZV24" s="240"/>
      <c r="TAG24" s="239"/>
      <c r="TAH24" s="239"/>
      <c r="TAI24" s="240"/>
      <c r="TAJ24" s="240"/>
      <c r="TAK24" s="240"/>
      <c r="TAV24" s="239"/>
      <c r="TAW24" s="239"/>
      <c r="TAX24" s="240"/>
      <c r="TAY24" s="240"/>
      <c r="TAZ24" s="240"/>
      <c r="TBK24" s="239"/>
      <c r="TBL24" s="239"/>
      <c r="TBM24" s="240"/>
      <c r="TBN24" s="240"/>
      <c r="TBO24" s="240"/>
      <c r="TBZ24" s="239"/>
      <c r="TCA24" s="239"/>
      <c r="TCB24" s="240"/>
      <c r="TCC24" s="240"/>
      <c r="TCD24" s="240"/>
      <c r="TCO24" s="239"/>
      <c r="TCP24" s="239"/>
      <c r="TCQ24" s="240"/>
      <c r="TCR24" s="240"/>
      <c r="TCS24" s="240"/>
      <c r="TDD24" s="239"/>
      <c r="TDE24" s="239"/>
      <c r="TDF24" s="240"/>
      <c r="TDG24" s="240"/>
      <c r="TDH24" s="240"/>
      <c r="TDS24" s="239"/>
      <c r="TDT24" s="239"/>
      <c r="TDU24" s="240"/>
      <c r="TDV24" s="240"/>
      <c r="TDW24" s="240"/>
      <c r="TEH24" s="239"/>
      <c r="TEI24" s="239"/>
      <c r="TEJ24" s="240"/>
      <c r="TEK24" s="240"/>
      <c r="TEL24" s="240"/>
      <c r="TEW24" s="239"/>
      <c r="TEX24" s="239"/>
      <c r="TEY24" s="240"/>
      <c r="TEZ24" s="240"/>
      <c r="TFA24" s="240"/>
      <c r="TFL24" s="239"/>
      <c r="TFM24" s="239"/>
      <c r="TFN24" s="240"/>
      <c r="TFO24" s="240"/>
      <c r="TFP24" s="240"/>
      <c r="TGA24" s="239"/>
      <c r="TGB24" s="239"/>
      <c r="TGC24" s="240"/>
      <c r="TGD24" s="240"/>
      <c r="TGE24" s="240"/>
      <c r="TGP24" s="239"/>
      <c r="TGQ24" s="239"/>
      <c r="TGR24" s="240"/>
      <c r="TGS24" s="240"/>
      <c r="TGT24" s="240"/>
      <c r="THE24" s="239"/>
      <c r="THF24" s="239"/>
      <c r="THG24" s="240"/>
      <c r="THH24" s="240"/>
      <c r="THI24" s="240"/>
      <c r="THT24" s="239"/>
      <c r="THU24" s="239"/>
      <c r="THV24" s="240"/>
      <c r="THW24" s="240"/>
      <c r="THX24" s="240"/>
      <c r="TII24" s="239"/>
      <c r="TIJ24" s="239"/>
      <c r="TIK24" s="240"/>
      <c r="TIL24" s="240"/>
      <c r="TIM24" s="240"/>
      <c r="TIX24" s="239"/>
      <c r="TIY24" s="239"/>
      <c r="TIZ24" s="240"/>
      <c r="TJA24" s="240"/>
      <c r="TJB24" s="240"/>
      <c r="TJM24" s="239"/>
      <c r="TJN24" s="239"/>
      <c r="TJO24" s="240"/>
      <c r="TJP24" s="240"/>
      <c r="TJQ24" s="240"/>
      <c r="TKB24" s="239"/>
      <c r="TKC24" s="239"/>
      <c r="TKD24" s="240"/>
      <c r="TKE24" s="240"/>
      <c r="TKF24" s="240"/>
      <c r="TKQ24" s="239"/>
      <c r="TKR24" s="239"/>
      <c r="TKS24" s="240"/>
      <c r="TKT24" s="240"/>
      <c r="TKU24" s="240"/>
      <c r="TLF24" s="239"/>
      <c r="TLG24" s="239"/>
      <c r="TLH24" s="240"/>
      <c r="TLI24" s="240"/>
      <c r="TLJ24" s="240"/>
      <c r="TLU24" s="239"/>
      <c r="TLV24" s="239"/>
      <c r="TLW24" s="240"/>
      <c r="TLX24" s="240"/>
      <c r="TLY24" s="240"/>
      <c r="TMJ24" s="239"/>
      <c r="TMK24" s="239"/>
      <c r="TML24" s="240"/>
      <c r="TMM24" s="240"/>
      <c r="TMN24" s="240"/>
      <c r="TMY24" s="239"/>
      <c r="TMZ24" s="239"/>
      <c r="TNA24" s="240"/>
      <c r="TNB24" s="240"/>
      <c r="TNC24" s="240"/>
      <c r="TNN24" s="239"/>
      <c r="TNO24" s="239"/>
      <c r="TNP24" s="240"/>
      <c r="TNQ24" s="240"/>
      <c r="TNR24" s="240"/>
      <c r="TOC24" s="239"/>
      <c r="TOD24" s="239"/>
      <c r="TOE24" s="240"/>
      <c r="TOF24" s="240"/>
      <c r="TOG24" s="240"/>
      <c r="TOR24" s="239"/>
      <c r="TOS24" s="239"/>
      <c r="TOT24" s="240"/>
      <c r="TOU24" s="240"/>
      <c r="TOV24" s="240"/>
      <c r="TPG24" s="239"/>
      <c r="TPH24" s="239"/>
      <c r="TPI24" s="240"/>
      <c r="TPJ24" s="240"/>
      <c r="TPK24" s="240"/>
      <c r="TPV24" s="239"/>
      <c r="TPW24" s="239"/>
      <c r="TPX24" s="240"/>
      <c r="TPY24" s="240"/>
      <c r="TPZ24" s="240"/>
      <c r="TQK24" s="239"/>
      <c r="TQL24" s="239"/>
      <c r="TQM24" s="240"/>
      <c r="TQN24" s="240"/>
      <c r="TQO24" s="240"/>
      <c r="TQZ24" s="239"/>
      <c r="TRA24" s="239"/>
      <c r="TRB24" s="240"/>
      <c r="TRC24" s="240"/>
      <c r="TRD24" s="240"/>
      <c r="TRO24" s="239"/>
      <c r="TRP24" s="239"/>
      <c r="TRQ24" s="240"/>
      <c r="TRR24" s="240"/>
      <c r="TRS24" s="240"/>
      <c r="TSD24" s="239"/>
      <c r="TSE24" s="239"/>
      <c r="TSF24" s="240"/>
      <c r="TSG24" s="240"/>
      <c r="TSH24" s="240"/>
      <c r="TSS24" s="239"/>
      <c r="TST24" s="239"/>
      <c r="TSU24" s="240"/>
      <c r="TSV24" s="240"/>
      <c r="TSW24" s="240"/>
      <c r="TTH24" s="239"/>
      <c r="TTI24" s="239"/>
      <c r="TTJ24" s="240"/>
      <c r="TTK24" s="240"/>
      <c r="TTL24" s="240"/>
      <c r="TTW24" s="239"/>
      <c r="TTX24" s="239"/>
      <c r="TTY24" s="240"/>
      <c r="TTZ24" s="240"/>
      <c r="TUA24" s="240"/>
      <c r="TUL24" s="239"/>
      <c r="TUM24" s="239"/>
      <c r="TUN24" s="240"/>
      <c r="TUO24" s="240"/>
      <c r="TUP24" s="240"/>
      <c r="TVA24" s="239"/>
      <c r="TVB24" s="239"/>
      <c r="TVC24" s="240"/>
      <c r="TVD24" s="240"/>
      <c r="TVE24" s="240"/>
      <c r="TVP24" s="239"/>
      <c r="TVQ24" s="239"/>
      <c r="TVR24" s="240"/>
      <c r="TVS24" s="240"/>
      <c r="TVT24" s="240"/>
      <c r="TWE24" s="239"/>
      <c r="TWF24" s="239"/>
      <c r="TWG24" s="240"/>
      <c r="TWH24" s="240"/>
      <c r="TWI24" s="240"/>
      <c r="TWT24" s="239"/>
      <c r="TWU24" s="239"/>
      <c r="TWV24" s="240"/>
      <c r="TWW24" s="240"/>
      <c r="TWX24" s="240"/>
      <c r="TXI24" s="239"/>
      <c r="TXJ24" s="239"/>
      <c r="TXK24" s="240"/>
      <c r="TXL24" s="240"/>
      <c r="TXM24" s="240"/>
      <c r="TXX24" s="239"/>
      <c r="TXY24" s="239"/>
      <c r="TXZ24" s="240"/>
      <c r="TYA24" s="240"/>
      <c r="TYB24" s="240"/>
      <c r="TYM24" s="239"/>
      <c r="TYN24" s="239"/>
      <c r="TYO24" s="240"/>
      <c r="TYP24" s="240"/>
      <c r="TYQ24" s="240"/>
      <c r="TZB24" s="239"/>
      <c r="TZC24" s="239"/>
      <c r="TZD24" s="240"/>
      <c r="TZE24" s="240"/>
      <c r="TZF24" s="240"/>
      <c r="TZQ24" s="239"/>
      <c r="TZR24" s="239"/>
      <c r="TZS24" s="240"/>
      <c r="TZT24" s="240"/>
      <c r="TZU24" s="240"/>
      <c r="UAF24" s="239"/>
      <c r="UAG24" s="239"/>
      <c r="UAH24" s="240"/>
      <c r="UAI24" s="240"/>
      <c r="UAJ24" s="240"/>
      <c r="UAU24" s="239"/>
      <c r="UAV24" s="239"/>
      <c r="UAW24" s="240"/>
      <c r="UAX24" s="240"/>
      <c r="UAY24" s="240"/>
      <c r="UBJ24" s="239"/>
      <c r="UBK24" s="239"/>
      <c r="UBL24" s="240"/>
      <c r="UBM24" s="240"/>
      <c r="UBN24" s="240"/>
      <c r="UBY24" s="239"/>
      <c r="UBZ24" s="239"/>
      <c r="UCA24" s="240"/>
      <c r="UCB24" s="240"/>
      <c r="UCC24" s="240"/>
      <c r="UCN24" s="239"/>
      <c r="UCO24" s="239"/>
      <c r="UCP24" s="240"/>
      <c r="UCQ24" s="240"/>
      <c r="UCR24" s="240"/>
      <c r="UDC24" s="239"/>
      <c r="UDD24" s="239"/>
      <c r="UDE24" s="240"/>
      <c r="UDF24" s="240"/>
      <c r="UDG24" s="240"/>
      <c r="UDR24" s="239"/>
      <c r="UDS24" s="239"/>
      <c r="UDT24" s="240"/>
      <c r="UDU24" s="240"/>
      <c r="UDV24" s="240"/>
      <c r="UEG24" s="239"/>
      <c r="UEH24" s="239"/>
      <c r="UEI24" s="240"/>
      <c r="UEJ24" s="240"/>
      <c r="UEK24" s="240"/>
      <c r="UEV24" s="239"/>
      <c r="UEW24" s="239"/>
      <c r="UEX24" s="240"/>
      <c r="UEY24" s="240"/>
      <c r="UEZ24" s="240"/>
      <c r="UFK24" s="239"/>
      <c r="UFL24" s="239"/>
      <c r="UFM24" s="240"/>
      <c r="UFN24" s="240"/>
      <c r="UFO24" s="240"/>
      <c r="UFZ24" s="239"/>
      <c r="UGA24" s="239"/>
      <c r="UGB24" s="240"/>
      <c r="UGC24" s="240"/>
      <c r="UGD24" s="240"/>
      <c r="UGO24" s="239"/>
      <c r="UGP24" s="239"/>
      <c r="UGQ24" s="240"/>
      <c r="UGR24" s="240"/>
      <c r="UGS24" s="240"/>
      <c r="UHD24" s="239"/>
      <c r="UHE24" s="239"/>
      <c r="UHF24" s="240"/>
      <c r="UHG24" s="240"/>
      <c r="UHH24" s="240"/>
      <c r="UHS24" s="239"/>
      <c r="UHT24" s="239"/>
      <c r="UHU24" s="240"/>
      <c r="UHV24" s="240"/>
      <c r="UHW24" s="240"/>
      <c r="UIH24" s="239"/>
      <c r="UII24" s="239"/>
      <c r="UIJ24" s="240"/>
      <c r="UIK24" s="240"/>
      <c r="UIL24" s="240"/>
      <c r="UIW24" s="239"/>
      <c r="UIX24" s="239"/>
      <c r="UIY24" s="240"/>
      <c r="UIZ24" s="240"/>
      <c r="UJA24" s="240"/>
      <c r="UJL24" s="239"/>
      <c r="UJM24" s="239"/>
      <c r="UJN24" s="240"/>
      <c r="UJO24" s="240"/>
      <c r="UJP24" s="240"/>
      <c r="UKA24" s="239"/>
      <c r="UKB24" s="239"/>
      <c r="UKC24" s="240"/>
      <c r="UKD24" s="240"/>
      <c r="UKE24" s="240"/>
      <c r="UKP24" s="239"/>
      <c r="UKQ24" s="239"/>
      <c r="UKR24" s="240"/>
      <c r="UKS24" s="240"/>
      <c r="UKT24" s="240"/>
      <c r="ULE24" s="239"/>
      <c r="ULF24" s="239"/>
      <c r="ULG24" s="240"/>
      <c r="ULH24" s="240"/>
      <c r="ULI24" s="240"/>
      <c r="ULT24" s="239"/>
      <c r="ULU24" s="239"/>
      <c r="ULV24" s="240"/>
      <c r="ULW24" s="240"/>
      <c r="ULX24" s="240"/>
      <c r="UMI24" s="239"/>
      <c r="UMJ24" s="239"/>
      <c r="UMK24" s="240"/>
      <c r="UML24" s="240"/>
      <c r="UMM24" s="240"/>
      <c r="UMX24" s="239"/>
      <c r="UMY24" s="239"/>
      <c r="UMZ24" s="240"/>
      <c r="UNA24" s="240"/>
      <c r="UNB24" s="240"/>
      <c r="UNM24" s="239"/>
      <c r="UNN24" s="239"/>
      <c r="UNO24" s="240"/>
      <c r="UNP24" s="240"/>
      <c r="UNQ24" s="240"/>
      <c r="UOB24" s="239"/>
      <c r="UOC24" s="239"/>
      <c r="UOD24" s="240"/>
      <c r="UOE24" s="240"/>
      <c r="UOF24" s="240"/>
      <c r="UOQ24" s="239"/>
      <c r="UOR24" s="239"/>
      <c r="UOS24" s="240"/>
      <c r="UOT24" s="240"/>
      <c r="UOU24" s="240"/>
      <c r="UPF24" s="239"/>
      <c r="UPG24" s="239"/>
      <c r="UPH24" s="240"/>
      <c r="UPI24" s="240"/>
      <c r="UPJ24" s="240"/>
      <c r="UPU24" s="239"/>
      <c r="UPV24" s="239"/>
      <c r="UPW24" s="240"/>
      <c r="UPX24" s="240"/>
      <c r="UPY24" s="240"/>
      <c r="UQJ24" s="239"/>
      <c r="UQK24" s="239"/>
      <c r="UQL24" s="240"/>
      <c r="UQM24" s="240"/>
      <c r="UQN24" s="240"/>
      <c r="UQY24" s="239"/>
      <c r="UQZ24" s="239"/>
      <c r="URA24" s="240"/>
      <c r="URB24" s="240"/>
      <c r="URC24" s="240"/>
      <c r="URN24" s="239"/>
      <c r="URO24" s="239"/>
      <c r="URP24" s="240"/>
      <c r="URQ24" s="240"/>
      <c r="URR24" s="240"/>
      <c r="USC24" s="239"/>
      <c r="USD24" s="239"/>
      <c r="USE24" s="240"/>
      <c r="USF24" s="240"/>
      <c r="USG24" s="240"/>
      <c r="USR24" s="239"/>
      <c r="USS24" s="239"/>
      <c r="UST24" s="240"/>
      <c r="USU24" s="240"/>
      <c r="USV24" s="240"/>
      <c r="UTG24" s="239"/>
      <c r="UTH24" s="239"/>
      <c r="UTI24" s="240"/>
      <c r="UTJ24" s="240"/>
      <c r="UTK24" s="240"/>
      <c r="UTV24" s="239"/>
      <c r="UTW24" s="239"/>
      <c r="UTX24" s="240"/>
      <c r="UTY24" s="240"/>
      <c r="UTZ24" s="240"/>
      <c r="UUK24" s="239"/>
      <c r="UUL24" s="239"/>
      <c r="UUM24" s="240"/>
      <c r="UUN24" s="240"/>
      <c r="UUO24" s="240"/>
      <c r="UUZ24" s="239"/>
      <c r="UVA24" s="239"/>
      <c r="UVB24" s="240"/>
      <c r="UVC24" s="240"/>
      <c r="UVD24" s="240"/>
      <c r="UVO24" s="239"/>
      <c r="UVP24" s="239"/>
      <c r="UVQ24" s="240"/>
      <c r="UVR24" s="240"/>
      <c r="UVS24" s="240"/>
      <c r="UWD24" s="239"/>
      <c r="UWE24" s="239"/>
      <c r="UWF24" s="240"/>
      <c r="UWG24" s="240"/>
      <c r="UWH24" s="240"/>
      <c r="UWS24" s="239"/>
      <c r="UWT24" s="239"/>
      <c r="UWU24" s="240"/>
      <c r="UWV24" s="240"/>
      <c r="UWW24" s="240"/>
      <c r="UXH24" s="239"/>
      <c r="UXI24" s="239"/>
      <c r="UXJ24" s="240"/>
      <c r="UXK24" s="240"/>
      <c r="UXL24" s="240"/>
      <c r="UXW24" s="239"/>
      <c r="UXX24" s="239"/>
      <c r="UXY24" s="240"/>
      <c r="UXZ24" s="240"/>
      <c r="UYA24" s="240"/>
      <c r="UYL24" s="239"/>
      <c r="UYM24" s="239"/>
      <c r="UYN24" s="240"/>
      <c r="UYO24" s="240"/>
      <c r="UYP24" s="240"/>
      <c r="UZA24" s="239"/>
      <c r="UZB24" s="239"/>
      <c r="UZC24" s="240"/>
      <c r="UZD24" s="240"/>
      <c r="UZE24" s="240"/>
      <c r="UZP24" s="239"/>
      <c r="UZQ24" s="239"/>
      <c r="UZR24" s="240"/>
      <c r="UZS24" s="240"/>
      <c r="UZT24" s="240"/>
      <c r="VAE24" s="239"/>
      <c r="VAF24" s="239"/>
      <c r="VAG24" s="240"/>
      <c r="VAH24" s="240"/>
      <c r="VAI24" s="240"/>
      <c r="VAT24" s="239"/>
      <c r="VAU24" s="239"/>
      <c r="VAV24" s="240"/>
      <c r="VAW24" s="240"/>
      <c r="VAX24" s="240"/>
      <c r="VBI24" s="239"/>
      <c r="VBJ24" s="239"/>
      <c r="VBK24" s="240"/>
      <c r="VBL24" s="240"/>
      <c r="VBM24" s="240"/>
      <c r="VBX24" s="239"/>
      <c r="VBY24" s="239"/>
      <c r="VBZ24" s="240"/>
      <c r="VCA24" s="240"/>
      <c r="VCB24" s="240"/>
      <c r="VCM24" s="239"/>
      <c r="VCN24" s="239"/>
      <c r="VCO24" s="240"/>
      <c r="VCP24" s="240"/>
      <c r="VCQ24" s="240"/>
      <c r="VDB24" s="239"/>
      <c r="VDC24" s="239"/>
      <c r="VDD24" s="240"/>
      <c r="VDE24" s="240"/>
      <c r="VDF24" s="240"/>
      <c r="VDQ24" s="239"/>
      <c r="VDR24" s="239"/>
      <c r="VDS24" s="240"/>
      <c r="VDT24" s="240"/>
      <c r="VDU24" s="240"/>
      <c r="VEF24" s="239"/>
      <c r="VEG24" s="239"/>
      <c r="VEH24" s="240"/>
      <c r="VEI24" s="240"/>
      <c r="VEJ24" s="240"/>
      <c r="VEU24" s="239"/>
      <c r="VEV24" s="239"/>
      <c r="VEW24" s="240"/>
      <c r="VEX24" s="240"/>
      <c r="VEY24" s="240"/>
      <c r="VFJ24" s="239"/>
      <c r="VFK24" s="239"/>
      <c r="VFL24" s="240"/>
      <c r="VFM24" s="240"/>
      <c r="VFN24" s="240"/>
      <c r="VFY24" s="239"/>
      <c r="VFZ24" s="239"/>
      <c r="VGA24" s="240"/>
      <c r="VGB24" s="240"/>
      <c r="VGC24" s="240"/>
      <c r="VGN24" s="239"/>
      <c r="VGO24" s="239"/>
      <c r="VGP24" s="240"/>
      <c r="VGQ24" s="240"/>
      <c r="VGR24" s="240"/>
      <c r="VHC24" s="239"/>
      <c r="VHD24" s="239"/>
      <c r="VHE24" s="240"/>
      <c r="VHF24" s="240"/>
      <c r="VHG24" s="240"/>
      <c r="VHR24" s="239"/>
      <c r="VHS24" s="239"/>
      <c r="VHT24" s="240"/>
      <c r="VHU24" s="240"/>
      <c r="VHV24" s="240"/>
      <c r="VIG24" s="239"/>
      <c r="VIH24" s="239"/>
      <c r="VII24" s="240"/>
      <c r="VIJ24" s="240"/>
      <c r="VIK24" s="240"/>
      <c r="VIV24" s="239"/>
      <c r="VIW24" s="239"/>
      <c r="VIX24" s="240"/>
      <c r="VIY24" s="240"/>
      <c r="VIZ24" s="240"/>
      <c r="VJK24" s="239"/>
      <c r="VJL24" s="239"/>
      <c r="VJM24" s="240"/>
      <c r="VJN24" s="240"/>
      <c r="VJO24" s="240"/>
      <c r="VJZ24" s="239"/>
      <c r="VKA24" s="239"/>
      <c r="VKB24" s="240"/>
      <c r="VKC24" s="240"/>
      <c r="VKD24" s="240"/>
      <c r="VKO24" s="239"/>
      <c r="VKP24" s="239"/>
      <c r="VKQ24" s="240"/>
      <c r="VKR24" s="240"/>
      <c r="VKS24" s="240"/>
      <c r="VLD24" s="239"/>
      <c r="VLE24" s="239"/>
      <c r="VLF24" s="240"/>
      <c r="VLG24" s="240"/>
      <c r="VLH24" s="240"/>
      <c r="VLS24" s="239"/>
      <c r="VLT24" s="239"/>
      <c r="VLU24" s="240"/>
      <c r="VLV24" s="240"/>
      <c r="VLW24" s="240"/>
      <c r="VMH24" s="239"/>
      <c r="VMI24" s="239"/>
      <c r="VMJ24" s="240"/>
      <c r="VMK24" s="240"/>
      <c r="VML24" s="240"/>
      <c r="VMW24" s="239"/>
      <c r="VMX24" s="239"/>
      <c r="VMY24" s="240"/>
      <c r="VMZ24" s="240"/>
      <c r="VNA24" s="240"/>
      <c r="VNL24" s="239"/>
      <c r="VNM24" s="239"/>
      <c r="VNN24" s="240"/>
      <c r="VNO24" s="240"/>
      <c r="VNP24" s="240"/>
      <c r="VOA24" s="239"/>
      <c r="VOB24" s="239"/>
      <c r="VOC24" s="240"/>
      <c r="VOD24" s="240"/>
      <c r="VOE24" s="240"/>
      <c r="VOP24" s="239"/>
      <c r="VOQ24" s="239"/>
      <c r="VOR24" s="240"/>
      <c r="VOS24" s="240"/>
      <c r="VOT24" s="240"/>
      <c r="VPE24" s="239"/>
      <c r="VPF24" s="239"/>
      <c r="VPG24" s="240"/>
      <c r="VPH24" s="240"/>
      <c r="VPI24" s="240"/>
      <c r="VPT24" s="239"/>
      <c r="VPU24" s="239"/>
      <c r="VPV24" s="240"/>
      <c r="VPW24" s="240"/>
      <c r="VPX24" s="240"/>
      <c r="VQI24" s="239"/>
      <c r="VQJ24" s="239"/>
      <c r="VQK24" s="240"/>
      <c r="VQL24" s="240"/>
      <c r="VQM24" s="240"/>
      <c r="VQX24" s="239"/>
      <c r="VQY24" s="239"/>
      <c r="VQZ24" s="240"/>
      <c r="VRA24" s="240"/>
      <c r="VRB24" s="240"/>
      <c r="VRM24" s="239"/>
      <c r="VRN24" s="239"/>
      <c r="VRO24" s="240"/>
      <c r="VRP24" s="240"/>
      <c r="VRQ24" s="240"/>
      <c r="VSB24" s="239"/>
      <c r="VSC24" s="239"/>
      <c r="VSD24" s="240"/>
      <c r="VSE24" s="240"/>
      <c r="VSF24" s="240"/>
      <c r="VSQ24" s="239"/>
      <c r="VSR24" s="239"/>
      <c r="VSS24" s="240"/>
      <c r="VST24" s="240"/>
      <c r="VSU24" s="240"/>
      <c r="VTF24" s="239"/>
      <c r="VTG24" s="239"/>
      <c r="VTH24" s="240"/>
      <c r="VTI24" s="240"/>
      <c r="VTJ24" s="240"/>
      <c r="VTU24" s="239"/>
      <c r="VTV24" s="239"/>
      <c r="VTW24" s="240"/>
      <c r="VTX24" s="240"/>
      <c r="VTY24" s="240"/>
      <c r="VUJ24" s="239"/>
      <c r="VUK24" s="239"/>
      <c r="VUL24" s="240"/>
      <c r="VUM24" s="240"/>
      <c r="VUN24" s="240"/>
      <c r="VUY24" s="239"/>
      <c r="VUZ24" s="239"/>
      <c r="VVA24" s="240"/>
      <c r="VVB24" s="240"/>
      <c r="VVC24" s="240"/>
      <c r="VVN24" s="239"/>
      <c r="VVO24" s="239"/>
      <c r="VVP24" s="240"/>
      <c r="VVQ24" s="240"/>
      <c r="VVR24" s="240"/>
      <c r="VWC24" s="239"/>
      <c r="VWD24" s="239"/>
      <c r="VWE24" s="240"/>
      <c r="VWF24" s="240"/>
      <c r="VWG24" s="240"/>
      <c r="VWR24" s="239"/>
      <c r="VWS24" s="239"/>
      <c r="VWT24" s="240"/>
      <c r="VWU24" s="240"/>
      <c r="VWV24" s="240"/>
      <c r="VXG24" s="239"/>
      <c r="VXH24" s="239"/>
      <c r="VXI24" s="240"/>
      <c r="VXJ24" s="240"/>
      <c r="VXK24" s="240"/>
      <c r="VXV24" s="239"/>
      <c r="VXW24" s="239"/>
      <c r="VXX24" s="240"/>
      <c r="VXY24" s="240"/>
      <c r="VXZ24" s="240"/>
      <c r="VYK24" s="239"/>
      <c r="VYL24" s="239"/>
      <c r="VYM24" s="240"/>
      <c r="VYN24" s="240"/>
      <c r="VYO24" s="240"/>
      <c r="VYZ24" s="239"/>
      <c r="VZA24" s="239"/>
      <c r="VZB24" s="240"/>
      <c r="VZC24" s="240"/>
      <c r="VZD24" s="240"/>
      <c r="VZO24" s="239"/>
      <c r="VZP24" s="239"/>
      <c r="VZQ24" s="240"/>
      <c r="VZR24" s="240"/>
      <c r="VZS24" s="240"/>
      <c r="WAD24" s="239"/>
      <c r="WAE24" s="239"/>
      <c r="WAF24" s="240"/>
      <c r="WAG24" s="240"/>
      <c r="WAH24" s="240"/>
      <c r="WAS24" s="239"/>
      <c r="WAT24" s="239"/>
      <c r="WAU24" s="240"/>
      <c r="WAV24" s="240"/>
      <c r="WAW24" s="240"/>
      <c r="WBH24" s="239"/>
      <c r="WBI24" s="239"/>
      <c r="WBJ24" s="240"/>
      <c r="WBK24" s="240"/>
      <c r="WBL24" s="240"/>
      <c r="WBW24" s="239"/>
      <c r="WBX24" s="239"/>
      <c r="WBY24" s="240"/>
      <c r="WBZ24" s="240"/>
      <c r="WCA24" s="240"/>
      <c r="WCL24" s="239"/>
      <c r="WCM24" s="239"/>
      <c r="WCN24" s="240"/>
      <c r="WCO24" s="240"/>
      <c r="WCP24" s="240"/>
      <c r="WDA24" s="239"/>
      <c r="WDB24" s="239"/>
      <c r="WDC24" s="240"/>
      <c r="WDD24" s="240"/>
      <c r="WDE24" s="240"/>
      <c r="WDP24" s="239"/>
      <c r="WDQ24" s="239"/>
      <c r="WDR24" s="240"/>
      <c r="WDS24" s="240"/>
      <c r="WDT24" s="240"/>
      <c r="WEE24" s="239"/>
      <c r="WEF24" s="239"/>
      <c r="WEG24" s="240"/>
      <c r="WEH24" s="240"/>
      <c r="WEI24" s="240"/>
      <c r="WET24" s="239"/>
      <c r="WEU24" s="239"/>
      <c r="WEV24" s="240"/>
      <c r="WEW24" s="240"/>
      <c r="WEX24" s="240"/>
      <c r="WFI24" s="239"/>
      <c r="WFJ24" s="239"/>
      <c r="WFK24" s="240"/>
      <c r="WFL24" s="240"/>
      <c r="WFM24" s="240"/>
      <c r="WFX24" s="239"/>
      <c r="WFY24" s="239"/>
      <c r="WFZ24" s="240"/>
      <c r="WGA24" s="240"/>
      <c r="WGB24" s="240"/>
      <c r="WGM24" s="239"/>
      <c r="WGN24" s="239"/>
      <c r="WGO24" s="240"/>
      <c r="WGP24" s="240"/>
      <c r="WGQ24" s="240"/>
      <c r="WHB24" s="239"/>
      <c r="WHC24" s="239"/>
      <c r="WHD24" s="240"/>
      <c r="WHE24" s="240"/>
      <c r="WHF24" s="240"/>
      <c r="WHQ24" s="239"/>
      <c r="WHR24" s="239"/>
      <c r="WHS24" s="240"/>
      <c r="WHT24" s="240"/>
      <c r="WHU24" s="240"/>
      <c r="WIF24" s="239"/>
      <c r="WIG24" s="239"/>
      <c r="WIH24" s="240"/>
      <c r="WII24" s="240"/>
      <c r="WIJ24" s="240"/>
      <c r="WIU24" s="239"/>
      <c r="WIV24" s="239"/>
      <c r="WIW24" s="240"/>
      <c r="WIX24" s="240"/>
      <c r="WIY24" s="240"/>
      <c r="WJJ24" s="239"/>
      <c r="WJK24" s="239"/>
      <c r="WJL24" s="240"/>
      <c r="WJM24" s="240"/>
      <c r="WJN24" s="240"/>
      <c r="WJY24" s="239"/>
      <c r="WJZ24" s="239"/>
      <c r="WKA24" s="240"/>
      <c r="WKB24" s="240"/>
      <c r="WKC24" s="240"/>
      <c r="WKN24" s="239"/>
      <c r="WKO24" s="239"/>
      <c r="WKP24" s="240"/>
      <c r="WKQ24" s="240"/>
      <c r="WKR24" s="240"/>
      <c r="WLC24" s="239"/>
      <c r="WLD24" s="239"/>
      <c r="WLE24" s="240"/>
      <c r="WLF24" s="240"/>
      <c r="WLG24" s="240"/>
      <c r="WLR24" s="239"/>
      <c r="WLS24" s="239"/>
      <c r="WLT24" s="240"/>
      <c r="WLU24" s="240"/>
      <c r="WLV24" s="240"/>
      <c r="WMG24" s="239"/>
      <c r="WMH24" s="239"/>
      <c r="WMI24" s="240"/>
      <c r="WMJ24" s="240"/>
      <c r="WMK24" s="240"/>
      <c r="WMV24" s="239"/>
      <c r="WMW24" s="239"/>
      <c r="WMX24" s="240"/>
      <c r="WMY24" s="240"/>
      <c r="WMZ24" s="240"/>
      <c r="WNK24" s="239"/>
      <c r="WNL24" s="239"/>
      <c r="WNM24" s="240"/>
      <c r="WNN24" s="240"/>
      <c r="WNO24" s="240"/>
      <c r="WNZ24" s="239"/>
      <c r="WOA24" s="239"/>
      <c r="WOB24" s="240"/>
      <c r="WOC24" s="240"/>
      <c r="WOD24" s="240"/>
      <c r="WOO24" s="239"/>
      <c r="WOP24" s="239"/>
      <c r="WOQ24" s="240"/>
      <c r="WOR24" s="240"/>
      <c r="WOS24" s="240"/>
      <c r="WPD24" s="239"/>
      <c r="WPE24" s="239"/>
      <c r="WPF24" s="240"/>
      <c r="WPG24" s="240"/>
      <c r="WPH24" s="240"/>
      <c r="WPS24" s="239"/>
      <c r="WPT24" s="239"/>
      <c r="WPU24" s="240"/>
      <c r="WPV24" s="240"/>
      <c r="WPW24" s="240"/>
      <c r="WQH24" s="239"/>
      <c r="WQI24" s="239"/>
      <c r="WQJ24" s="240"/>
      <c r="WQK24" s="240"/>
      <c r="WQL24" s="240"/>
      <c r="WQW24" s="239"/>
      <c r="WQX24" s="239"/>
      <c r="WQY24" s="240"/>
      <c r="WQZ24" s="240"/>
      <c r="WRA24" s="240"/>
      <c r="WRL24" s="239"/>
      <c r="WRM24" s="239"/>
      <c r="WRN24" s="240"/>
      <c r="WRO24" s="240"/>
      <c r="WRP24" s="240"/>
      <c r="WSA24" s="239"/>
      <c r="WSB24" s="239"/>
      <c r="WSC24" s="240"/>
      <c r="WSD24" s="240"/>
      <c r="WSE24" s="240"/>
      <c r="WSP24" s="239"/>
      <c r="WSQ24" s="239"/>
      <c r="WSR24" s="240"/>
      <c r="WSS24" s="240"/>
      <c r="WST24" s="240"/>
      <c r="WTE24" s="239"/>
      <c r="WTF24" s="239"/>
      <c r="WTG24" s="240"/>
      <c r="WTH24" s="240"/>
      <c r="WTI24" s="240"/>
      <c r="WTT24" s="239"/>
      <c r="WTU24" s="239"/>
      <c r="WTV24" s="240"/>
      <c r="WTW24" s="240"/>
      <c r="WTX24" s="240"/>
      <c r="WUI24" s="239"/>
      <c r="WUJ24" s="239"/>
      <c r="WUK24" s="240"/>
      <c r="WUL24" s="240"/>
      <c r="WUM24" s="240"/>
      <c r="WUX24" s="239"/>
      <c r="WUY24" s="239"/>
      <c r="WUZ24" s="240"/>
      <c r="WVA24" s="240"/>
      <c r="WVB24" s="240"/>
      <c r="WVM24" s="239"/>
      <c r="WVN24" s="239"/>
      <c r="WVO24" s="240"/>
      <c r="WVP24" s="240"/>
      <c r="WVQ24" s="240"/>
      <c r="WWB24" s="239"/>
      <c r="WWC24" s="239"/>
      <c r="WWD24" s="240"/>
      <c r="WWE24" s="240"/>
      <c r="WWF24" s="240"/>
      <c r="WWQ24" s="239"/>
      <c r="WWR24" s="239"/>
      <c r="WWS24" s="240"/>
      <c r="WWT24" s="240"/>
      <c r="WWU24" s="240"/>
      <c r="WXF24" s="239"/>
      <c r="WXG24" s="239"/>
      <c r="WXH24" s="240"/>
      <c r="WXI24" s="240"/>
      <c r="WXJ24" s="240"/>
      <c r="WXU24" s="239"/>
      <c r="WXV24" s="239"/>
      <c r="WXW24" s="240"/>
      <c r="WXX24" s="240"/>
      <c r="WXY24" s="240"/>
      <c r="WYJ24" s="239"/>
      <c r="WYK24" s="239"/>
      <c r="WYL24" s="240"/>
      <c r="WYM24" s="240"/>
      <c r="WYN24" s="240"/>
      <c r="WYY24" s="239"/>
      <c r="WYZ24" s="239"/>
      <c r="WZA24" s="240"/>
      <c r="WZB24" s="240"/>
      <c r="WZC24" s="240"/>
      <c r="WZN24" s="239"/>
      <c r="WZO24" s="239"/>
      <c r="WZP24" s="240"/>
      <c r="WZQ24" s="240"/>
      <c r="WZR24" s="240"/>
      <c r="XAC24" s="239"/>
      <c r="XAD24" s="239"/>
      <c r="XAE24" s="240"/>
      <c r="XAF24" s="240"/>
      <c r="XAG24" s="240"/>
      <c r="XAR24" s="239"/>
      <c r="XAS24" s="239"/>
      <c r="XAT24" s="240"/>
      <c r="XAU24" s="240"/>
      <c r="XAV24" s="240"/>
      <c r="XBG24" s="239"/>
      <c r="XBH24" s="239"/>
      <c r="XBI24" s="240"/>
      <c r="XBJ24" s="240"/>
      <c r="XBK24" s="240"/>
      <c r="XBV24" s="239"/>
      <c r="XBW24" s="239"/>
      <c r="XBX24" s="240"/>
      <c r="XBY24" s="240"/>
      <c r="XBZ24" s="240"/>
      <c r="XCK24" s="239"/>
      <c r="XCL24" s="239"/>
      <c r="XCM24" s="240"/>
      <c r="XCN24" s="240"/>
      <c r="XCO24" s="240"/>
      <c r="XCZ24" s="239"/>
      <c r="XDA24" s="239"/>
      <c r="XDB24" s="240"/>
      <c r="XDC24" s="240"/>
      <c r="XDD24" s="240"/>
      <c r="XDO24" s="239"/>
      <c r="XDP24" s="239"/>
      <c r="XDQ24" s="240"/>
      <c r="XDR24" s="240"/>
      <c r="XDS24" s="240"/>
      <c r="XED24" s="239"/>
      <c r="XEE24" s="239"/>
      <c r="XEF24" s="240"/>
      <c r="XEG24" s="240"/>
      <c r="XEH24" s="240"/>
      <c r="XES24" s="239"/>
      <c r="XET24" s="239"/>
      <c r="XEU24" s="240"/>
      <c r="XEV24" s="240"/>
      <c r="XEW24" s="240"/>
    </row>
    <row r="25" spans="1:1017 1028:3072 3083:4092 4103:5112 5123:7167 7178:8187 8198:9207 9218:11262 11273:12282 12293:13302 13313:15357 15368:16377" s="235" customFormat="1" ht="20.25" x14ac:dyDescent="0.3">
      <c r="A25" s="252" t="s">
        <v>101</v>
      </c>
      <c r="B25" s="252" t="s">
        <v>64</v>
      </c>
      <c r="C25" s="265" t="s">
        <v>31</v>
      </c>
      <c r="D25" s="254">
        <v>8000</v>
      </c>
      <c r="E25" s="255">
        <v>30</v>
      </c>
      <c r="F25" s="256">
        <v>0</v>
      </c>
      <c r="G25" s="257">
        <f>Table352[[#This Row],[Basic Salary]]/Table352[[#This Row],[Days]]</f>
        <v>266.66666666666669</v>
      </c>
      <c r="H25" s="258">
        <v>0</v>
      </c>
      <c r="I25" s="256">
        <v>0</v>
      </c>
      <c r="J25" s="259">
        <f>Table352[[#This Row],[Late Deduction]]+Table352[[#This Row],[Absence Days]]+Table352[[#This Row],[warning]]</f>
        <v>0</v>
      </c>
      <c r="K25" s="256">
        <v>0</v>
      </c>
      <c r="L25" s="258">
        <v>0</v>
      </c>
      <c r="M25" s="258">
        <f>Table352[[#This Row],[Total Cuts ]]*Table352[[#This Row],[Day Value]]</f>
        <v>0</v>
      </c>
      <c r="N25" s="260">
        <f>Table352[[#This Row],[Basic Salary]]-(Table352[[#This Row],[Total cuts Cash]]+Table352[[#This Row],[Loan]])+Table352[[#This Row],[extra from last month]]</f>
        <v>8000</v>
      </c>
      <c r="O25" s="256"/>
      <c r="P25" s="261"/>
    </row>
    <row r="26" spans="1:1017 1028:3072 3083:4092 4103:5112 5123:7167 7178:8187 8198:9207 9218:11262 11273:12282 12293:13302 13313:15357 15368:16377" s="235" customFormat="1" ht="20.25" x14ac:dyDescent="0.3">
      <c r="A26" s="252" t="s">
        <v>102</v>
      </c>
      <c r="B26" s="252" t="s">
        <v>64</v>
      </c>
      <c r="C26" s="253" t="s">
        <v>98</v>
      </c>
      <c r="D26" s="254">
        <v>7000</v>
      </c>
      <c r="E26" s="255">
        <v>30</v>
      </c>
      <c r="F26" s="256">
        <v>0</v>
      </c>
      <c r="G26" s="257">
        <f>Table352[[#This Row],[Basic Salary]]/Table352[[#This Row],[Days]]</f>
        <v>233.33333333333334</v>
      </c>
      <c r="H26" s="258">
        <v>0</v>
      </c>
      <c r="I26" s="256">
        <v>0</v>
      </c>
      <c r="J26" s="259">
        <f>Table352[[#This Row],[Late Deduction]]+Table352[[#This Row],[Absence Days]]+Table352[[#This Row],[warning]]</f>
        <v>0</v>
      </c>
      <c r="K26" s="256">
        <v>0</v>
      </c>
      <c r="L26" s="258">
        <v>0</v>
      </c>
      <c r="M26" s="258">
        <f>Table352[[#This Row],[Total Cuts ]]*Table352[[#This Row],[Day Value]]</f>
        <v>0</v>
      </c>
      <c r="N26" s="260">
        <f>Table352[[#This Row],[Basic Salary]]-(Table352[[#This Row],[Total cuts Cash]]+Table352[[#This Row],[Loan]])+Table352[[#This Row],[extra from last month]]</f>
        <v>7000</v>
      </c>
      <c r="O26" s="256"/>
      <c r="P26" s="261"/>
    </row>
    <row r="27" spans="1:1017 1028:3072 3083:4092 4103:5112 5123:7167 7178:8187 8198:9207 9218:11262 11273:12282 12293:13302 13313:15357 15368:16377" s="235" customFormat="1" ht="20.25" x14ac:dyDescent="0.3">
      <c r="A27" s="252" t="s">
        <v>101</v>
      </c>
      <c r="B27" s="252" t="s">
        <v>64</v>
      </c>
      <c r="C27" s="265" t="s">
        <v>19</v>
      </c>
      <c r="D27" s="254">
        <v>8000</v>
      </c>
      <c r="E27" s="255">
        <v>30</v>
      </c>
      <c r="F27" s="256">
        <v>0</v>
      </c>
      <c r="G27" s="257">
        <f>Table352[[#This Row],[Basic Salary]]/Table352[[#This Row],[Days]]</f>
        <v>266.66666666666669</v>
      </c>
      <c r="H27" s="258">
        <v>0</v>
      </c>
      <c r="I27" s="256">
        <v>1.75</v>
      </c>
      <c r="J27" s="259">
        <f>Table352[[#This Row],[Late Deduction]]+Table352[[#This Row],[Absence Days]]+Table352[[#This Row],[warning]]</f>
        <v>1.75</v>
      </c>
      <c r="K27" s="256">
        <v>0</v>
      </c>
      <c r="L27" s="258">
        <v>0</v>
      </c>
      <c r="M27" s="258">
        <f>Table352[[#This Row],[Total Cuts ]]*Table352[[#This Row],[Day Value]]</f>
        <v>466.66666666666669</v>
      </c>
      <c r="N27" s="260">
        <f>Table352[[#This Row],[Basic Salary]]-(Table352[[#This Row],[Total cuts Cash]]+Table352[[#This Row],[Loan]])+Table352[[#This Row],[extra from last month]]</f>
        <v>7533.333333333333</v>
      </c>
      <c r="O27" s="256"/>
      <c r="P27" s="261" t="s">
        <v>948</v>
      </c>
    </row>
    <row r="28" spans="1:1017 1028:3072 3083:4092 4103:5112 5123:7167 7178:8187 8198:9207 9218:11262 11273:12282 12293:13302 13313:15357 15368:16377" s="235" customFormat="1" ht="20.25" x14ac:dyDescent="0.3">
      <c r="A28" s="252" t="s">
        <v>102</v>
      </c>
      <c r="B28" s="252" t="s">
        <v>64</v>
      </c>
      <c r="C28" s="265" t="s">
        <v>26</v>
      </c>
      <c r="D28" s="254">
        <v>7000</v>
      </c>
      <c r="E28" s="255">
        <v>30</v>
      </c>
      <c r="F28" s="256">
        <v>0</v>
      </c>
      <c r="G28" s="257">
        <f>Table352[[#This Row],[Basic Salary]]/Table352[[#This Row],[Days]]</f>
        <v>233.33333333333334</v>
      </c>
      <c r="H28" s="258">
        <v>0</v>
      </c>
      <c r="I28" s="256">
        <v>0</v>
      </c>
      <c r="J28" s="259">
        <f>Table352[[#This Row],[Late Deduction]]+Table352[[#This Row],[Absence Days]]+Table352[[#This Row],[warning]]</f>
        <v>0</v>
      </c>
      <c r="K28" s="256">
        <v>0</v>
      </c>
      <c r="L28" s="258">
        <v>0</v>
      </c>
      <c r="M28" s="258">
        <f>Table352[[#This Row],[Total Cuts ]]*Table352[[#This Row],[Day Value]]</f>
        <v>0</v>
      </c>
      <c r="N28" s="260">
        <f>Table352[[#This Row],[Basic Salary]]-(Table352[[#This Row],[Total cuts Cash]]+Table352[[#This Row],[Loan]])+Table352[[#This Row],[extra from last month]]</f>
        <v>7000</v>
      </c>
      <c r="O28" s="256"/>
      <c r="P28" s="261"/>
    </row>
    <row r="29" spans="1:1017 1028:3072 3083:4092 4103:5112 5123:7167 7178:8187 8198:9207 9218:11262 11273:12282 12293:13302 13313:15357 15368:16377" s="235" customFormat="1" ht="20.25" x14ac:dyDescent="0.3">
      <c r="A29" s="252" t="s">
        <v>102</v>
      </c>
      <c r="B29" s="252" t="s">
        <v>64</v>
      </c>
      <c r="C29" s="265" t="s">
        <v>40</v>
      </c>
      <c r="D29" s="254">
        <v>20000</v>
      </c>
      <c r="E29" s="255">
        <v>30</v>
      </c>
      <c r="F29" s="256">
        <v>1</v>
      </c>
      <c r="G29" s="257">
        <f>Table352[[#This Row],[Basic Salary]]/Table352[[#This Row],[Days]]</f>
        <v>666.66666666666663</v>
      </c>
      <c r="H29" s="258">
        <v>0</v>
      </c>
      <c r="I29" s="256">
        <v>1.25</v>
      </c>
      <c r="J29" s="259">
        <f>Table352[[#This Row],[Late Deduction]]+Table352[[#This Row],[Absence Days]]+Table352[[#This Row],[warning]]</f>
        <v>2.25</v>
      </c>
      <c r="K29" s="256">
        <v>0</v>
      </c>
      <c r="L29" s="258">
        <v>0</v>
      </c>
      <c r="M29" s="258">
        <f>Table352[[#This Row],[Total Cuts ]]*Table352[[#This Row],[Day Value]]</f>
        <v>1500</v>
      </c>
      <c r="N29" s="260">
        <f>Table352[[#This Row],[Basic Salary]]-(Table352[[#This Row],[Total cuts Cash]]+Table352[[#This Row],[Loan]])+Table352[[#This Row],[extra from last month]]</f>
        <v>18500</v>
      </c>
      <c r="O29" s="256"/>
      <c r="P29" s="261"/>
    </row>
    <row r="30" spans="1:1017 1028:3072 3083:4092 4103:5112 5123:7167 7178:8187 8198:9207 9218:11262 11273:12282 12293:13302 13313:15357 15368:16377" s="235" customFormat="1" ht="20.25" x14ac:dyDescent="0.3">
      <c r="A30" s="252" t="s">
        <v>101</v>
      </c>
      <c r="B30" s="252" t="s">
        <v>64</v>
      </c>
      <c r="C30" s="265" t="s">
        <v>24</v>
      </c>
      <c r="D30" s="254">
        <v>18000</v>
      </c>
      <c r="E30" s="255">
        <v>30</v>
      </c>
      <c r="F30" s="256">
        <v>0</v>
      </c>
      <c r="G30" s="257">
        <f>Table352[[#This Row],[Basic Salary]]/Table352[[#This Row],[Days]]</f>
        <v>600</v>
      </c>
      <c r="H30" s="258">
        <v>0</v>
      </c>
      <c r="I30" s="256">
        <f>FPs!BB1</f>
        <v>7</v>
      </c>
      <c r="J30" s="259">
        <f>Table352[[#This Row],[Late Deduction]]+Table352[[#This Row],[Absence Days]]+Table352[[#This Row],[warning]]</f>
        <v>7</v>
      </c>
      <c r="K30" s="256">
        <v>0</v>
      </c>
      <c r="L30" s="258">
        <v>5000</v>
      </c>
      <c r="M30" s="258">
        <f>Table352[[#This Row],[Total Cuts ]]*Table352[[#This Row],[Day Value]]</f>
        <v>4200</v>
      </c>
      <c r="N30" s="260">
        <f>Table352[[#This Row],[Basic Salary]]-(Table352[[#This Row],[Total cuts Cash]]+Table352[[#This Row],[Loan]])+Table352[[#This Row],[extra from last month]]</f>
        <v>8800</v>
      </c>
      <c r="O30" s="256"/>
      <c r="P30" s="261"/>
    </row>
    <row r="31" spans="1:1017 1028:3072 3083:4092 4103:5112 5123:7167 7178:8187 8198:9207 9218:11262 11273:12282 12293:13302 13313:15357 15368:16377" s="235" customFormat="1" ht="20.25" x14ac:dyDescent="0.3">
      <c r="A31" s="252" t="s">
        <v>101</v>
      </c>
      <c r="B31" s="252" t="s">
        <v>64</v>
      </c>
      <c r="C31" s="265" t="s">
        <v>38</v>
      </c>
      <c r="D31" s="254">
        <v>7000</v>
      </c>
      <c r="E31" s="255">
        <v>30</v>
      </c>
      <c r="F31" s="256">
        <v>0</v>
      </c>
      <c r="G31" s="257">
        <f>Table352[[#This Row],[Basic Salary]]/Table352[[#This Row],[Days]]</f>
        <v>233.33333333333334</v>
      </c>
      <c r="H31" s="258">
        <v>0</v>
      </c>
      <c r="I31" s="256">
        <v>1.25</v>
      </c>
      <c r="J31" s="259">
        <f>Table352[[#This Row],[Late Deduction]]+Table352[[#This Row],[Absence Days]]+Table352[[#This Row],[warning]]</f>
        <v>1.25</v>
      </c>
      <c r="K31" s="256">
        <v>0</v>
      </c>
      <c r="L31" s="258">
        <v>0</v>
      </c>
      <c r="M31" s="258">
        <f>Table352[[#This Row],[Total Cuts ]]*Table352[[#This Row],[Day Value]]</f>
        <v>291.66666666666669</v>
      </c>
      <c r="N31" s="260">
        <f>Table352[[#This Row],[Basic Salary]]-(Table352[[#This Row],[Total cuts Cash]]+Table352[[#This Row],[Loan]])+Table352[[#This Row],[extra from last month]]</f>
        <v>6708.333333333333</v>
      </c>
      <c r="O31" s="256"/>
      <c r="P31" s="261"/>
    </row>
    <row r="32" spans="1:1017 1028:3072 3083:4092 4103:5112 5123:7167 7178:8187 8198:9207 9218:11262 11273:12282 12293:13302 13313:15357 15368:16377" s="235" customFormat="1" ht="20.25" x14ac:dyDescent="0.3">
      <c r="A32" s="252" t="s">
        <v>101</v>
      </c>
      <c r="B32" s="252" t="s">
        <v>64</v>
      </c>
      <c r="C32" s="265" t="s">
        <v>30</v>
      </c>
      <c r="D32" s="254">
        <v>12000</v>
      </c>
      <c r="E32" s="255">
        <v>30</v>
      </c>
      <c r="F32" s="256">
        <v>0</v>
      </c>
      <c r="G32" s="257">
        <f>Table352[[#This Row],[Basic Salary]]/Table352[[#This Row],[Days]]</f>
        <v>400</v>
      </c>
      <c r="H32" s="258">
        <v>0</v>
      </c>
      <c r="I32" s="256">
        <v>3.5</v>
      </c>
      <c r="J32" s="259">
        <f>Table352[[#This Row],[Late Deduction]]+Table352[[#This Row],[Absence Days]]+Table352[[#This Row],[warning]]</f>
        <v>3.5</v>
      </c>
      <c r="K32" s="256">
        <v>0</v>
      </c>
      <c r="L32" s="258">
        <v>5000</v>
      </c>
      <c r="M32" s="258">
        <f>Table352[[#This Row],[Total Cuts ]]*Table352[[#This Row],[Day Value]]</f>
        <v>1400</v>
      </c>
      <c r="N32" s="260">
        <f>Table352[[#This Row],[Basic Salary]]-(Table352[[#This Row],[Total cuts Cash]]+Table352[[#This Row],[Loan]])+Table352[[#This Row],[extra from last month]]</f>
        <v>5600</v>
      </c>
      <c r="O32" s="256"/>
      <c r="P32" s="261"/>
    </row>
    <row r="33" spans="1:16" s="235" customFormat="1" ht="60.75" x14ac:dyDescent="0.3">
      <c r="A33" s="252" t="s">
        <v>102</v>
      </c>
      <c r="B33" s="252" t="s">
        <v>64</v>
      </c>
      <c r="C33" s="253" t="s">
        <v>20</v>
      </c>
      <c r="D33" s="254">
        <v>40000</v>
      </c>
      <c r="E33" s="255">
        <v>30</v>
      </c>
      <c r="F33" s="256">
        <v>6</v>
      </c>
      <c r="G33" s="257">
        <f>Table352[[#This Row],[Basic Salary]]/Table352[[#This Row],[Days]]</f>
        <v>1333.3333333333333</v>
      </c>
      <c r="H33" s="258">
        <v>0</v>
      </c>
      <c r="I33" s="256">
        <f>FPs!BZ1</f>
        <v>7.25</v>
      </c>
      <c r="J33" s="259">
        <f>Table352[[#This Row],[Late Deduction]]+Table352[[#This Row],[Absence Days]]+Table352[[#This Row],[warning]]</f>
        <v>13.25</v>
      </c>
      <c r="K33" s="256">
        <v>0</v>
      </c>
      <c r="L33" s="258">
        <v>5000</v>
      </c>
      <c r="M33" s="258">
        <f>Table352[[#This Row],[Total Cuts ]]*Table352[[#This Row],[Day Value]]</f>
        <v>17666.666666666664</v>
      </c>
      <c r="N33" s="260">
        <f>Table352[[#This Row],[Basic Salary]]-(Table352[[#This Row],[Total cuts Cash]]+Table352[[#This Row],[Loan]])+Table352[[#This Row],[extra from last month]]</f>
        <v>17333.333333333336</v>
      </c>
      <c r="O33" s="256"/>
      <c r="P33" s="261" t="s">
        <v>966</v>
      </c>
    </row>
    <row r="34" spans="1:16" s="235" customFormat="1" ht="20.25" x14ac:dyDescent="0.3">
      <c r="A34" s="252" t="s">
        <v>101</v>
      </c>
      <c r="B34" s="252" t="s">
        <v>64</v>
      </c>
      <c r="C34" s="253" t="s">
        <v>23</v>
      </c>
      <c r="D34" s="254">
        <v>12000</v>
      </c>
      <c r="E34" s="255">
        <v>30</v>
      </c>
      <c r="F34" s="256">
        <v>2</v>
      </c>
      <c r="G34" s="257">
        <f>Table352[[#This Row],[Basic Salary]]/Table352[[#This Row],[Days]]</f>
        <v>400</v>
      </c>
      <c r="H34" s="258">
        <v>0</v>
      </c>
      <c r="I34" s="256">
        <f>FPs!BF1</f>
        <v>0</v>
      </c>
      <c r="J34" s="259">
        <f>Table352[[#This Row],[Late Deduction]]+Table352[[#This Row],[Absence Days]]+Table352[[#This Row],[warning]]</f>
        <v>2</v>
      </c>
      <c r="K34" s="256">
        <v>0</v>
      </c>
      <c r="L34" s="258">
        <v>0</v>
      </c>
      <c r="M34" s="258">
        <f>Table352[[#This Row],[Total Cuts ]]*Table352[[#This Row],[Day Value]]</f>
        <v>800</v>
      </c>
      <c r="N34" s="260">
        <f>Table352[[#This Row],[Basic Salary]]-(Table352[[#This Row],[Total cuts Cash]]+Table352[[#This Row],[Loan]])+Table352[[#This Row],[extra from last month]]</f>
        <v>11200</v>
      </c>
      <c r="O34" s="256"/>
      <c r="P34" s="261"/>
    </row>
    <row r="35" spans="1:16" s="235" customFormat="1" ht="20.25" x14ac:dyDescent="0.3">
      <c r="A35" s="252" t="s">
        <v>101</v>
      </c>
      <c r="B35" s="252" t="s">
        <v>64</v>
      </c>
      <c r="C35" s="253" t="s">
        <v>21</v>
      </c>
      <c r="D35" s="254">
        <v>12000</v>
      </c>
      <c r="E35" s="255">
        <v>30</v>
      </c>
      <c r="F35" s="256">
        <v>0</v>
      </c>
      <c r="G35" s="257">
        <f>Table352[[#This Row],[Basic Salary]]/Table352[[#This Row],[Days]]</f>
        <v>400</v>
      </c>
      <c r="H35" s="258">
        <v>0</v>
      </c>
      <c r="I35" s="256">
        <v>0</v>
      </c>
      <c r="J35" s="259">
        <f>Table352[[#This Row],[Late Deduction]]+Table352[[#This Row],[Absence Days]]+Table352[[#This Row],[warning]]</f>
        <v>0</v>
      </c>
      <c r="K35" s="256">
        <v>0</v>
      </c>
      <c r="L35" s="258">
        <v>0</v>
      </c>
      <c r="M35" s="258">
        <f>Table352[[#This Row],[Total Cuts ]]*Table352[[#This Row],[Day Value]]</f>
        <v>0</v>
      </c>
      <c r="N35" s="260">
        <f>Table352[[#This Row],[Basic Salary]]-(Table352[[#This Row],[Total cuts Cash]]+Table352[[#This Row],[Loan]])+Table352[[#This Row],[extra from last month]]</f>
        <v>12000</v>
      </c>
      <c r="O35" s="256"/>
      <c r="P35" s="261" t="s">
        <v>100</v>
      </c>
    </row>
    <row r="36" spans="1:16" s="235" customFormat="1" ht="20.25" x14ac:dyDescent="0.3">
      <c r="A36" s="252" t="s">
        <v>101</v>
      </c>
      <c r="B36" s="252" t="s">
        <v>64</v>
      </c>
      <c r="C36" s="265" t="s">
        <v>22</v>
      </c>
      <c r="D36" s="254">
        <v>15000</v>
      </c>
      <c r="E36" s="255">
        <v>30</v>
      </c>
      <c r="F36" s="256">
        <v>0</v>
      </c>
      <c r="G36" s="257">
        <f>Table352[[#This Row],[Basic Salary]]/Table352[[#This Row],[Days]]</f>
        <v>500</v>
      </c>
      <c r="H36" s="258">
        <v>0</v>
      </c>
      <c r="I36" s="256">
        <v>0</v>
      </c>
      <c r="J36" s="259">
        <f>Table352[[#This Row],[Late Deduction]]+Table352[[#This Row],[Absence Days]]+Table352[[#This Row],[warning]]</f>
        <v>0</v>
      </c>
      <c r="K36" s="256">
        <v>0</v>
      </c>
      <c r="L36" s="258">
        <v>0</v>
      </c>
      <c r="M36" s="258">
        <f>Table352[[#This Row],[Total Cuts ]]*Table352[[#This Row],[Day Value]]</f>
        <v>0</v>
      </c>
      <c r="N36" s="260">
        <f>Table352[[#This Row],[Basic Salary]]-(Table352[[#This Row],[Total cuts Cash]]+Table352[[#This Row],[Loan]])+Table352[[#This Row],[extra from last month]]</f>
        <v>15000</v>
      </c>
      <c r="O36" s="256"/>
      <c r="P36" s="261"/>
    </row>
    <row r="37" spans="1:16" s="235" customFormat="1" ht="20.25" x14ac:dyDescent="0.3">
      <c r="A37" s="252" t="s">
        <v>102</v>
      </c>
      <c r="B37" s="252" t="s">
        <v>60</v>
      </c>
      <c r="C37" s="265" t="s">
        <v>918</v>
      </c>
      <c r="D37" s="254">
        <v>7000</v>
      </c>
      <c r="E37" s="255">
        <v>30</v>
      </c>
      <c r="F37" s="256">
        <v>0</v>
      </c>
      <c r="G37" s="257">
        <f>Table352[[#This Row],[Basic Salary]]/Table352[[#This Row],[Days]]</f>
        <v>233.33333333333334</v>
      </c>
      <c r="H37" s="264"/>
      <c r="I37" s="256">
        <v>0</v>
      </c>
      <c r="J37" s="259">
        <f>Table352[[#This Row],[Late Deduction]]+Table352[[#This Row],[Absence Days]]+Table352[[#This Row],[warning]]</f>
        <v>0</v>
      </c>
      <c r="K37" s="256"/>
      <c r="L37" s="258">
        <v>0</v>
      </c>
      <c r="M37" s="258">
        <f>Table352[[#This Row],[Total Cuts ]]*Table352[[#This Row],[Day Value]]</f>
        <v>0</v>
      </c>
      <c r="N37" s="260">
        <f>Table352[[#This Row],[Basic Salary]]-(Table352[[#This Row],[Total cuts Cash]]+Table352[[#This Row],[Loan]])+Table352[[#This Row],[extra from last month]]</f>
        <v>7000</v>
      </c>
      <c r="O37" s="256"/>
      <c r="P37" s="269"/>
    </row>
    <row r="38" spans="1:16" s="235" customFormat="1" ht="20.25" x14ac:dyDescent="0.3">
      <c r="A38" s="252" t="s">
        <v>101</v>
      </c>
      <c r="B38" s="270" t="s">
        <v>64</v>
      </c>
      <c r="C38" s="271" t="s">
        <v>37</v>
      </c>
      <c r="D38" s="272">
        <v>15000</v>
      </c>
      <c r="E38" s="273">
        <v>30</v>
      </c>
      <c r="F38" s="274">
        <v>0</v>
      </c>
      <c r="G38" s="257">
        <f>Table352[[#This Row],[Basic Salary]]/Table352[[#This Row],[Days]]</f>
        <v>500</v>
      </c>
      <c r="H38" s="275"/>
      <c r="I38" s="274">
        <v>3</v>
      </c>
      <c r="J38" s="276">
        <f>Table352[[#This Row],[Late Deduction]]+Table352[[#This Row],[Absence Days]]+Table352[[#This Row],[warning]]</f>
        <v>3</v>
      </c>
      <c r="K38" s="274">
        <v>0</v>
      </c>
      <c r="L38" s="258">
        <v>0</v>
      </c>
      <c r="M38" s="275">
        <f>Table352[[#This Row],[Total Cuts ]]*Table352[[#This Row],[Day Value]]</f>
        <v>1500</v>
      </c>
      <c r="N38" s="277">
        <f>Table352[[#This Row],[Basic Salary]]-(Table352[[#This Row],[Total cuts Cash]]+Table352[[#This Row],[Loan]])+Table352[[#This Row],[extra from last month]]</f>
        <v>13500</v>
      </c>
      <c r="O38" s="274"/>
      <c r="P38" s="278"/>
    </row>
    <row r="39" spans="1:16" s="235" customFormat="1" ht="40.5" x14ac:dyDescent="0.3">
      <c r="A39" s="252" t="s">
        <v>101</v>
      </c>
      <c r="B39" s="252" t="s">
        <v>64</v>
      </c>
      <c r="C39" s="265" t="s">
        <v>51</v>
      </c>
      <c r="D39" s="254">
        <v>20000</v>
      </c>
      <c r="E39" s="256">
        <v>30</v>
      </c>
      <c r="F39" s="256">
        <v>6</v>
      </c>
      <c r="G39" s="257">
        <f>Table352[[#This Row],[Basic Salary]]/Table352[[#This Row],[Days]]</f>
        <v>666.66666666666663</v>
      </c>
      <c r="H39" s="258">
        <v>0</v>
      </c>
      <c r="I39" s="274">
        <f>FPs!CM1</f>
        <v>2.75</v>
      </c>
      <c r="J39" s="279">
        <f>Table352[[#This Row],[Late Deduction]]+Table352[[#This Row],[Absence Days]]+Table352[[#This Row],[warning]]</f>
        <v>8.75</v>
      </c>
      <c r="K39" s="256">
        <v>2000</v>
      </c>
      <c r="L39" s="258">
        <v>0</v>
      </c>
      <c r="M39" s="262">
        <f>Table352[[#This Row],[Total Cuts ]]*Table352[[#This Row],[Day Value]]</f>
        <v>5833.333333333333</v>
      </c>
      <c r="N39" s="260">
        <f>Table352[[#This Row],[Basic Salary]]-(Table352[[#This Row],[Total cuts Cash]]+Table352[[#This Row],[Loan]])+Table352[[#This Row],[extra from last month]]</f>
        <v>16166.666666666668</v>
      </c>
      <c r="O39" s="255"/>
      <c r="P39" s="269" t="s">
        <v>109</v>
      </c>
    </row>
    <row r="40" spans="1:16" s="235" customFormat="1" ht="20.25" x14ac:dyDescent="0.3">
      <c r="A40" s="252" t="s">
        <v>102</v>
      </c>
      <c r="B40" s="252" t="s">
        <v>64</v>
      </c>
      <c r="C40" s="265" t="s">
        <v>979</v>
      </c>
      <c r="D40" s="254">
        <v>7000</v>
      </c>
      <c r="E40" s="256">
        <v>30</v>
      </c>
      <c r="F40" s="256">
        <v>0</v>
      </c>
      <c r="G40" s="257">
        <f>Table352[[#This Row],[Basic Salary]]/Table352[[#This Row],[Days]]</f>
        <v>233.33333333333334</v>
      </c>
      <c r="H40" s="258">
        <v>0</v>
      </c>
      <c r="I40" s="274">
        <v>0</v>
      </c>
      <c r="J40" s="279">
        <f>Table352[[#This Row],[Late Deduction]]+Table352[[#This Row],[Absence Days]]+Table352[[#This Row],[warning]]</f>
        <v>0</v>
      </c>
      <c r="K40" s="256">
        <v>0</v>
      </c>
      <c r="L40" s="258">
        <v>0</v>
      </c>
      <c r="M40" s="262">
        <f>Table352[[#This Row],[Total Cuts ]]*Table352[[#This Row],[Day Value]]</f>
        <v>0</v>
      </c>
      <c r="N40" s="260">
        <f>Table352[[#This Row],[Basic Salary]]-(Table352[[#This Row],[Total cuts Cash]]+Table352[[#This Row],[Loan]])+Table352[[#This Row],[extra from last month]]</f>
        <v>7000</v>
      </c>
      <c r="O40" s="255"/>
      <c r="P40" s="269"/>
    </row>
    <row r="41" spans="1:16" s="235" customFormat="1" ht="20.25" x14ac:dyDescent="0.3">
      <c r="A41" s="252" t="s">
        <v>101</v>
      </c>
      <c r="B41" s="252" t="s">
        <v>64</v>
      </c>
      <c r="C41" s="265" t="s">
        <v>52</v>
      </c>
      <c r="D41" s="254">
        <v>9000</v>
      </c>
      <c r="E41" s="256">
        <v>30</v>
      </c>
      <c r="F41" s="256">
        <v>1</v>
      </c>
      <c r="G41" s="257">
        <f>Table352[[#This Row],[Basic Salary]]/Table352[[#This Row],[Days]]</f>
        <v>300</v>
      </c>
      <c r="H41" s="258">
        <v>0</v>
      </c>
      <c r="I41" s="256">
        <v>1.5</v>
      </c>
      <c r="J41" s="279">
        <f>Table352[[#This Row],[Late Deduction]]+Table352[[#This Row],[Absence Days]]+Table352[[#This Row],[warning]]</f>
        <v>2.5</v>
      </c>
      <c r="K41" s="256">
        <v>0</v>
      </c>
      <c r="L41" s="258">
        <v>0</v>
      </c>
      <c r="M41" s="258">
        <f>Table352[[#This Row],[Total Cuts ]]*Table352[[#This Row],[Day Value]]</f>
        <v>750</v>
      </c>
      <c r="N41" s="260">
        <f>Table352[[#This Row],[Basic Salary]]-(Table352[[#This Row],[Total cuts Cash]]+Table352[[#This Row],[Loan]])+Table352[[#This Row],[extra from last month]]</f>
        <v>8250</v>
      </c>
      <c r="O41" s="256"/>
      <c r="P41" s="280"/>
    </row>
    <row r="42" spans="1:16" s="228" customFormat="1" ht="20.25" x14ac:dyDescent="0.3">
      <c r="A42" s="281"/>
      <c r="B42" s="281"/>
      <c r="C42" s="282"/>
      <c r="D42" s="283"/>
      <c r="E42" s="284"/>
      <c r="F42" s="284"/>
      <c r="G42" s="285"/>
      <c r="H42" s="284"/>
      <c r="I42" s="286"/>
      <c r="J42" s="287"/>
      <c r="K42" s="288"/>
      <c r="L42" s="289"/>
      <c r="M42" s="290"/>
      <c r="N42" s="291">
        <f>SUBTOTAL(109,Table352[Net])</f>
        <v>437664.66666666663</v>
      </c>
      <c r="O42" s="292"/>
      <c r="P42" s="293"/>
    </row>
  </sheetData>
  <mergeCells count="1">
    <mergeCell ref="C1:K1"/>
  </mergeCells>
  <conditionalFormatting sqref="C3:C30">
    <cfRule type="duplicateValues" dxfId="45" priority="9"/>
    <cfRule type="duplicateValues" dxfId="44" priority="10"/>
    <cfRule type="duplicateValues" dxfId="43" priority="11"/>
    <cfRule type="duplicateValues" dxfId="42" priority="12"/>
    <cfRule type="duplicateValues" dxfId="41" priority="13"/>
  </conditionalFormatting>
  <conditionalFormatting sqref="C3:C32">
    <cfRule type="duplicateValues" dxfId="40" priority="14"/>
    <cfRule type="duplicateValues" dxfId="39" priority="15"/>
  </conditionalFormatting>
  <conditionalFormatting sqref="C31:C32 C3:C7">
    <cfRule type="duplicateValues" dxfId="38" priority="8"/>
  </conditionalFormatting>
  <conditionalFormatting sqref="C41 C33:C38">
    <cfRule type="duplicateValues" dxfId="37" priority="1"/>
    <cfRule type="duplicateValues" dxfId="36" priority="2"/>
    <cfRule type="duplicateValues" dxfId="35" priority="3"/>
    <cfRule type="duplicateValues" dxfId="34" priority="4"/>
    <cfRule type="duplicateValues" dxfId="33" priority="5"/>
    <cfRule type="duplicateValues" dxfId="32" priority="6"/>
    <cfRule type="duplicateValues" dxfId="31" priority="7"/>
  </conditionalFormatting>
  <pageMargins left="0.7" right="0.7" top="0.75" bottom="0.75" header="0.3" footer="0.3"/>
  <pageSetup scale="41" orientation="landscape" horizontalDpi="360" verticalDpi="360" r:id="rId1"/>
  <colBreaks count="1" manualBreakCount="1">
    <brk id="16" max="1048575" man="1"/>
  </colBreak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92D54-3940-4188-8516-1CBB526998B5}">
  <sheetPr>
    <pageSetUpPr fitToPage="1"/>
  </sheetPr>
  <dimension ref="A1:N8"/>
  <sheetViews>
    <sheetView view="pageBreakPreview" zoomScale="60" zoomScaleNormal="75" workbookViewId="0">
      <selection activeCell="L9" sqref="L9"/>
    </sheetView>
  </sheetViews>
  <sheetFormatPr defaultColWidth="8.7109375" defaultRowHeight="33.75" x14ac:dyDescent="0.5"/>
  <cols>
    <col min="1" max="1" width="8.7109375" style="222"/>
    <col min="2" max="2" width="16.7109375" style="222" bestFit="1" customWidth="1"/>
    <col min="3" max="3" width="79.28515625" style="222" bestFit="1" customWidth="1"/>
    <col min="4" max="4" width="41.5703125" style="222" bestFit="1" customWidth="1"/>
    <col min="5" max="5" width="14" style="222" bestFit="1" customWidth="1"/>
    <col min="6" max="6" width="29.140625" style="222" bestFit="1" customWidth="1"/>
    <col min="7" max="7" width="20.7109375" style="222" hidden="1" customWidth="1"/>
    <col min="8" max="8" width="16.85546875" style="222" hidden="1" customWidth="1"/>
    <col min="9" max="9" width="30.85546875" style="222" bestFit="1" customWidth="1"/>
    <col min="10" max="10" width="22.5703125" style="222" bestFit="1" customWidth="1"/>
    <col min="11" max="11" width="34.42578125" style="222" hidden="1" customWidth="1"/>
    <col min="12" max="12" width="28.5703125" style="222" bestFit="1" customWidth="1"/>
    <col min="13" max="13" width="13.85546875" style="222" customWidth="1"/>
    <col min="14" max="14" width="111.85546875" style="222" customWidth="1"/>
    <col min="15" max="16384" width="8.7109375" style="222"/>
  </cols>
  <sheetData>
    <row r="1" spans="1:14" s="197" customFormat="1" x14ac:dyDescent="0.25">
      <c r="A1" s="191" t="s">
        <v>61</v>
      </c>
      <c r="B1" s="191" t="s">
        <v>61</v>
      </c>
      <c r="C1" s="192" t="s">
        <v>69</v>
      </c>
      <c r="D1" s="192" t="s">
        <v>2</v>
      </c>
      <c r="E1" s="193" t="s">
        <v>3</v>
      </c>
      <c r="F1" s="192" t="s">
        <v>4</v>
      </c>
      <c r="G1" s="193" t="s">
        <v>5</v>
      </c>
      <c r="H1" s="192" t="s">
        <v>6</v>
      </c>
      <c r="I1" s="192" t="s">
        <v>7</v>
      </c>
      <c r="J1" s="194" t="s">
        <v>8</v>
      </c>
      <c r="K1" s="195" t="s">
        <v>10</v>
      </c>
      <c r="L1" s="196" t="s">
        <v>11</v>
      </c>
      <c r="M1" s="191" t="s">
        <v>56</v>
      </c>
      <c r="N1" s="191" t="s">
        <v>12</v>
      </c>
    </row>
    <row r="2" spans="1:14" s="198" customFormat="1" x14ac:dyDescent="0.5">
      <c r="A2" s="198" t="s">
        <v>102</v>
      </c>
      <c r="B2" s="199" t="s">
        <v>64</v>
      </c>
      <c r="C2" s="200" t="s">
        <v>42</v>
      </c>
      <c r="D2" s="201">
        <v>10000</v>
      </c>
      <c r="E2" s="202">
        <v>30</v>
      </c>
      <c r="F2" s="203">
        <v>21</v>
      </c>
      <c r="G2" s="204">
        <f>D2/E2</f>
        <v>333.33333333333331</v>
      </c>
      <c r="H2" s="205">
        <v>0</v>
      </c>
      <c r="I2" s="203">
        <v>3.75</v>
      </c>
      <c r="J2" s="206">
        <f t="shared" ref="J2:J7" si="0">F2+H2+I2</f>
        <v>24.75</v>
      </c>
      <c r="K2" s="205">
        <f t="shared" ref="K2:K7" si="1">J2*G2</f>
        <v>8250</v>
      </c>
      <c r="L2" s="295">
        <f t="shared" ref="L2:L7" si="2">D2-K2</f>
        <v>1750</v>
      </c>
      <c r="M2" s="207">
        <v>9</v>
      </c>
      <c r="N2" s="208" t="s">
        <v>1011</v>
      </c>
    </row>
    <row r="3" spans="1:14" s="198" customFormat="1" ht="67.5" x14ac:dyDescent="0.5">
      <c r="A3" s="198" t="s">
        <v>102</v>
      </c>
      <c r="B3" s="199" t="s">
        <v>60</v>
      </c>
      <c r="C3" s="209" t="s">
        <v>53</v>
      </c>
      <c r="D3" s="201">
        <v>7000</v>
      </c>
      <c r="E3" s="202">
        <v>30</v>
      </c>
      <c r="F3" s="203">
        <v>26</v>
      </c>
      <c r="G3" s="204">
        <f t="shared" ref="G3:G7" si="3">D3/E3</f>
        <v>233.33333333333334</v>
      </c>
      <c r="H3" s="205">
        <v>0</v>
      </c>
      <c r="I3" s="203">
        <v>1.25</v>
      </c>
      <c r="J3" s="206">
        <f t="shared" si="0"/>
        <v>27.25</v>
      </c>
      <c r="K3" s="205">
        <f t="shared" si="1"/>
        <v>6358.3333333333339</v>
      </c>
      <c r="L3" s="295">
        <f t="shared" si="2"/>
        <v>641.66666666666606</v>
      </c>
      <c r="M3" s="207">
        <v>4</v>
      </c>
      <c r="N3" s="208" t="s">
        <v>1014</v>
      </c>
    </row>
    <row r="4" spans="1:14" s="198" customFormat="1" x14ac:dyDescent="0.5">
      <c r="A4" s="198" t="s">
        <v>101</v>
      </c>
      <c r="B4" s="199" t="s">
        <v>60</v>
      </c>
      <c r="C4" s="200" t="s">
        <v>1007</v>
      </c>
      <c r="D4" s="201">
        <v>18000</v>
      </c>
      <c r="E4" s="202">
        <v>30</v>
      </c>
      <c r="F4" s="203">
        <v>23</v>
      </c>
      <c r="G4" s="204">
        <f t="shared" si="3"/>
        <v>600</v>
      </c>
      <c r="H4" s="205">
        <v>0</v>
      </c>
      <c r="I4" s="203">
        <v>4</v>
      </c>
      <c r="J4" s="206">
        <f t="shared" si="0"/>
        <v>27</v>
      </c>
      <c r="K4" s="205">
        <f t="shared" si="1"/>
        <v>16200</v>
      </c>
      <c r="L4" s="295">
        <f t="shared" si="2"/>
        <v>1800</v>
      </c>
      <c r="M4" s="207">
        <v>7</v>
      </c>
      <c r="N4" s="208" t="s">
        <v>1012</v>
      </c>
    </row>
    <row r="5" spans="1:14" s="198" customFormat="1" x14ac:dyDescent="0.5">
      <c r="A5" s="198" t="s">
        <v>102</v>
      </c>
      <c r="B5" s="199" t="s">
        <v>60</v>
      </c>
      <c r="C5" s="209" t="s">
        <v>1008</v>
      </c>
      <c r="D5" s="201">
        <v>8000</v>
      </c>
      <c r="E5" s="202">
        <v>30</v>
      </c>
      <c r="F5" s="203">
        <v>23</v>
      </c>
      <c r="G5" s="204">
        <f t="shared" si="3"/>
        <v>266.66666666666669</v>
      </c>
      <c r="H5" s="205">
        <v>0</v>
      </c>
      <c r="I5" s="203">
        <v>1.25</v>
      </c>
      <c r="J5" s="206">
        <f t="shared" si="0"/>
        <v>24.25</v>
      </c>
      <c r="K5" s="205">
        <f t="shared" si="1"/>
        <v>6466.666666666667</v>
      </c>
      <c r="L5" s="295">
        <f t="shared" si="2"/>
        <v>1533.333333333333</v>
      </c>
      <c r="M5" s="207">
        <v>7</v>
      </c>
      <c r="N5" s="208" t="s">
        <v>1012</v>
      </c>
    </row>
    <row r="6" spans="1:14" s="198" customFormat="1" ht="31.5" customHeight="1" x14ac:dyDescent="0.5">
      <c r="A6" s="210" t="s">
        <v>102</v>
      </c>
      <c r="B6" s="211" t="s">
        <v>60</v>
      </c>
      <c r="C6" s="212" t="s">
        <v>1009</v>
      </c>
      <c r="D6" s="213">
        <v>8000</v>
      </c>
      <c r="E6" s="214">
        <v>30</v>
      </c>
      <c r="F6" s="215">
        <v>23</v>
      </c>
      <c r="G6" s="216">
        <f t="shared" si="3"/>
        <v>266.66666666666669</v>
      </c>
      <c r="H6" s="217">
        <v>0</v>
      </c>
      <c r="I6" s="215">
        <v>1</v>
      </c>
      <c r="J6" s="218">
        <f t="shared" si="0"/>
        <v>24</v>
      </c>
      <c r="K6" s="217">
        <f t="shared" si="1"/>
        <v>6400</v>
      </c>
      <c r="L6" s="296">
        <f t="shared" si="2"/>
        <v>1600</v>
      </c>
      <c r="M6" s="219">
        <v>7</v>
      </c>
      <c r="N6" s="220" t="s">
        <v>1015</v>
      </c>
    </row>
    <row r="7" spans="1:14" s="221" customFormat="1" x14ac:dyDescent="0.5">
      <c r="A7" s="221" t="s">
        <v>101</v>
      </c>
      <c r="B7" s="199" t="s">
        <v>60</v>
      </c>
      <c r="C7" s="209" t="s">
        <v>1010</v>
      </c>
      <c r="D7" s="201">
        <v>12000</v>
      </c>
      <c r="E7" s="202">
        <v>30</v>
      </c>
      <c r="F7" s="203">
        <v>23</v>
      </c>
      <c r="G7" s="204">
        <f t="shared" si="3"/>
        <v>400</v>
      </c>
      <c r="H7" s="205">
        <v>0</v>
      </c>
      <c r="I7" s="203">
        <v>2.25</v>
      </c>
      <c r="J7" s="206">
        <f t="shared" si="0"/>
        <v>25.25</v>
      </c>
      <c r="K7" s="205">
        <f t="shared" si="1"/>
        <v>10100</v>
      </c>
      <c r="L7" s="295">
        <f t="shared" si="2"/>
        <v>1900</v>
      </c>
      <c r="M7" s="207">
        <v>7</v>
      </c>
      <c r="N7" s="208" t="s">
        <v>1012</v>
      </c>
    </row>
    <row r="8" spans="1:14" ht="36" x14ac:dyDescent="0.55000000000000004">
      <c r="L8" s="294">
        <f>SUM(L2:L7)-L3-L6</f>
        <v>6983.3333333333339</v>
      </c>
    </row>
  </sheetData>
  <phoneticPr fontId="4" type="noConversion"/>
  <conditionalFormatting sqref="C2">
    <cfRule type="duplicateValues" dxfId="30" priority="24"/>
    <cfRule type="duplicateValues" dxfId="29" priority="25"/>
    <cfRule type="duplicateValues" dxfId="28" priority="26"/>
    <cfRule type="duplicateValues" dxfId="27" priority="27"/>
    <cfRule type="duplicateValues" dxfId="26" priority="28"/>
    <cfRule type="duplicateValues" dxfId="25" priority="29"/>
    <cfRule type="duplicateValues" dxfId="24" priority="30"/>
    <cfRule type="duplicateValues" dxfId="23" priority="31"/>
  </conditionalFormatting>
  <conditionalFormatting sqref="C3">
    <cfRule type="duplicateValues" dxfId="22" priority="21"/>
    <cfRule type="duplicateValues" dxfId="21" priority="22"/>
    <cfRule type="duplicateValues" dxfId="20" priority="23"/>
  </conditionalFormatting>
  <conditionalFormatting sqref="C4">
    <cfRule type="duplicateValues" dxfId="19" priority="18"/>
    <cfRule type="duplicateValues" dxfId="18" priority="19"/>
    <cfRule type="duplicateValues" dxfId="17" priority="20"/>
  </conditionalFormatting>
  <conditionalFormatting sqref="C5">
    <cfRule type="duplicateValues" dxfId="16" priority="15"/>
    <cfRule type="duplicateValues" dxfId="15" priority="16"/>
    <cfRule type="duplicateValues" dxfId="14" priority="17"/>
  </conditionalFormatting>
  <conditionalFormatting sqref="C6">
    <cfRule type="duplicateValues" dxfId="13" priority="8"/>
    <cfRule type="duplicateValues" dxfId="12" priority="9"/>
    <cfRule type="duplicateValues" dxfId="11" priority="10"/>
    <cfRule type="duplicateValues" dxfId="10" priority="11"/>
    <cfRule type="duplicateValues" dxfId="9" priority="12"/>
    <cfRule type="duplicateValues" dxfId="8" priority="13"/>
    <cfRule type="duplicateValues" dxfId="7" priority="14"/>
  </conditionalFormatting>
  <conditionalFormatting sqref="C7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  <cfRule type="duplicateValues" dxfId="0" priority="7"/>
  </conditionalFormatting>
  <pageMargins left="1" right="1" top="1" bottom="1" header="0.5" footer="0.5"/>
  <pageSetup paperSize="9" scale="10" orientation="landscape" horizontalDpi="360" verticalDpi="360" r:id="rId1"/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1753F-1782-4A59-ADA4-A4BB4112BD14}">
  <dimension ref="A1:I24"/>
  <sheetViews>
    <sheetView view="pageBreakPreview" zoomScale="60" zoomScaleNormal="100" workbookViewId="0">
      <selection sqref="A1:XFD1048576"/>
    </sheetView>
  </sheetViews>
  <sheetFormatPr defaultColWidth="14.140625" defaultRowHeight="18.75" x14ac:dyDescent="0.3"/>
  <cols>
    <col min="1" max="16384" width="14.140625" style="161"/>
  </cols>
  <sheetData>
    <row r="1" spans="1:9" x14ac:dyDescent="0.3">
      <c r="A1" s="160"/>
      <c r="B1" s="160"/>
      <c r="C1" s="160">
        <f>SUM(C2:C13)</f>
        <v>3.75</v>
      </c>
      <c r="D1" s="160"/>
      <c r="E1" s="160"/>
      <c r="F1" s="160">
        <f>SUM(F2:F10)</f>
        <v>1.25</v>
      </c>
      <c r="G1" s="160"/>
      <c r="H1" s="160"/>
      <c r="I1" s="160">
        <f>SUM(I2:I11)</f>
        <v>1.25</v>
      </c>
    </row>
    <row r="2" spans="1:9" x14ac:dyDescent="0.3">
      <c r="A2" s="162" t="s">
        <v>968</v>
      </c>
      <c r="B2" s="162" t="s">
        <v>969</v>
      </c>
      <c r="C2" s="163">
        <v>0.25</v>
      </c>
      <c r="D2" s="162" t="s">
        <v>980</v>
      </c>
      <c r="E2" s="162" t="s">
        <v>981</v>
      </c>
      <c r="F2" s="163">
        <v>1</v>
      </c>
      <c r="G2" s="162" t="s">
        <v>984</v>
      </c>
      <c r="H2" s="162" t="s">
        <v>985</v>
      </c>
      <c r="I2" s="163">
        <v>0.25</v>
      </c>
    </row>
    <row r="3" spans="1:9" x14ac:dyDescent="0.3">
      <c r="A3" s="162" t="s">
        <v>968</v>
      </c>
      <c r="B3" s="162" t="s">
        <v>970</v>
      </c>
      <c r="C3" s="163"/>
      <c r="D3" s="162" t="s">
        <v>980</v>
      </c>
      <c r="E3" s="162" t="s">
        <v>982</v>
      </c>
      <c r="F3" s="163"/>
      <c r="G3" s="162" t="s">
        <v>984</v>
      </c>
      <c r="H3" s="162" t="s">
        <v>986</v>
      </c>
      <c r="I3" s="163"/>
    </row>
    <row r="4" spans="1:9" x14ac:dyDescent="0.3">
      <c r="A4" s="162" t="s">
        <v>968</v>
      </c>
      <c r="B4" s="162" t="s">
        <v>882</v>
      </c>
      <c r="C4" s="163">
        <v>0.25</v>
      </c>
      <c r="D4" s="162" t="s">
        <v>980</v>
      </c>
      <c r="E4" s="162" t="s">
        <v>295</v>
      </c>
      <c r="F4" s="163"/>
      <c r="G4" s="162" t="s">
        <v>984</v>
      </c>
      <c r="H4" s="162" t="s">
        <v>987</v>
      </c>
      <c r="I4" s="163">
        <v>0.25</v>
      </c>
    </row>
    <row r="5" spans="1:9" x14ac:dyDescent="0.3">
      <c r="A5" s="162" t="s">
        <v>968</v>
      </c>
      <c r="B5" s="162" t="s">
        <v>971</v>
      </c>
      <c r="C5" s="163"/>
      <c r="D5" s="162" t="s">
        <v>980</v>
      </c>
      <c r="E5" s="162" t="s">
        <v>766</v>
      </c>
      <c r="F5" s="163"/>
      <c r="G5" s="162" t="s">
        <v>984</v>
      </c>
      <c r="H5" s="162" t="s">
        <v>988</v>
      </c>
      <c r="I5" s="163"/>
    </row>
    <row r="6" spans="1:9" x14ac:dyDescent="0.3">
      <c r="A6" s="162" t="s">
        <v>968</v>
      </c>
      <c r="B6" s="162" t="s">
        <v>972</v>
      </c>
      <c r="C6" s="163">
        <v>0.25</v>
      </c>
      <c r="D6" s="162" t="s">
        <v>980</v>
      </c>
      <c r="E6" s="162" t="s">
        <v>904</v>
      </c>
      <c r="F6" s="163"/>
      <c r="G6" s="162" t="s">
        <v>984</v>
      </c>
      <c r="H6" s="162" t="s">
        <v>989</v>
      </c>
      <c r="I6" s="163">
        <v>0.5</v>
      </c>
    </row>
    <row r="7" spans="1:9" x14ac:dyDescent="0.3">
      <c r="A7" s="162" t="s">
        <v>968</v>
      </c>
      <c r="B7" s="162" t="s">
        <v>386</v>
      </c>
      <c r="C7" s="163">
        <v>1</v>
      </c>
      <c r="D7" s="162" t="s">
        <v>980</v>
      </c>
      <c r="E7" s="162" t="s">
        <v>767</v>
      </c>
      <c r="F7" s="163"/>
      <c r="G7" s="162" t="s">
        <v>984</v>
      </c>
      <c r="H7" s="162" t="s">
        <v>843</v>
      </c>
      <c r="I7" s="163"/>
    </row>
    <row r="8" spans="1:9" x14ac:dyDescent="0.3">
      <c r="A8" s="162" t="s">
        <v>968</v>
      </c>
      <c r="B8" s="162" t="s">
        <v>973</v>
      </c>
      <c r="C8" s="163">
        <v>1</v>
      </c>
      <c r="D8" s="162" t="s">
        <v>980</v>
      </c>
      <c r="E8" s="162" t="s">
        <v>983</v>
      </c>
      <c r="F8" s="163">
        <v>0.25</v>
      </c>
      <c r="G8" s="162" t="s">
        <v>984</v>
      </c>
      <c r="H8" s="162" t="s">
        <v>990</v>
      </c>
      <c r="I8" s="163">
        <v>0.25</v>
      </c>
    </row>
    <row r="9" spans="1:9" x14ac:dyDescent="0.3">
      <c r="A9" s="162" t="s">
        <v>968</v>
      </c>
      <c r="B9" s="162" t="s">
        <v>974</v>
      </c>
      <c r="C9" s="163"/>
      <c r="D9" s="163"/>
      <c r="E9" s="163"/>
      <c r="F9" s="163"/>
      <c r="G9" s="162" t="s">
        <v>984</v>
      </c>
      <c r="H9" s="162" t="s">
        <v>887</v>
      </c>
      <c r="I9" s="163"/>
    </row>
    <row r="10" spans="1:9" x14ac:dyDescent="0.3">
      <c r="A10" s="162" t="s">
        <v>968</v>
      </c>
      <c r="B10" s="162" t="s">
        <v>975</v>
      </c>
      <c r="C10" s="163">
        <v>1</v>
      </c>
      <c r="D10" s="163"/>
      <c r="E10" s="163"/>
      <c r="F10" s="163"/>
      <c r="G10" s="162" t="s">
        <v>984</v>
      </c>
      <c r="H10" s="162" t="s">
        <v>991</v>
      </c>
      <c r="I10" s="163"/>
    </row>
    <row r="11" spans="1:9" x14ac:dyDescent="0.3">
      <c r="A11" s="162" t="s">
        <v>968</v>
      </c>
      <c r="B11" s="162" t="s">
        <v>976</v>
      </c>
      <c r="C11" s="163"/>
      <c r="D11" s="163"/>
      <c r="E11" s="163"/>
      <c r="F11" s="163"/>
      <c r="G11" s="162" t="s">
        <v>984</v>
      </c>
      <c r="H11" s="162" t="s">
        <v>992</v>
      </c>
      <c r="I11" s="163"/>
    </row>
    <row r="12" spans="1:9" x14ac:dyDescent="0.3">
      <c r="A12" s="162" t="s">
        <v>82</v>
      </c>
      <c r="B12" s="162" t="s">
        <v>977</v>
      </c>
      <c r="C12" s="163">
        <v>0</v>
      </c>
      <c r="D12" s="163"/>
      <c r="E12" s="163"/>
      <c r="F12" s="163"/>
      <c r="G12" s="162"/>
      <c r="H12" s="162"/>
      <c r="I12" s="163"/>
    </row>
    <row r="13" spans="1:9" x14ac:dyDescent="0.3">
      <c r="A13" s="162" t="s">
        <v>968</v>
      </c>
      <c r="B13" s="162" t="s">
        <v>978</v>
      </c>
      <c r="C13" s="163"/>
      <c r="D13" s="163"/>
      <c r="E13" s="163"/>
      <c r="F13" s="163"/>
      <c r="G13" s="162"/>
      <c r="H13" s="162"/>
      <c r="I13" s="163"/>
    </row>
    <row r="14" spans="1:9" x14ac:dyDescent="0.3">
      <c r="A14" s="164"/>
      <c r="B14" s="164"/>
      <c r="C14" s="164"/>
      <c r="D14" s="164"/>
      <c r="E14" s="164"/>
      <c r="F14" s="164"/>
      <c r="G14" s="164"/>
      <c r="H14" s="164"/>
      <c r="I14" s="164"/>
    </row>
    <row r="15" spans="1:9" x14ac:dyDescent="0.3">
      <c r="A15" s="164"/>
      <c r="B15" s="164"/>
      <c r="C15" s="164"/>
      <c r="D15" s="164"/>
      <c r="E15" s="164"/>
      <c r="F15" s="164"/>
      <c r="G15" s="164"/>
      <c r="H15" s="164"/>
      <c r="I15" s="164"/>
    </row>
    <row r="16" spans="1:9" x14ac:dyDescent="0.3">
      <c r="A16" s="160"/>
      <c r="B16" s="160"/>
      <c r="C16" s="160">
        <f>SUM(C17:C25)</f>
        <v>1</v>
      </c>
      <c r="D16" s="160"/>
      <c r="E16" s="160"/>
      <c r="F16" s="160">
        <f>SUM(F17:F25)</f>
        <v>4</v>
      </c>
      <c r="G16" s="160"/>
      <c r="H16" s="160"/>
      <c r="I16" s="160">
        <f>SUM(I18:I23)</f>
        <v>2.25</v>
      </c>
    </row>
    <row r="17" spans="1:9" x14ac:dyDescent="0.3">
      <c r="A17" s="162" t="s">
        <v>993</v>
      </c>
      <c r="B17" s="162" t="s">
        <v>994</v>
      </c>
      <c r="C17" s="163">
        <v>0.25</v>
      </c>
      <c r="D17" s="162" t="s">
        <v>997</v>
      </c>
      <c r="E17" s="162" t="s">
        <v>998</v>
      </c>
      <c r="F17" s="163">
        <v>1</v>
      </c>
      <c r="G17" s="162" t="s">
        <v>1005</v>
      </c>
      <c r="H17" s="162" t="s">
        <v>881</v>
      </c>
      <c r="I17" s="163"/>
    </row>
    <row r="18" spans="1:9" x14ac:dyDescent="0.3">
      <c r="A18" s="162" t="s">
        <v>993</v>
      </c>
      <c r="B18" s="162" t="s">
        <v>382</v>
      </c>
      <c r="C18" s="163"/>
      <c r="D18" s="162" t="s">
        <v>997</v>
      </c>
      <c r="E18" s="162" t="s">
        <v>999</v>
      </c>
      <c r="F18" s="163"/>
      <c r="G18" s="162" t="s">
        <v>1005</v>
      </c>
      <c r="H18" s="162" t="s">
        <v>839</v>
      </c>
      <c r="I18" s="163">
        <v>1</v>
      </c>
    </row>
    <row r="19" spans="1:9" x14ac:dyDescent="0.3">
      <c r="A19" s="162" t="s">
        <v>993</v>
      </c>
      <c r="B19" s="162" t="s">
        <v>411</v>
      </c>
      <c r="C19" s="163"/>
      <c r="D19" s="162" t="s">
        <v>997</v>
      </c>
      <c r="E19" s="162" t="s">
        <v>1000</v>
      </c>
      <c r="F19" s="163"/>
      <c r="G19" s="162" t="s">
        <v>1005</v>
      </c>
      <c r="H19" s="162" t="s">
        <v>882</v>
      </c>
      <c r="I19" s="163">
        <v>0.25</v>
      </c>
    </row>
    <row r="20" spans="1:9" x14ac:dyDescent="0.3">
      <c r="A20" s="162" t="s">
        <v>993</v>
      </c>
      <c r="B20" s="162" t="s">
        <v>904</v>
      </c>
      <c r="C20" s="163"/>
      <c r="D20" s="162" t="s">
        <v>997</v>
      </c>
      <c r="E20" s="162" t="s">
        <v>547</v>
      </c>
      <c r="F20" s="163"/>
      <c r="G20" s="162" t="s">
        <v>1005</v>
      </c>
      <c r="H20" s="162" t="s">
        <v>886</v>
      </c>
      <c r="I20" s="163">
        <v>1</v>
      </c>
    </row>
    <row r="21" spans="1:9" x14ac:dyDescent="0.3">
      <c r="A21" s="162" t="s">
        <v>993</v>
      </c>
      <c r="B21" s="162" t="s">
        <v>990</v>
      </c>
      <c r="C21" s="163">
        <v>0.25</v>
      </c>
      <c r="D21" s="162" t="s">
        <v>997</v>
      </c>
      <c r="E21" s="162" t="s">
        <v>1001</v>
      </c>
      <c r="F21" s="163">
        <v>2</v>
      </c>
      <c r="G21" s="162" t="s">
        <v>1005</v>
      </c>
      <c r="H21" s="162" t="s">
        <v>181</v>
      </c>
      <c r="I21" s="163"/>
    </row>
    <row r="22" spans="1:9" x14ac:dyDescent="0.3">
      <c r="A22" s="162" t="s">
        <v>993</v>
      </c>
      <c r="B22" s="162" t="s">
        <v>995</v>
      </c>
      <c r="C22" s="163"/>
      <c r="D22" s="162" t="s">
        <v>997</v>
      </c>
      <c r="E22" s="162" t="s">
        <v>1002</v>
      </c>
      <c r="F22" s="163">
        <v>1</v>
      </c>
      <c r="G22" s="162" t="s">
        <v>1005</v>
      </c>
      <c r="H22" s="162" t="s">
        <v>268</v>
      </c>
      <c r="I22" s="163"/>
    </row>
    <row r="23" spans="1:9" x14ac:dyDescent="0.3">
      <c r="A23" s="162" t="s">
        <v>993</v>
      </c>
      <c r="B23" s="162" t="s">
        <v>996</v>
      </c>
      <c r="C23" s="163">
        <v>0.5</v>
      </c>
      <c r="D23" s="162" t="s">
        <v>997</v>
      </c>
      <c r="E23" s="162" t="s">
        <v>1003</v>
      </c>
      <c r="F23" s="163"/>
      <c r="G23" s="162" t="s">
        <v>1005</v>
      </c>
      <c r="H23" s="162" t="s">
        <v>1006</v>
      </c>
      <c r="I23" s="163"/>
    </row>
    <row r="24" spans="1:9" x14ac:dyDescent="0.3">
      <c r="A24" s="163"/>
      <c r="B24" s="163"/>
      <c r="C24" s="163"/>
      <c r="D24" s="162" t="s">
        <v>997</v>
      </c>
      <c r="E24" s="162" t="s">
        <v>1004</v>
      </c>
      <c r="F24" s="163"/>
      <c r="G24" s="163"/>
      <c r="H24" s="163"/>
      <c r="I24" s="163"/>
    </row>
  </sheetData>
  <pageMargins left="0.7" right="0.7" top="0.75" bottom="0.75" header="0.3" footer="0.3"/>
  <pageSetup scale="61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FPs</vt:lpstr>
      <vt:lpstr>Sheet5</vt:lpstr>
      <vt:lpstr>all employees</vt:lpstr>
      <vt:lpstr>Sheet3</vt:lpstr>
      <vt:lpstr>Sheet1</vt:lpstr>
      <vt:lpstr>Sheet2</vt:lpstr>
      <vt:lpstr>'all employees'!Print_Area</vt:lpstr>
      <vt:lpstr>FPs!Print_Area</vt:lpstr>
      <vt:lpstr>Sheet1!Print_Area</vt:lpstr>
      <vt:lpstr>Sheet3!Print_Area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485</dc:creator>
  <cp:lastModifiedBy>Khaled Elwakkad</cp:lastModifiedBy>
  <cp:lastPrinted>2026-07-13T14:21:36Z</cp:lastPrinted>
  <dcterms:created xsi:type="dcterms:W3CDTF">2015-06-05T18:17:20Z</dcterms:created>
  <dcterms:modified xsi:type="dcterms:W3CDTF">2026-07-17T01:58:07Z</dcterms:modified>
</cp:coreProperties>
</file>